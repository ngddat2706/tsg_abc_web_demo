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5CF5CAD8-6625-4F7A-987F-E9A683E3D1F1}" xr6:coauthVersionLast="47" xr6:coauthVersionMax="47" xr10:uidLastSave="{00000000-0000-0000-0000-000000000000}"/>
  <bookViews>
    <workbookView xWindow="-120" yWindow="-120" windowWidth="38640" windowHeight="21240" xr2:uid="{32F2C4A5-5924-4C94-8567-EBCF8A70E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29" i="1" l="1"/>
  <c r="AR29" i="1"/>
  <c r="AQ29" i="1"/>
  <c r="AO29" i="1"/>
  <c r="AN29" i="1"/>
  <c r="AM29" i="1"/>
  <c r="AP28" i="1"/>
  <c r="AL27" i="1"/>
  <c r="AP26" i="1"/>
  <c r="AL25" i="1"/>
  <c r="AP24" i="1"/>
  <c r="AL23" i="1"/>
  <c r="AP22" i="1"/>
  <c r="AL21" i="1"/>
  <c r="AP20" i="1"/>
  <c r="AL19" i="1"/>
  <c r="AP18" i="1"/>
  <c r="AL17" i="1"/>
  <c r="AP16" i="1"/>
  <c r="AL15" i="1"/>
  <c r="AP14" i="1"/>
  <c r="AL13" i="1"/>
  <c r="AP12" i="1"/>
  <c r="AL11" i="1"/>
  <c r="AP10" i="1"/>
  <c r="AP29" i="1" s="1"/>
  <c r="AL9" i="1"/>
  <c r="AL29" i="1" s="1"/>
  <c r="F29" i="1" s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</calcChain>
</file>

<file path=xl/sharedStrings.xml><?xml version="1.0" encoding="utf-8"?>
<sst xmlns="http://schemas.openxmlformats.org/spreadsheetml/2006/main" count="61" uniqueCount="40">
  <si>
    <t>CÔNG TY CỔ PHẦN TTTH ĐƯỜNG SẮT SÀI GÒN</t>
  </si>
  <si>
    <t>TCHC-08/02</t>
  </si>
  <si>
    <t>Đơn vị : Trung tâm giám sát đường ngang</t>
  </si>
  <si>
    <t>BẢNG CHẤM CÔNG</t>
  </si>
  <si>
    <t>Tháng 06 năm 2026</t>
  </si>
  <si>
    <t>STT</t>
  </si>
  <si>
    <t>Họ và tên</t>
  </si>
  <si>
    <t>HSLCB</t>
  </si>
  <si>
    <t>HSLCV
(K2)</t>
  </si>
  <si>
    <t>Xếp loại</t>
  </si>
  <si>
    <t>Ngày công trong tháng</t>
  </si>
  <si>
    <t>TỔNG HỢP NGÀY CÔNG</t>
  </si>
  <si>
    <t>Công CĐ</t>
  </si>
  <si>
    <t>Công SP</t>
  </si>
  <si>
    <t>Công thực tế</t>
  </si>
  <si>
    <t>Nghỉ hưởng lương
(L/P)</t>
  </si>
  <si>
    <t>Nghỉ không lương
(KL)</t>
  </si>
  <si>
    <t>Làm
đêm</t>
  </si>
  <si>
    <t>HL BH XH
(O)</t>
  </si>
  <si>
    <t>Thử việc
(TV)</t>
  </si>
  <si>
    <t>Nghỉ đi học
(H)</t>
  </si>
  <si>
    <t>Phan Hà Nam</t>
  </si>
  <si>
    <t>A</t>
  </si>
  <si>
    <t>Nguyễn Tú Long</t>
  </si>
  <si>
    <t>Trần Trọng Hùng</t>
  </si>
  <si>
    <t>Vũ Văn Tuân</t>
  </si>
  <si>
    <t>1.49</t>
  </si>
  <si>
    <t>P</t>
  </si>
  <si>
    <t>Lê Xuân Định</t>
  </si>
  <si>
    <t>Dương Ngọc Tú</t>
  </si>
  <si>
    <t>CN</t>
  </si>
  <si>
    <t>Trần Ngọc Mạnh</t>
  </si>
  <si>
    <t>Tô Quang Toán</t>
  </si>
  <si>
    <t>Trần Văn Nghị</t>
  </si>
  <si>
    <t>Uông Nhật Sáng</t>
  </si>
  <si>
    <t>Tổng cộng</t>
  </si>
  <si>
    <t>TP. Hồ Chí Minh, ngày 25 tháng 06 năm 2026</t>
  </si>
  <si>
    <t>TRƯỞNG TRUNG TÂM GSĐN</t>
  </si>
  <si>
    <t>P. TỔ CHỨC HÀNH CHÍNH</t>
  </si>
  <si>
    <t>CÔNG TY CỔ PHẦN TTTH ĐS SÀI GÒN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</si>
</sst>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5" x14ac:knownFonts="1">
    <font>
      <sz val="14"/>
      <color theme="1"/>
      <name val="Times New Roman"/>
      <family val="2"/>
    </font>
    <font>
      <sz val="14"/>
      <color theme="1"/>
      <name val="Times New Roman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b/>
      <sz val="6"/>
      <name val="Times New Roman"/>
      <family val="1"/>
    </font>
    <font>
      <b/>
      <sz val="6"/>
      <color rgb="FFFF0000"/>
      <name val="Times New Roman"/>
      <family val="1"/>
    </font>
    <font>
      <sz val="6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5" fillId="0" borderId="14" xfId="0" applyFont="1" applyBorder="1"/>
    <xf numFmtId="4" fontId="6" fillId="0" borderId="14" xfId="0" applyNumberFormat="1" applyFont="1" applyBorder="1" applyAlignment="1">
      <alignment horizontal="center"/>
    </xf>
    <xf numFmtId="164" fontId="6" fillId="0" borderId="14" xfId="1" applyNumberFormat="1" applyFont="1" applyBorder="1" applyAlignment="1">
      <alignment horizontal="center"/>
    </xf>
    <xf numFmtId="164" fontId="8" fillId="0" borderId="14" xfId="1" applyNumberFormat="1" applyFont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165" fontId="9" fillId="0" borderId="14" xfId="1" applyNumberFormat="1" applyFont="1" applyBorder="1" applyAlignment="1">
      <alignment horizontal="center" vertical="center"/>
    </xf>
    <xf numFmtId="43" fontId="9" fillId="0" borderId="14" xfId="1" applyFont="1" applyBorder="1" applyAlignment="1">
      <alignment horizontal="center" vertical="center"/>
    </xf>
    <xf numFmtId="0" fontId="10" fillId="0" borderId="14" xfId="0" applyFont="1" applyBorder="1"/>
    <xf numFmtId="164" fontId="7" fillId="0" borderId="14" xfId="1" applyNumberFormat="1" applyFont="1" applyBorder="1" applyAlignment="1">
      <alignment horizontal="center"/>
    </xf>
    <xf numFmtId="164" fontId="6" fillId="2" borderId="14" xfId="1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5" fillId="0" borderId="8" xfId="0" applyFont="1" applyBorder="1"/>
    <xf numFmtId="4" fontId="6" fillId="0" borderId="8" xfId="0" applyNumberFormat="1" applyFont="1" applyBorder="1" applyAlignment="1">
      <alignment horizontal="center"/>
    </xf>
    <xf numFmtId="165" fontId="5" fillId="2" borderId="14" xfId="1" applyNumberFormat="1" applyFont="1" applyFill="1" applyBorder="1" applyAlignment="1">
      <alignment horizontal="center"/>
    </xf>
    <xf numFmtId="0" fontId="10" fillId="0" borderId="8" xfId="0" applyFont="1" applyBorder="1"/>
    <xf numFmtId="0" fontId="10" fillId="0" borderId="12" xfId="0" applyFont="1" applyBorder="1"/>
    <xf numFmtId="0" fontId="8" fillId="0" borderId="13" xfId="0" applyFont="1" applyBorder="1"/>
    <xf numFmtId="0" fontId="6" fillId="0" borderId="13" xfId="0" applyFont="1" applyBorder="1"/>
    <xf numFmtId="165" fontId="11" fillId="0" borderId="5" xfId="0" applyNumberFormat="1" applyFont="1" applyBorder="1" applyAlignment="1">
      <alignment horizontal="center"/>
    </xf>
    <xf numFmtId="165" fontId="11" fillId="0" borderId="6" xfId="0" applyNumberFormat="1" applyFont="1" applyBorder="1" applyAlignment="1">
      <alignment horizontal="center"/>
    </xf>
    <xf numFmtId="165" fontId="11" fillId="0" borderId="7" xfId="0" applyNumberFormat="1" applyFont="1" applyBorder="1" applyAlignment="1">
      <alignment horizontal="center"/>
    </xf>
    <xf numFmtId="165" fontId="11" fillId="0" borderId="7" xfId="0" applyNumberFormat="1" applyFont="1" applyBorder="1" applyAlignment="1">
      <alignment horizontal="center"/>
    </xf>
    <xf numFmtId="165" fontId="5" fillId="0" borderId="13" xfId="1" applyNumberFormat="1" applyFont="1" applyBorder="1" applyAlignment="1">
      <alignment horizontal="center"/>
    </xf>
    <xf numFmtId="0" fontId="12" fillId="0" borderId="0" xfId="0" applyFont="1"/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1339-75DD-4DDD-A8F9-495DA563979C}">
  <dimension ref="A1:AS31"/>
  <sheetViews>
    <sheetView tabSelected="1" zoomScale="130" zoomScaleNormal="130" workbookViewId="0">
      <selection activeCell="AL15" sqref="AL15"/>
    </sheetView>
  </sheetViews>
  <sheetFormatPr defaultRowHeight="18.75" x14ac:dyDescent="0.3"/>
  <cols>
    <col min="1" max="1" width="2.88671875" bestFit="1" customWidth="1"/>
    <col min="2" max="2" width="10.6640625" bestFit="1" customWidth="1"/>
    <col min="3" max="4" width="5.21875" bestFit="1" customWidth="1"/>
    <col min="5" max="5" width="5.44140625" bestFit="1" customWidth="1"/>
    <col min="6" max="11" width="3.21875" bestFit="1" customWidth="1"/>
    <col min="12" max="12" width="2.6640625" customWidth="1"/>
    <col min="13" max="18" width="3.33203125" bestFit="1" customWidth="1"/>
    <col min="19" max="19" width="2.109375" bestFit="1" customWidth="1"/>
    <col min="20" max="25" width="3.33203125" bestFit="1" customWidth="1"/>
    <col min="26" max="26" width="3.44140625" bestFit="1" customWidth="1"/>
    <col min="27" max="32" width="3.33203125" bestFit="1" customWidth="1"/>
    <col min="33" max="33" width="3.44140625" bestFit="1" customWidth="1"/>
    <col min="34" max="35" width="3.33203125" bestFit="1" customWidth="1"/>
    <col min="36" max="36" width="2.109375" bestFit="1" customWidth="1"/>
    <col min="37" max="37" width="5.21875" bestFit="1" customWidth="1"/>
    <col min="38" max="38" width="5.77734375" bestFit="1" customWidth="1"/>
    <col min="39" max="39" width="8.21875" bestFit="1" customWidth="1"/>
    <col min="40" max="40" width="10.109375" bestFit="1" customWidth="1"/>
    <col min="41" max="41" width="7.5546875" bestFit="1" customWidth="1"/>
    <col min="42" max="42" width="3.33203125" bestFit="1" customWidth="1"/>
    <col min="43" max="43" width="6.88671875" bestFit="1" customWidth="1"/>
    <col min="44" max="44" width="5.5546875" bestFit="1" customWidth="1"/>
    <col min="45" max="45" width="7.33203125" bestFit="1" customWidth="1"/>
  </cols>
  <sheetData>
    <row r="1" spans="1:4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3"/>
      <c r="AN1" s="3" t="s">
        <v>1</v>
      </c>
      <c r="AO1" s="3"/>
      <c r="AP1" s="3"/>
      <c r="AQ1" s="3"/>
      <c r="AR1" s="3"/>
      <c r="AS1" s="3"/>
    </row>
    <row r="2" spans="1:45" x14ac:dyDescent="0.3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3"/>
      <c r="AM2" s="3"/>
      <c r="AN2" s="3"/>
      <c r="AO2" s="3"/>
      <c r="AP2" s="3"/>
      <c r="AQ2" s="3"/>
      <c r="AR2" s="3"/>
      <c r="AS2" s="3"/>
    </row>
    <row r="3" spans="1:45" x14ac:dyDescent="0.3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x14ac:dyDescent="0.3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3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0"/>
      <c r="AK5" s="11"/>
      <c r="AL5" s="12" t="s">
        <v>11</v>
      </c>
      <c r="AM5" s="13"/>
      <c r="AN5" s="13"/>
      <c r="AO5" s="13"/>
      <c r="AP5" s="13"/>
      <c r="AQ5" s="13"/>
      <c r="AR5" s="13"/>
      <c r="AS5" s="14"/>
    </row>
    <row r="6" spans="1:45" x14ac:dyDescent="0.3">
      <c r="A6" s="15"/>
      <c r="B6" s="15"/>
      <c r="C6" s="15"/>
      <c r="D6" s="15"/>
      <c r="E6" s="15"/>
      <c r="F6" s="16">
        <v>1</v>
      </c>
      <c r="G6" s="17">
        <f>F6+1</f>
        <v>2</v>
      </c>
      <c r="H6" s="17">
        <f t="shared" ref="H6:AJ6" si="0">G6+1</f>
        <v>3</v>
      </c>
      <c r="I6" s="17">
        <f t="shared" si="0"/>
        <v>4</v>
      </c>
      <c r="J6" s="17">
        <f t="shared" si="0"/>
        <v>5</v>
      </c>
      <c r="K6" s="17">
        <f t="shared" si="0"/>
        <v>6</v>
      </c>
      <c r="L6" s="18">
        <f t="shared" si="0"/>
        <v>7</v>
      </c>
      <c r="M6" s="17">
        <f t="shared" si="0"/>
        <v>8</v>
      </c>
      <c r="N6" s="17">
        <f t="shared" si="0"/>
        <v>9</v>
      </c>
      <c r="O6" s="17">
        <f t="shared" si="0"/>
        <v>10</v>
      </c>
      <c r="P6" s="17">
        <f t="shared" si="0"/>
        <v>11</v>
      </c>
      <c r="Q6" s="17">
        <f t="shared" si="0"/>
        <v>12</v>
      </c>
      <c r="R6" s="17">
        <f t="shared" si="0"/>
        <v>13</v>
      </c>
      <c r="S6" s="18">
        <f t="shared" si="0"/>
        <v>14</v>
      </c>
      <c r="T6" s="17">
        <f t="shared" si="0"/>
        <v>15</v>
      </c>
      <c r="U6" s="17">
        <f t="shared" si="0"/>
        <v>16</v>
      </c>
      <c r="V6" s="17">
        <f t="shared" si="0"/>
        <v>17</v>
      </c>
      <c r="W6" s="17">
        <f t="shared" si="0"/>
        <v>18</v>
      </c>
      <c r="X6" s="17">
        <f t="shared" si="0"/>
        <v>19</v>
      </c>
      <c r="Y6" s="17">
        <f t="shared" si="0"/>
        <v>20</v>
      </c>
      <c r="Z6" s="18">
        <f t="shared" si="0"/>
        <v>21</v>
      </c>
      <c r="AA6" s="17">
        <f t="shared" si="0"/>
        <v>22</v>
      </c>
      <c r="AB6" s="17">
        <f t="shared" si="0"/>
        <v>23</v>
      </c>
      <c r="AC6" s="17">
        <f t="shared" si="0"/>
        <v>24</v>
      </c>
      <c r="AD6" s="17">
        <f t="shared" si="0"/>
        <v>25</v>
      </c>
      <c r="AE6" s="17">
        <f t="shared" si="0"/>
        <v>26</v>
      </c>
      <c r="AF6" s="17">
        <f t="shared" si="0"/>
        <v>27</v>
      </c>
      <c r="AG6" s="18">
        <f t="shared" si="0"/>
        <v>28</v>
      </c>
      <c r="AH6" s="17">
        <f t="shared" si="0"/>
        <v>29</v>
      </c>
      <c r="AI6" s="17">
        <f t="shared" si="0"/>
        <v>30</v>
      </c>
      <c r="AJ6" s="17">
        <f t="shared" si="0"/>
        <v>31</v>
      </c>
      <c r="AK6" s="19" t="s">
        <v>12</v>
      </c>
      <c r="AL6" s="7" t="s">
        <v>13</v>
      </c>
      <c r="AM6" s="7" t="s">
        <v>14</v>
      </c>
      <c r="AN6" s="7" t="s">
        <v>15</v>
      </c>
      <c r="AO6" s="7" t="s">
        <v>16</v>
      </c>
      <c r="AP6" s="7" t="s">
        <v>17</v>
      </c>
      <c r="AQ6" s="7" t="s">
        <v>18</v>
      </c>
      <c r="AR6" s="7" t="s">
        <v>19</v>
      </c>
      <c r="AS6" s="7" t="s">
        <v>20</v>
      </c>
    </row>
    <row r="7" spans="1:45" x14ac:dyDescent="0.3">
      <c r="A7" s="15"/>
      <c r="B7" s="15"/>
      <c r="C7" s="15"/>
      <c r="D7" s="15"/>
      <c r="E7" s="15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1"/>
      <c r="AL7" s="22"/>
      <c r="AM7" s="22"/>
      <c r="AN7" s="22"/>
      <c r="AO7" s="22"/>
      <c r="AP7" s="22"/>
      <c r="AQ7" s="22"/>
      <c r="AR7" s="22"/>
      <c r="AS7" s="22"/>
    </row>
    <row r="8" spans="1:45" x14ac:dyDescent="0.3">
      <c r="A8" s="23">
        <v>1</v>
      </c>
      <c r="B8" s="23">
        <v>2</v>
      </c>
      <c r="C8" s="23">
        <v>3</v>
      </c>
      <c r="D8" s="23">
        <v>4</v>
      </c>
      <c r="E8" s="23">
        <v>5</v>
      </c>
      <c r="F8" s="24">
        <v>6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6"/>
      <c r="AK8" s="27"/>
      <c r="AL8" s="23">
        <v>7</v>
      </c>
      <c r="AM8" s="23">
        <v>8</v>
      </c>
      <c r="AN8" s="23">
        <v>9</v>
      </c>
      <c r="AO8" s="23">
        <v>10</v>
      </c>
      <c r="AP8" s="23">
        <v>11</v>
      </c>
      <c r="AQ8" s="23">
        <v>12</v>
      </c>
      <c r="AR8" s="23">
        <v>13</v>
      </c>
      <c r="AS8" s="23">
        <v>14</v>
      </c>
    </row>
    <row r="9" spans="1:45" x14ac:dyDescent="0.3">
      <c r="A9" s="28">
        <v>1</v>
      </c>
      <c r="B9" s="29" t="s">
        <v>21</v>
      </c>
      <c r="C9" s="30">
        <v>1.68</v>
      </c>
      <c r="D9" s="30">
        <v>5.2</v>
      </c>
      <c r="E9" s="28" t="s">
        <v>22</v>
      </c>
      <c r="F9" s="31">
        <v>1.74</v>
      </c>
      <c r="G9" s="31">
        <v>1.74</v>
      </c>
      <c r="H9" s="31">
        <v>1.74</v>
      </c>
      <c r="I9" s="31">
        <v>1.74</v>
      </c>
      <c r="J9" s="31">
        <v>1.74</v>
      </c>
      <c r="K9" s="31">
        <v>1.74</v>
      </c>
      <c r="L9" s="31"/>
      <c r="M9" s="31">
        <v>1.74</v>
      </c>
      <c r="N9" s="31">
        <v>1.74</v>
      </c>
      <c r="O9" s="31">
        <v>1.74</v>
      </c>
      <c r="P9" s="31">
        <v>1.74</v>
      </c>
      <c r="Q9" s="31">
        <v>1.74</v>
      </c>
      <c r="R9" s="31">
        <v>1.74</v>
      </c>
      <c r="S9" s="31"/>
      <c r="T9" s="31">
        <v>1.74</v>
      </c>
      <c r="U9" s="31">
        <v>1.74</v>
      </c>
      <c r="V9" s="31">
        <v>1.74</v>
      </c>
      <c r="W9" s="31">
        <v>1.74</v>
      </c>
      <c r="X9" s="31">
        <v>1.74</v>
      </c>
      <c r="Y9" s="31">
        <v>1.74</v>
      </c>
      <c r="Z9" s="31"/>
      <c r="AA9" s="31">
        <v>1.8</v>
      </c>
      <c r="AB9" s="31">
        <v>1.8</v>
      </c>
      <c r="AC9" s="31">
        <v>1.8</v>
      </c>
      <c r="AD9" s="31">
        <v>1.8</v>
      </c>
      <c r="AE9" s="31">
        <v>1.8</v>
      </c>
      <c r="AF9" s="31">
        <v>1.76</v>
      </c>
      <c r="AG9" s="31"/>
      <c r="AH9" s="31">
        <v>1.78</v>
      </c>
      <c r="AI9" s="31">
        <v>1.74</v>
      </c>
      <c r="AJ9" s="32"/>
      <c r="AK9" s="32"/>
      <c r="AL9" s="33">
        <f t="shared" ref="AL9:AL27" si="1">SUM(F9:AJ9)-AM9</f>
        <v>19.599999999999973</v>
      </c>
      <c r="AM9" s="34">
        <v>26</v>
      </c>
      <c r="AN9" s="35"/>
      <c r="AO9" s="35"/>
      <c r="AP9" s="36"/>
      <c r="AQ9" s="35"/>
      <c r="AR9" s="36"/>
      <c r="AS9" s="35"/>
    </row>
    <row r="10" spans="1:45" x14ac:dyDescent="0.3">
      <c r="A10" s="28"/>
      <c r="B10" s="29"/>
      <c r="C10" s="30"/>
      <c r="D10" s="30"/>
      <c r="E10" s="28"/>
      <c r="F10" s="37"/>
      <c r="G10" s="37"/>
      <c r="H10" s="28"/>
      <c r="I10" s="37"/>
      <c r="J10" s="37"/>
      <c r="K10" s="28"/>
      <c r="L10" s="37"/>
      <c r="M10" s="37"/>
      <c r="N10" s="28"/>
      <c r="O10" s="37">
        <v>1</v>
      </c>
      <c r="P10" s="37"/>
      <c r="Q10" s="28"/>
      <c r="R10" s="37">
        <v>1</v>
      </c>
      <c r="S10" s="37"/>
      <c r="T10" s="28"/>
      <c r="U10" s="37">
        <v>1</v>
      </c>
      <c r="V10" s="37"/>
      <c r="W10" s="28"/>
      <c r="X10" s="37">
        <v>1</v>
      </c>
      <c r="Y10" s="37"/>
      <c r="Z10" s="28"/>
      <c r="AA10" s="37">
        <v>1</v>
      </c>
      <c r="AB10" s="37"/>
      <c r="AC10" s="28"/>
      <c r="AD10" s="37">
        <v>1</v>
      </c>
      <c r="AE10" s="37"/>
      <c r="AF10" s="28"/>
      <c r="AG10" s="37">
        <v>1</v>
      </c>
      <c r="AH10" s="37"/>
      <c r="AI10" s="28"/>
      <c r="AJ10" s="28"/>
      <c r="AK10" s="28"/>
      <c r="AL10" s="33"/>
      <c r="AM10" s="38"/>
      <c r="AN10" s="35"/>
      <c r="AO10" s="35"/>
      <c r="AP10" s="39">
        <f>SUM(D10:AG10)</f>
        <v>7</v>
      </c>
      <c r="AQ10" s="35"/>
      <c r="AR10" s="39"/>
      <c r="AS10" s="35"/>
    </row>
    <row r="11" spans="1:45" x14ac:dyDescent="0.3">
      <c r="A11" s="28">
        <v>2</v>
      </c>
      <c r="B11" s="29" t="s">
        <v>23</v>
      </c>
      <c r="C11" s="30">
        <v>1.68</v>
      </c>
      <c r="D11" s="30">
        <v>4.4000000000000004</v>
      </c>
      <c r="E11" s="28" t="s">
        <v>22</v>
      </c>
      <c r="F11" s="31">
        <v>1.74</v>
      </c>
      <c r="G11" s="31">
        <v>1.74</v>
      </c>
      <c r="H11" s="31">
        <v>1.74</v>
      </c>
      <c r="I11" s="31">
        <v>1.74</v>
      </c>
      <c r="J11" s="31">
        <v>1.74</v>
      </c>
      <c r="K11" s="31">
        <v>1.74</v>
      </c>
      <c r="L11" s="31"/>
      <c r="M11" s="31">
        <v>1.74</v>
      </c>
      <c r="N11" s="31">
        <v>1.74</v>
      </c>
      <c r="O11" s="31">
        <v>1.74</v>
      </c>
      <c r="P11" s="31">
        <v>1.74</v>
      </c>
      <c r="Q11" s="31">
        <v>1.74</v>
      </c>
      <c r="R11" s="31">
        <v>1.74</v>
      </c>
      <c r="S11" s="31"/>
      <c r="T11" s="31">
        <v>1.74</v>
      </c>
      <c r="U11" s="31">
        <v>1.74</v>
      </c>
      <c r="V11" s="31">
        <v>1.74</v>
      </c>
      <c r="W11" s="31">
        <v>1.74</v>
      </c>
      <c r="X11" s="31">
        <v>1.8</v>
      </c>
      <c r="Y11" s="31">
        <v>1.8</v>
      </c>
      <c r="Z11" s="31"/>
      <c r="AA11" s="31">
        <v>1.8</v>
      </c>
      <c r="AB11" s="31">
        <v>1.8</v>
      </c>
      <c r="AC11" s="31">
        <v>1.8</v>
      </c>
      <c r="AD11" s="31">
        <v>1.8</v>
      </c>
      <c r="AE11" s="31">
        <v>1.8</v>
      </c>
      <c r="AF11" s="31">
        <v>1.8</v>
      </c>
      <c r="AG11" s="31"/>
      <c r="AH11" s="31">
        <v>1.7</v>
      </c>
      <c r="AI11" s="31">
        <v>1.76</v>
      </c>
      <c r="AJ11" s="32"/>
      <c r="AK11" s="32"/>
      <c r="AL11" s="33">
        <f t="shared" si="1"/>
        <v>19.699999999999974</v>
      </c>
      <c r="AM11" s="34">
        <v>26</v>
      </c>
      <c r="AN11" s="35"/>
      <c r="AO11" s="35"/>
      <c r="AP11" s="40"/>
      <c r="AQ11" s="35"/>
      <c r="AR11" s="40"/>
      <c r="AS11" s="35"/>
    </row>
    <row r="12" spans="1:45" x14ac:dyDescent="0.3">
      <c r="A12" s="28"/>
      <c r="B12" s="29"/>
      <c r="C12" s="30"/>
      <c r="D12" s="30"/>
      <c r="E12" s="28"/>
      <c r="F12" s="37"/>
      <c r="G12" s="37">
        <v>1</v>
      </c>
      <c r="H12" s="37"/>
      <c r="I12" s="37"/>
      <c r="J12" s="37">
        <v>1</v>
      </c>
      <c r="K12" s="37"/>
      <c r="L12" s="37"/>
      <c r="M12" s="37">
        <v>1</v>
      </c>
      <c r="N12" s="37"/>
      <c r="O12" s="37"/>
      <c r="P12" s="37">
        <v>1</v>
      </c>
      <c r="Q12" s="37"/>
      <c r="R12" s="37"/>
      <c r="S12" s="37">
        <v>1</v>
      </c>
      <c r="T12" s="37"/>
      <c r="U12" s="37"/>
      <c r="V12" s="37">
        <v>1</v>
      </c>
      <c r="W12" s="37"/>
      <c r="X12" s="37"/>
      <c r="Y12" s="37">
        <v>1</v>
      </c>
      <c r="Z12" s="37"/>
      <c r="AA12" s="37"/>
      <c r="AB12" s="37">
        <v>1</v>
      </c>
      <c r="AC12" s="37"/>
      <c r="AD12" s="37"/>
      <c r="AE12" s="37">
        <v>1</v>
      </c>
      <c r="AF12" s="37"/>
      <c r="AG12" s="37"/>
      <c r="AH12" s="37">
        <v>1</v>
      </c>
      <c r="AI12" s="37"/>
      <c r="AJ12" s="28"/>
      <c r="AK12" s="28"/>
      <c r="AL12" s="33"/>
      <c r="AM12" s="34"/>
      <c r="AN12" s="35"/>
      <c r="AO12" s="35"/>
      <c r="AP12" s="39">
        <f>SUM(D12:AG12)</f>
        <v>9</v>
      </c>
      <c r="AQ12" s="35"/>
      <c r="AR12" s="39"/>
      <c r="AS12" s="35"/>
    </row>
    <row r="13" spans="1:45" x14ac:dyDescent="0.3">
      <c r="A13" s="28">
        <v>3</v>
      </c>
      <c r="B13" s="29" t="s">
        <v>24</v>
      </c>
      <c r="C13" s="30">
        <v>1.58</v>
      </c>
      <c r="D13" s="30">
        <v>4</v>
      </c>
      <c r="E13" s="28" t="s">
        <v>22</v>
      </c>
      <c r="F13" s="31">
        <v>1.74</v>
      </c>
      <c r="G13" s="31">
        <v>1.74</v>
      </c>
      <c r="H13" s="31">
        <v>1.74</v>
      </c>
      <c r="I13" s="31">
        <v>1.74</v>
      </c>
      <c r="J13" s="31">
        <v>1.74</v>
      </c>
      <c r="K13" s="31">
        <v>1.74</v>
      </c>
      <c r="L13" s="31"/>
      <c r="M13" s="31">
        <v>1.8</v>
      </c>
      <c r="N13" s="31">
        <v>1.8</v>
      </c>
      <c r="O13" s="31">
        <v>1.8</v>
      </c>
      <c r="P13" s="31">
        <v>1.8</v>
      </c>
      <c r="Q13" s="31">
        <v>1.8</v>
      </c>
      <c r="R13" s="31">
        <v>1.8</v>
      </c>
      <c r="S13" s="31"/>
      <c r="T13" s="31">
        <v>1.8</v>
      </c>
      <c r="U13" s="31">
        <v>1.8</v>
      </c>
      <c r="V13" s="31">
        <v>1.8</v>
      </c>
      <c r="W13" s="31">
        <v>1.8</v>
      </c>
      <c r="X13" s="31">
        <v>1.8</v>
      </c>
      <c r="Y13" s="31">
        <v>1.8</v>
      </c>
      <c r="Z13" s="31"/>
      <c r="AA13" s="31">
        <v>1.74</v>
      </c>
      <c r="AB13" s="31">
        <v>1.74</v>
      </c>
      <c r="AC13" s="31">
        <v>1.74</v>
      </c>
      <c r="AD13" s="31">
        <v>1.74</v>
      </c>
      <c r="AE13" s="31">
        <v>1.74</v>
      </c>
      <c r="AF13" s="31">
        <v>1.74</v>
      </c>
      <c r="AG13" s="31"/>
      <c r="AH13" s="31">
        <v>1.78</v>
      </c>
      <c r="AI13" s="31">
        <v>1.74</v>
      </c>
      <c r="AJ13" s="32"/>
      <c r="AK13" s="32"/>
      <c r="AL13" s="33">
        <f t="shared" si="1"/>
        <v>20.000000000000021</v>
      </c>
      <c r="AM13" s="34">
        <v>26</v>
      </c>
      <c r="AN13" s="35"/>
      <c r="AO13" s="41"/>
      <c r="AP13" s="39"/>
      <c r="AQ13" s="41"/>
      <c r="AR13" s="39"/>
      <c r="AS13" s="41"/>
    </row>
    <row r="14" spans="1:45" x14ac:dyDescent="0.3">
      <c r="A14" s="28"/>
      <c r="B14" s="29"/>
      <c r="C14" s="30"/>
      <c r="D14" s="30"/>
      <c r="E14" s="28"/>
      <c r="F14" s="37">
        <v>1</v>
      </c>
      <c r="G14" s="37"/>
      <c r="H14" s="28"/>
      <c r="I14" s="37">
        <v>1</v>
      </c>
      <c r="J14" s="37"/>
      <c r="K14" s="28"/>
      <c r="L14" s="37">
        <v>1</v>
      </c>
      <c r="M14" s="37"/>
      <c r="N14" s="28"/>
      <c r="O14" s="37">
        <v>1</v>
      </c>
      <c r="P14" s="37"/>
      <c r="Q14" s="28"/>
      <c r="R14" s="37">
        <v>1</v>
      </c>
      <c r="S14" s="37"/>
      <c r="T14" s="28"/>
      <c r="U14" s="37">
        <v>1</v>
      </c>
      <c r="V14" s="37"/>
      <c r="W14" s="28"/>
      <c r="X14" s="37">
        <v>1</v>
      </c>
      <c r="Y14" s="37"/>
      <c r="Z14" s="28"/>
      <c r="AA14" s="37">
        <v>1</v>
      </c>
      <c r="AB14" s="37"/>
      <c r="AC14" s="28"/>
      <c r="AD14" s="37">
        <v>1</v>
      </c>
      <c r="AE14" s="37"/>
      <c r="AF14" s="28"/>
      <c r="AG14" s="37">
        <v>1</v>
      </c>
      <c r="AH14" s="37"/>
      <c r="AI14" s="28"/>
      <c r="AJ14" s="28"/>
      <c r="AK14" s="28"/>
      <c r="AL14" s="33"/>
      <c r="AM14" s="34"/>
      <c r="AN14" s="35"/>
      <c r="AO14" s="41"/>
      <c r="AP14" s="39">
        <f>SUM(D14:AG14)</f>
        <v>10</v>
      </c>
      <c r="AQ14" s="41"/>
      <c r="AR14" s="39"/>
      <c r="AS14" s="41"/>
    </row>
    <row r="15" spans="1:45" x14ac:dyDescent="0.3">
      <c r="A15" s="28">
        <v>4</v>
      </c>
      <c r="B15" s="29" t="s">
        <v>25</v>
      </c>
      <c r="C15" s="30" t="s">
        <v>26</v>
      </c>
      <c r="D15" s="30">
        <v>4</v>
      </c>
      <c r="E15" s="28" t="s">
        <v>22</v>
      </c>
      <c r="F15" s="31">
        <v>1.74</v>
      </c>
      <c r="G15" s="31">
        <v>1.7</v>
      </c>
      <c r="H15" s="31">
        <v>1.7</v>
      </c>
      <c r="I15" s="31">
        <v>1.7</v>
      </c>
      <c r="J15" s="31">
        <v>1.7</v>
      </c>
      <c r="K15" s="31">
        <v>1.7</v>
      </c>
      <c r="L15" s="31"/>
      <c r="M15" s="31">
        <v>1.7</v>
      </c>
      <c r="N15" s="31">
        <v>1.7</v>
      </c>
      <c r="O15" s="31">
        <v>1.7</v>
      </c>
      <c r="P15" s="42" t="s">
        <v>27</v>
      </c>
      <c r="Q15" s="42" t="s">
        <v>27</v>
      </c>
      <c r="R15" s="42" t="s">
        <v>27</v>
      </c>
      <c r="S15" s="31"/>
      <c r="T15" s="31">
        <v>1.7</v>
      </c>
      <c r="U15" s="31">
        <v>1.7</v>
      </c>
      <c r="V15" s="31">
        <v>1.7</v>
      </c>
      <c r="W15" s="31">
        <v>1.7</v>
      </c>
      <c r="X15" s="31">
        <v>1.8</v>
      </c>
      <c r="Y15" s="31">
        <v>1.82</v>
      </c>
      <c r="Z15" s="31"/>
      <c r="AA15" s="31">
        <v>1.74</v>
      </c>
      <c r="AB15" s="31">
        <v>1.74</v>
      </c>
      <c r="AC15" s="31">
        <v>1.74</v>
      </c>
      <c r="AD15" s="31">
        <v>1.74</v>
      </c>
      <c r="AE15" s="31">
        <v>1.8</v>
      </c>
      <c r="AF15" s="31">
        <v>1.74</v>
      </c>
      <c r="AG15" s="31"/>
      <c r="AH15" s="31">
        <v>1.74</v>
      </c>
      <c r="AI15" s="31">
        <v>1.7</v>
      </c>
      <c r="AJ15" s="32"/>
      <c r="AK15" s="32"/>
      <c r="AL15" s="33">
        <f t="shared" si="1"/>
        <v>16.699999999999996</v>
      </c>
      <c r="AM15" s="34">
        <v>23</v>
      </c>
      <c r="AN15" s="35">
        <v>3</v>
      </c>
      <c r="AO15" s="41"/>
      <c r="AP15" s="39"/>
      <c r="AQ15" s="41"/>
      <c r="AR15" s="39"/>
      <c r="AS15" s="41"/>
    </row>
    <row r="16" spans="1:45" x14ac:dyDescent="0.3">
      <c r="A16" s="28"/>
      <c r="B16" s="29"/>
      <c r="C16" s="30"/>
      <c r="D16" s="30"/>
      <c r="E16" s="28"/>
      <c r="F16" s="37">
        <v>1</v>
      </c>
      <c r="G16" s="37"/>
      <c r="H16" s="28"/>
      <c r="I16" s="37">
        <v>1</v>
      </c>
      <c r="J16" s="37"/>
      <c r="K16" s="28"/>
      <c r="L16" s="37">
        <v>1</v>
      </c>
      <c r="M16" s="37"/>
      <c r="N16" s="28"/>
      <c r="O16" s="37">
        <v>1</v>
      </c>
      <c r="P16" s="37"/>
      <c r="Q16" s="28"/>
      <c r="R16" s="37"/>
      <c r="S16" s="37"/>
      <c r="T16" s="37"/>
      <c r="U16" s="37"/>
      <c r="V16" s="37"/>
      <c r="W16" s="37"/>
      <c r="X16" s="37"/>
      <c r="Y16" s="37"/>
      <c r="Z16" s="37">
        <v>1</v>
      </c>
      <c r="AA16" s="37"/>
      <c r="AB16" s="37"/>
      <c r="AC16" s="37">
        <v>1</v>
      </c>
      <c r="AD16" s="37"/>
      <c r="AE16" s="37"/>
      <c r="AF16" s="37">
        <v>1</v>
      </c>
      <c r="AG16" s="37"/>
      <c r="AH16" s="37"/>
      <c r="AI16" s="37">
        <v>1</v>
      </c>
      <c r="AJ16" s="28"/>
      <c r="AK16" s="28"/>
      <c r="AL16" s="33"/>
      <c r="AM16" s="34"/>
      <c r="AN16" s="35"/>
      <c r="AO16" s="41"/>
      <c r="AP16" s="39">
        <f>SUM(D16:AG16)</f>
        <v>7</v>
      </c>
      <c r="AQ16" s="41"/>
      <c r="AR16" s="39"/>
      <c r="AS16" s="41"/>
    </row>
    <row r="17" spans="1:45" x14ac:dyDescent="0.3">
      <c r="A17" s="28">
        <v>5</v>
      </c>
      <c r="B17" s="29" t="s">
        <v>28</v>
      </c>
      <c r="C17" s="30">
        <v>1.68</v>
      </c>
      <c r="D17" s="30">
        <v>4</v>
      </c>
      <c r="E17" s="28" t="s">
        <v>22</v>
      </c>
      <c r="F17" s="31">
        <v>1.74</v>
      </c>
      <c r="G17" s="31">
        <v>1.74</v>
      </c>
      <c r="H17" s="31">
        <v>1.74</v>
      </c>
      <c r="I17" s="31">
        <v>1.74</v>
      </c>
      <c r="J17" s="31">
        <v>1.74</v>
      </c>
      <c r="K17" s="31">
        <v>1.74</v>
      </c>
      <c r="L17" s="31"/>
      <c r="M17" s="31">
        <v>1.74</v>
      </c>
      <c r="N17" s="31">
        <v>1.74</v>
      </c>
      <c r="O17" s="31">
        <v>1.74</v>
      </c>
      <c r="P17" s="31">
        <v>1.74</v>
      </c>
      <c r="Q17" s="31">
        <v>1.74</v>
      </c>
      <c r="R17" s="31">
        <v>1.74</v>
      </c>
      <c r="S17" s="31"/>
      <c r="T17" s="31">
        <v>1.74</v>
      </c>
      <c r="U17" s="31">
        <v>1.74</v>
      </c>
      <c r="V17" s="31">
        <v>1.74</v>
      </c>
      <c r="W17" s="31">
        <v>1.74</v>
      </c>
      <c r="X17" s="31">
        <v>1.74</v>
      </c>
      <c r="Y17" s="31">
        <v>1.74</v>
      </c>
      <c r="Z17" s="31"/>
      <c r="AA17" s="31">
        <v>1.74</v>
      </c>
      <c r="AB17" s="31">
        <v>1.74</v>
      </c>
      <c r="AC17" s="31">
        <v>1.74</v>
      </c>
      <c r="AD17" s="31">
        <v>1.74</v>
      </c>
      <c r="AE17" s="31">
        <v>1.74</v>
      </c>
      <c r="AF17" s="31">
        <v>1.74</v>
      </c>
      <c r="AG17" s="31"/>
      <c r="AH17" s="31">
        <v>1.74</v>
      </c>
      <c r="AI17" s="31">
        <v>1.7</v>
      </c>
      <c r="AJ17" s="32"/>
      <c r="AK17" s="32"/>
      <c r="AL17" s="33">
        <f t="shared" si="1"/>
        <v>19.200000000000003</v>
      </c>
      <c r="AM17" s="34">
        <v>26</v>
      </c>
      <c r="AN17" s="35"/>
      <c r="AO17" s="35"/>
      <c r="AP17" s="39"/>
      <c r="AQ17" s="35"/>
      <c r="AR17" s="39"/>
      <c r="AS17" s="35"/>
    </row>
    <row r="18" spans="1:45" x14ac:dyDescent="0.3">
      <c r="A18" s="28"/>
      <c r="B18" s="29"/>
      <c r="C18" s="30"/>
      <c r="D18" s="30"/>
      <c r="E18" s="28"/>
      <c r="F18" s="37"/>
      <c r="G18" s="37"/>
      <c r="H18" s="37">
        <v>1</v>
      </c>
      <c r="I18" s="37"/>
      <c r="J18" s="37"/>
      <c r="K18" s="37">
        <v>1</v>
      </c>
      <c r="L18" s="37"/>
      <c r="M18" s="37"/>
      <c r="N18" s="37">
        <v>1</v>
      </c>
      <c r="O18" s="37"/>
      <c r="P18" s="37"/>
      <c r="Q18" s="37">
        <v>1</v>
      </c>
      <c r="R18" s="37"/>
      <c r="S18" s="37"/>
      <c r="T18" s="37">
        <v>1</v>
      </c>
      <c r="U18" s="37"/>
      <c r="V18" s="37"/>
      <c r="W18" s="37">
        <v>1</v>
      </c>
      <c r="X18" s="37"/>
      <c r="Y18" s="37"/>
      <c r="Z18" s="37">
        <v>1</v>
      </c>
      <c r="AA18" s="37"/>
      <c r="AB18" s="37"/>
      <c r="AC18" s="37">
        <v>1</v>
      </c>
      <c r="AD18" s="37"/>
      <c r="AE18" s="37"/>
      <c r="AF18" s="37">
        <v>1</v>
      </c>
      <c r="AG18" s="37"/>
      <c r="AH18" s="37"/>
      <c r="AI18" s="37">
        <v>1</v>
      </c>
      <c r="AJ18" s="37"/>
      <c r="AK18" s="37"/>
      <c r="AL18" s="33"/>
      <c r="AM18" s="34"/>
      <c r="AN18" s="35"/>
      <c r="AO18" s="35"/>
      <c r="AP18" s="39">
        <f>SUM(D18:AG18)</f>
        <v>9</v>
      </c>
      <c r="AQ18" s="35"/>
      <c r="AR18" s="39"/>
      <c r="AS18" s="35"/>
    </row>
    <row r="19" spans="1:45" x14ac:dyDescent="0.3">
      <c r="A19" s="28">
        <v>6</v>
      </c>
      <c r="B19" s="29" t="s">
        <v>29</v>
      </c>
      <c r="C19" s="30">
        <v>1.58</v>
      </c>
      <c r="D19" s="30">
        <v>4</v>
      </c>
      <c r="E19" s="28" t="s">
        <v>22</v>
      </c>
      <c r="F19" s="31">
        <v>1.74</v>
      </c>
      <c r="G19" s="31">
        <v>1.74</v>
      </c>
      <c r="H19" s="31">
        <v>1.7</v>
      </c>
      <c r="I19" s="31">
        <v>1.7</v>
      </c>
      <c r="J19" s="31">
        <v>1.7</v>
      </c>
      <c r="K19" s="31">
        <v>1.7</v>
      </c>
      <c r="L19" s="31"/>
      <c r="M19" s="31">
        <v>1.7</v>
      </c>
      <c r="N19" s="31">
        <v>1.7</v>
      </c>
      <c r="O19" s="31">
        <v>1.7</v>
      </c>
      <c r="P19" s="31">
        <v>1.7</v>
      </c>
      <c r="Q19" s="31">
        <v>1.7</v>
      </c>
      <c r="R19" s="31">
        <v>1.7</v>
      </c>
      <c r="S19" s="31"/>
      <c r="T19" s="31">
        <v>1.7</v>
      </c>
      <c r="U19" s="31">
        <v>1.7</v>
      </c>
      <c r="V19" s="31">
        <v>1.7</v>
      </c>
      <c r="W19" s="31">
        <v>1.7</v>
      </c>
      <c r="X19" s="31">
        <v>1.722</v>
      </c>
      <c r="Y19" s="42" t="s">
        <v>27</v>
      </c>
      <c r="Z19" s="42" t="s">
        <v>30</v>
      </c>
      <c r="AA19" s="42" t="s">
        <v>27</v>
      </c>
      <c r="AB19" s="42" t="s">
        <v>27</v>
      </c>
      <c r="AC19" s="42" t="s">
        <v>27</v>
      </c>
      <c r="AD19" s="42" t="s">
        <v>27</v>
      </c>
      <c r="AE19" s="42" t="s">
        <v>27</v>
      </c>
      <c r="AF19" s="42" t="s">
        <v>27</v>
      </c>
      <c r="AG19" s="42" t="s">
        <v>30</v>
      </c>
      <c r="AH19" s="42" t="s">
        <v>27</v>
      </c>
      <c r="AI19" s="42" t="s">
        <v>27</v>
      </c>
      <c r="AJ19" s="32"/>
      <c r="AK19" s="32"/>
      <c r="AL19" s="33">
        <f t="shared" si="1"/>
        <v>12.001999999999995</v>
      </c>
      <c r="AM19" s="34">
        <v>17</v>
      </c>
      <c r="AN19" s="35">
        <v>9</v>
      </c>
      <c r="AO19" s="41"/>
      <c r="AP19" s="39"/>
      <c r="AQ19" s="41"/>
      <c r="AR19" s="39"/>
      <c r="AS19" s="41"/>
    </row>
    <row r="20" spans="1:45" x14ac:dyDescent="0.3">
      <c r="A20" s="28"/>
      <c r="B20" s="29"/>
      <c r="C20" s="30"/>
      <c r="D20" s="30"/>
      <c r="E20" s="28"/>
      <c r="F20" s="37"/>
      <c r="G20" s="37"/>
      <c r="H20" s="37">
        <v>1</v>
      </c>
      <c r="I20" s="37"/>
      <c r="J20" s="37"/>
      <c r="K20" s="37">
        <v>1</v>
      </c>
      <c r="L20" s="37"/>
      <c r="M20" s="37"/>
      <c r="N20" s="37">
        <v>1</v>
      </c>
      <c r="O20" s="37"/>
      <c r="P20" s="37"/>
      <c r="Q20" s="37">
        <v>1</v>
      </c>
      <c r="R20" s="37"/>
      <c r="S20" s="37"/>
      <c r="T20" s="37">
        <v>1</v>
      </c>
      <c r="U20" s="37"/>
      <c r="V20" s="37"/>
      <c r="W20" s="37">
        <v>1</v>
      </c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3"/>
      <c r="AM20" s="34"/>
      <c r="AN20" s="35"/>
      <c r="AO20" s="41"/>
      <c r="AP20" s="39">
        <f>SUM(D20:AG20)</f>
        <v>6</v>
      </c>
      <c r="AQ20" s="41"/>
      <c r="AR20" s="39"/>
      <c r="AS20" s="41"/>
    </row>
    <row r="21" spans="1:45" x14ac:dyDescent="0.3">
      <c r="A21" s="28">
        <v>7</v>
      </c>
      <c r="B21" s="29" t="s">
        <v>31</v>
      </c>
      <c r="C21" s="30">
        <v>1.68</v>
      </c>
      <c r="D21" s="30">
        <v>4</v>
      </c>
      <c r="E21" s="28" t="s">
        <v>22</v>
      </c>
      <c r="F21" s="31">
        <v>1.74</v>
      </c>
      <c r="G21" s="31">
        <v>1.74</v>
      </c>
      <c r="H21" s="31">
        <v>1.74</v>
      </c>
      <c r="I21" s="31">
        <v>1.74</v>
      </c>
      <c r="J21" s="31">
        <v>1.74</v>
      </c>
      <c r="K21" s="31">
        <v>1.74</v>
      </c>
      <c r="L21" s="31"/>
      <c r="M21" s="31">
        <v>1.74</v>
      </c>
      <c r="N21" s="31">
        <v>1.74</v>
      </c>
      <c r="O21" s="31">
        <v>1.74</v>
      </c>
      <c r="P21" s="31">
        <v>1.74</v>
      </c>
      <c r="Q21" s="31">
        <v>1.74</v>
      </c>
      <c r="R21" s="31">
        <v>1.74</v>
      </c>
      <c r="S21" s="31"/>
      <c r="T21" s="31">
        <v>1.74</v>
      </c>
      <c r="U21" s="31">
        <v>1.74</v>
      </c>
      <c r="V21" s="31">
        <v>1.74</v>
      </c>
      <c r="W21" s="31">
        <v>1.74</v>
      </c>
      <c r="X21" s="31">
        <v>1.74</v>
      </c>
      <c r="Y21" s="31">
        <v>1.74</v>
      </c>
      <c r="Z21" s="31"/>
      <c r="AA21" s="31">
        <v>1.74</v>
      </c>
      <c r="AB21" s="31">
        <v>1.74</v>
      </c>
      <c r="AC21" s="31">
        <v>1.74</v>
      </c>
      <c r="AD21" s="31">
        <v>1.74</v>
      </c>
      <c r="AE21" s="31">
        <v>1.74</v>
      </c>
      <c r="AF21" s="31">
        <v>1.74</v>
      </c>
      <c r="AG21" s="31"/>
      <c r="AH21" s="31">
        <v>1.74</v>
      </c>
      <c r="AI21" s="31">
        <v>1.7</v>
      </c>
      <c r="AJ21" s="32"/>
      <c r="AK21" s="32"/>
      <c r="AL21" s="33">
        <f t="shared" si="1"/>
        <v>19.200000000000003</v>
      </c>
      <c r="AM21" s="34">
        <v>26</v>
      </c>
      <c r="AN21" s="35"/>
      <c r="AO21" s="35"/>
      <c r="AP21" s="39"/>
      <c r="AQ21" s="35"/>
      <c r="AR21" s="39"/>
      <c r="AS21" s="35"/>
    </row>
    <row r="22" spans="1:45" x14ac:dyDescent="0.3">
      <c r="A22" s="28"/>
      <c r="B22" s="29"/>
      <c r="C22" s="30"/>
      <c r="D22" s="30"/>
      <c r="E22" s="28"/>
      <c r="F22" s="37"/>
      <c r="G22" s="37">
        <v>1</v>
      </c>
      <c r="H22" s="37"/>
      <c r="I22" s="37"/>
      <c r="J22" s="37">
        <v>1</v>
      </c>
      <c r="K22" s="37"/>
      <c r="L22" s="37"/>
      <c r="M22" s="37">
        <v>1</v>
      </c>
      <c r="N22" s="37"/>
      <c r="O22" s="37"/>
      <c r="P22" s="37">
        <v>1</v>
      </c>
      <c r="Q22" s="37"/>
      <c r="R22" s="37"/>
      <c r="S22" s="37">
        <v>1</v>
      </c>
      <c r="T22" s="37"/>
      <c r="U22" s="37"/>
      <c r="V22" s="37">
        <v>1</v>
      </c>
      <c r="W22" s="37"/>
      <c r="X22" s="37"/>
      <c r="Y22" s="37">
        <v>1</v>
      </c>
      <c r="Z22" s="37"/>
      <c r="AA22" s="37"/>
      <c r="AB22" s="37">
        <v>1</v>
      </c>
      <c r="AC22" s="37"/>
      <c r="AD22" s="37"/>
      <c r="AE22" s="37">
        <v>1</v>
      </c>
      <c r="AF22" s="37"/>
      <c r="AG22" s="37"/>
      <c r="AH22" s="37">
        <v>1</v>
      </c>
      <c r="AI22" s="37"/>
      <c r="AJ22" s="28"/>
      <c r="AK22" s="28"/>
      <c r="AL22" s="33"/>
      <c r="AM22" s="34"/>
      <c r="AN22" s="35"/>
      <c r="AO22" s="35"/>
      <c r="AP22" s="39">
        <f>SUM(D22:AG22)</f>
        <v>9</v>
      </c>
      <c r="AQ22" s="35"/>
      <c r="AR22" s="39"/>
      <c r="AS22" s="35"/>
    </row>
    <row r="23" spans="1:45" x14ac:dyDescent="0.3">
      <c r="A23" s="28">
        <v>8</v>
      </c>
      <c r="B23" s="29" t="s">
        <v>32</v>
      </c>
      <c r="C23" s="30">
        <v>1.68</v>
      </c>
      <c r="D23" s="30">
        <v>4</v>
      </c>
      <c r="E23" s="28" t="s">
        <v>22</v>
      </c>
      <c r="F23" s="31">
        <v>1.7</v>
      </c>
      <c r="G23" s="31">
        <v>1.7</v>
      </c>
      <c r="H23" s="31">
        <v>1.7</v>
      </c>
      <c r="I23" s="31">
        <v>1.7</v>
      </c>
      <c r="J23" s="31">
        <v>1.7</v>
      </c>
      <c r="K23" s="31">
        <v>1.7</v>
      </c>
      <c r="L23" s="31"/>
      <c r="M23" s="31">
        <v>1.7</v>
      </c>
      <c r="N23" s="31">
        <v>1.7</v>
      </c>
      <c r="O23" s="31">
        <v>1.7</v>
      </c>
      <c r="P23" s="31">
        <v>1.7</v>
      </c>
      <c r="Q23" s="31">
        <v>1.7</v>
      </c>
      <c r="R23" s="43">
        <v>1.7</v>
      </c>
      <c r="S23" s="43"/>
      <c r="T23" s="43">
        <v>1.7</v>
      </c>
      <c r="U23" s="43">
        <v>1.7</v>
      </c>
      <c r="V23" s="43">
        <v>1.7</v>
      </c>
      <c r="W23" s="31">
        <v>1.7</v>
      </c>
      <c r="X23" s="31">
        <v>1.7</v>
      </c>
      <c r="Y23" s="31">
        <v>1.7</v>
      </c>
      <c r="Z23" s="31"/>
      <c r="AA23" s="31">
        <v>1.7</v>
      </c>
      <c r="AB23" s="31">
        <v>1.7</v>
      </c>
      <c r="AC23" s="31">
        <v>1.7</v>
      </c>
      <c r="AD23" s="31">
        <v>1.7</v>
      </c>
      <c r="AE23" s="31">
        <v>1.7</v>
      </c>
      <c r="AF23" s="31">
        <v>1.7</v>
      </c>
      <c r="AG23" s="31"/>
      <c r="AH23" s="31">
        <v>1.7</v>
      </c>
      <c r="AI23" s="31">
        <v>1.7</v>
      </c>
      <c r="AJ23" s="32"/>
      <c r="AK23" s="32"/>
      <c r="AL23" s="33">
        <f t="shared" si="1"/>
        <v>18.20000000000001</v>
      </c>
      <c r="AM23" s="34">
        <v>26</v>
      </c>
      <c r="AN23" s="35"/>
      <c r="AO23" s="35"/>
      <c r="AP23" s="39"/>
      <c r="AQ23" s="35"/>
      <c r="AR23" s="39"/>
      <c r="AS23" s="35"/>
    </row>
    <row r="24" spans="1:45" x14ac:dyDescent="0.3">
      <c r="A24" s="28"/>
      <c r="B24" s="29"/>
      <c r="C24" s="30"/>
      <c r="D24" s="30"/>
      <c r="E24" s="28"/>
      <c r="F24" s="37"/>
      <c r="G24" s="37">
        <v>1</v>
      </c>
      <c r="H24" s="37"/>
      <c r="I24" s="37"/>
      <c r="J24" s="37">
        <v>1</v>
      </c>
      <c r="K24" s="37"/>
      <c r="L24" s="37"/>
      <c r="M24" s="37">
        <v>1</v>
      </c>
      <c r="N24" s="37"/>
      <c r="O24" s="37"/>
      <c r="P24" s="37">
        <v>1</v>
      </c>
      <c r="Q24" s="37"/>
      <c r="R24" s="37"/>
      <c r="S24" s="37"/>
      <c r="T24" s="37"/>
      <c r="U24" s="37"/>
      <c r="V24" s="37"/>
      <c r="W24" s="37"/>
      <c r="X24" s="37"/>
      <c r="Y24" s="37">
        <v>1</v>
      </c>
      <c r="Z24" s="37"/>
      <c r="AA24" s="37"/>
      <c r="AB24" s="37">
        <v>1</v>
      </c>
      <c r="AC24" s="37"/>
      <c r="AD24" s="37"/>
      <c r="AE24" s="37">
        <v>1</v>
      </c>
      <c r="AF24" s="37"/>
      <c r="AG24" s="37"/>
      <c r="AH24" s="37">
        <v>1</v>
      </c>
      <c r="AI24" s="37"/>
      <c r="AJ24" s="28"/>
      <c r="AK24" s="28"/>
      <c r="AL24" s="33"/>
      <c r="AM24" s="34"/>
      <c r="AN24" s="35"/>
      <c r="AO24" s="35"/>
      <c r="AP24" s="39">
        <f>SUM(D24:AG24)</f>
        <v>7</v>
      </c>
      <c r="AQ24" s="35"/>
      <c r="AR24" s="39"/>
      <c r="AS24" s="35"/>
    </row>
    <row r="25" spans="1:45" x14ac:dyDescent="0.3">
      <c r="A25" s="28">
        <v>9</v>
      </c>
      <c r="B25" s="29" t="s">
        <v>33</v>
      </c>
      <c r="C25" s="30">
        <v>1.68</v>
      </c>
      <c r="D25" s="30">
        <v>4</v>
      </c>
      <c r="E25" s="28" t="s">
        <v>22</v>
      </c>
      <c r="F25" s="31">
        <v>1.74</v>
      </c>
      <c r="G25" s="31">
        <v>1.74</v>
      </c>
      <c r="H25" s="31">
        <v>1.74</v>
      </c>
      <c r="I25" s="31">
        <v>1.74</v>
      </c>
      <c r="J25" s="31">
        <v>1.74</v>
      </c>
      <c r="K25" s="31">
        <v>1.74</v>
      </c>
      <c r="L25" s="31"/>
      <c r="M25" s="31">
        <v>1.74</v>
      </c>
      <c r="N25" s="31">
        <v>1.74</v>
      </c>
      <c r="O25" s="31">
        <v>1.74</v>
      </c>
      <c r="P25" s="31">
        <v>1.74</v>
      </c>
      <c r="Q25" s="31">
        <v>1.74</v>
      </c>
      <c r="R25" s="31">
        <v>1.74</v>
      </c>
      <c r="S25" s="31"/>
      <c r="T25" s="31">
        <v>1.74</v>
      </c>
      <c r="U25" s="31">
        <v>1.74</v>
      </c>
      <c r="V25" s="31">
        <v>1.74</v>
      </c>
      <c r="W25" s="31">
        <v>1.74</v>
      </c>
      <c r="X25" s="31">
        <v>1.74</v>
      </c>
      <c r="Y25" s="31">
        <v>1.74</v>
      </c>
      <c r="Z25" s="31"/>
      <c r="AA25" s="31">
        <v>1.74</v>
      </c>
      <c r="AB25" s="31">
        <v>1.74</v>
      </c>
      <c r="AC25" s="31">
        <v>1.74</v>
      </c>
      <c r="AD25" s="31">
        <v>1.74</v>
      </c>
      <c r="AE25" s="31">
        <v>1.74</v>
      </c>
      <c r="AF25" s="31">
        <v>1.74</v>
      </c>
      <c r="AG25" s="31"/>
      <c r="AH25" s="31">
        <v>1.74</v>
      </c>
      <c r="AI25" s="31">
        <v>1.7</v>
      </c>
      <c r="AJ25" s="32"/>
      <c r="AK25" s="32"/>
      <c r="AL25" s="33">
        <f t="shared" si="1"/>
        <v>19.200000000000003</v>
      </c>
      <c r="AM25" s="34">
        <v>26</v>
      </c>
      <c r="AN25" s="35"/>
      <c r="AO25" s="35"/>
      <c r="AP25" s="39"/>
      <c r="AQ25" s="35"/>
      <c r="AR25" s="39"/>
      <c r="AS25" s="35"/>
    </row>
    <row r="26" spans="1:45" x14ac:dyDescent="0.3">
      <c r="A26" s="28"/>
      <c r="B26" s="29"/>
      <c r="C26" s="30"/>
      <c r="D26" s="30"/>
      <c r="E26" s="28"/>
      <c r="F26" s="37"/>
      <c r="G26" s="37"/>
      <c r="H26" s="37">
        <v>1</v>
      </c>
      <c r="I26" s="37"/>
      <c r="J26" s="37"/>
      <c r="K26" s="37">
        <v>1</v>
      </c>
      <c r="L26" s="37"/>
      <c r="M26" s="37"/>
      <c r="N26" s="37">
        <v>1</v>
      </c>
      <c r="O26" s="37"/>
      <c r="P26" s="37"/>
      <c r="Q26" s="37">
        <v>1</v>
      </c>
      <c r="R26" s="37"/>
      <c r="S26" s="37"/>
      <c r="T26" s="37">
        <v>1</v>
      </c>
      <c r="U26" s="37"/>
      <c r="V26" s="37"/>
      <c r="W26" s="37">
        <v>1</v>
      </c>
      <c r="X26" s="37"/>
      <c r="Y26" s="37"/>
      <c r="Z26" s="37">
        <v>1</v>
      </c>
      <c r="AA26" s="37"/>
      <c r="AB26" s="37"/>
      <c r="AC26" s="37">
        <v>1</v>
      </c>
      <c r="AD26" s="37"/>
      <c r="AE26" s="37"/>
      <c r="AF26" s="37">
        <v>1</v>
      </c>
      <c r="AG26" s="37"/>
      <c r="AH26" s="37"/>
      <c r="AI26" s="37">
        <v>1</v>
      </c>
      <c r="AJ26" s="37"/>
      <c r="AK26" s="37"/>
      <c r="AL26" s="33"/>
      <c r="AM26" s="34"/>
      <c r="AN26" s="35"/>
      <c r="AO26" s="35"/>
      <c r="AP26" s="39">
        <f>SUM(D26:AG26)</f>
        <v>9</v>
      </c>
      <c r="AQ26" s="44"/>
      <c r="AR26" s="39"/>
      <c r="AS26" s="44"/>
    </row>
    <row r="27" spans="1:45" x14ac:dyDescent="0.3">
      <c r="A27" s="28">
        <v>10</v>
      </c>
      <c r="B27" s="29" t="s">
        <v>34</v>
      </c>
      <c r="C27" s="30">
        <v>1.58</v>
      </c>
      <c r="D27" s="30">
        <v>4</v>
      </c>
      <c r="E27" s="28" t="s">
        <v>22</v>
      </c>
      <c r="F27" s="31">
        <v>1.74</v>
      </c>
      <c r="G27" s="31">
        <v>1.74</v>
      </c>
      <c r="H27" s="31">
        <v>1.74</v>
      </c>
      <c r="I27" s="31">
        <v>1.74</v>
      </c>
      <c r="J27" s="31">
        <v>1.74</v>
      </c>
      <c r="K27" s="31">
        <v>1.74</v>
      </c>
      <c r="L27" s="31"/>
      <c r="M27" s="31">
        <v>1.74</v>
      </c>
      <c r="N27" s="31">
        <v>1.74</v>
      </c>
      <c r="O27" s="31">
        <v>1.74</v>
      </c>
      <c r="P27" s="31">
        <v>1.74</v>
      </c>
      <c r="Q27" s="31">
        <v>1.74</v>
      </c>
      <c r="R27" s="31">
        <v>1.74</v>
      </c>
      <c r="S27" s="31"/>
      <c r="T27" s="31">
        <v>1.74</v>
      </c>
      <c r="U27" s="31">
        <v>1.74</v>
      </c>
      <c r="V27" s="31">
        <v>1.74</v>
      </c>
      <c r="W27" s="31">
        <v>1.74</v>
      </c>
      <c r="X27" s="31">
        <v>1.74</v>
      </c>
      <c r="Y27" s="31">
        <v>1.74</v>
      </c>
      <c r="Z27" s="31"/>
      <c r="AA27" s="31">
        <v>1.74</v>
      </c>
      <c r="AB27" s="31">
        <v>1.74</v>
      </c>
      <c r="AC27" s="31">
        <v>1.74</v>
      </c>
      <c r="AD27" s="31">
        <v>1.74</v>
      </c>
      <c r="AE27" s="31">
        <v>1.74</v>
      </c>
      <c r="AF27" s="31">
        <v>1.74</v>
      </c>
      <c r="AG27" s="31"/>
      <c r="AH27" s="31">
        <v>1.74</v>
      </c>
      <c r="AI27" s="31">
        <v>1.7</v>
      </c>
      <c r="AJ27" s="32"/>
      <c r="AK27" s="32"/>
      <c r="AL27" s="33">
        <f t="shared" si="1"/>
        <v>19.200000000000003</v>
      </c>
      <c r="AM27" s="34">
        <v>26</v>
      </c>
      <c r="AN27" s="35"/>
      <c r="AO27" s="41"/>
      <c r="AP27" s="39"/>
      <c r="AQ27" s="32"/>
      <c r="AR27" s="39"/>
      <c r="AS27" s="32"/>
    </row>
    <row r="28" spans="1:45" x14ac:dyDescent="0.3">
      <c r="A28" s="45"/>
      <c r="B28" s="46"/>
      <c r="C28" s="47"/>
      <c r="D28" s="47"/>
      <c r="E28" s="45"/>
      <c r="F28" s="37">
        <v>1</v>
      </c>
      <c r="G28" s="37"/>
      <c r="H28" s="28"/>
      <c r="I28" s="37">
        <v>1</v>
      </c>
      <c r="J28" s="37"/>
      <c r="K28" s="28"/>
      <c r="L28" s="37">
        <v>1</v>
      </c>
      <c r="M28" s="37"/>
      <c r="N28" s="28"/>
      <c r="O28" s="37">
        <v>1</v>
      </c>
      <c r="P28" s="37"/>
      <c r="Q28" s="28"/>
      <c r="R28" s="37">
        <v>1</v>
      </c>
      <c r="S28" s="37">
        <v>1</v>
      </c>
      <c r="T28" s="28"/>
      <c r="U28" s="37">
        <v>1</v>
      </c>
      <c r="V28" s="37"/>
      <c r="W28" s="28"/>
      <c r="X28" s="37">
        <v>1</v>
      </c>
      <c r="Y28" s="37"/>
      <c r="Z28" s="28"/>
      <c r="AA28" s="37">
        <v>1</v>
      </c>
      <c r="AB28" s="37"/>
      <c r="AC28" s="28"/>
      <c r="AD28" s="37">
        <v>1</v>
      </c>
      <c r="AE28" s="37"/>
      <c r="AF28" s="28"/>
      <c r="AG28" s="37">
        <v>1</v>
      </c>
      <c r="AH28" s="37"/>
      <c r="AI28" s="28"/>
      <c r="AJ28" s="45"/>
      <c r="AK28" s="45"/>
      <c r="AL28" s="48"/>
      <c r="AM28" s="35"/>
      <c r="AN28" s="35"/>
      <c r="AO28" s="49"/>
      <c r="AP28" s="39">
        <f>SUM(D28:AG28)</f>
        <v>11</v>
      </c>
      <c r="AQ28" s="50"/>
      <c r="AR28" s="39"/>
      <c r="AS28" s="50"/>
    </row>
    <row r="29" spans="1:45" x14ac:dyDescent="0.3">
      <c r="A29" s="51"/>
      <c r="B29" s="52" t="s">
        <v>35</v>
      </c>
      <c r="C29" s="51"/>
      <c r="D29" s="51"/>
      <c r="E29" s="51"/>
      <c r="F29" s="53">
        <f>AL29+AM29</f>
        <v>431.00199999999995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5"/>
      <c r="AK29" s="56"/>
      <c r="AL29" s="57">
        <f>SUM(AL9:AL28)</f>
        <v>183.00199999999995</v>
      </c>
      <c r="AM29" s="57">
        <f>SUM(AM9:AM28)</f>
        <v>248</v>
      </c>
      <c r="AN29" s="57">
        <f t="shared" ref="AN29:AS29" si="2">SUM(AN9:AN28)</f>
        <v>12</v>
      </c>
      <c r="AO29" s="57">
        <f t="shared" si="2"/>
        <v>0</v>
      </c>
      <c r="AP29" s="57">
        <f>SUM(AP9:AP28)</f>
        <v>84</v>
      </c>
      <c r="AQ29" s="57">
        <f t="shared" ref="AQ29" si="3">SUM(AQ9:AQ28)</f>
        <v>0</v>
      </c>
      <c r="AR29" s="57">
        <f>SUM(AR9:AR28)</f>
        <v>0</v>
      </c>
      <c r="AS29" s="57">
        <f t="shared" si="2"/>
        <v>0</v>
      </c>
    </row>
    <row r="30" spans="1:45" x14ac:dyDescent="0.3">
      <c r="A30" s="58"/>
      <c r="B30" s="59" t="s">
        <v>36</v>
      </c>
      <c r="C30" s="59"/>
      <c r="D30" s="59"/>
      <c r="E30" s="59"/>
      <c r="F30" s="59"/>
      <c r="G30" s="59"/>
      <c r="H30" s="59"/>
      <c r="I30" s="59"/>
      <c r="J30" s="59"/>
      <c r="K30" s="59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58"/>
      <c r="AM30" s="58"/>
      <c r="AN30" s="58"/>
      <c r="AO30" s="58"/>
      <c r="AP30" s="58"/>
      <c r="AQ30" s="61"/>
      <c r="AR30" s="58"/>
      <c r="AS30" s="61"/>
    </row>
    <row r="31" spans="1:45" x14ac:dyDescent="0.3">
      <c r="A31" s="58"/>
      <c r="B31" s="62" t="s">
        <v>37</v>
      </c>
      <c r="C31" s="62"/>
      <c r="D31" s="62"/>
      <c r="E31" s="62"/>
      <c r="F31" s="62"/>
      <c r="G31" s="62"/>
      <c r="H31" s="62"/>
      <c r="I31" s="62"/>
      <c r="J31" s="62"/>
      <c r="K31" s="62"/>
      <c r="L31" s="63"/>
      <c r="M31" s="63"/>
      <c r="N31" s="63"/>
      <c r="O31" s="62" t="s">
        <v>38</v>
      </c>
      <c r="P31" s="62"/>
      <c r="Q31" s="62"/>
      <c r="R31" s="62"/>
      <c r="S31" s="62"/>
      <c r="T31" s="62"/>
      <c r="U31" s="62"/>
      <c r="V31" s="62"/>
      <c r="W31" s="62"/>
      <c r="X31" s="64"/>
      <c r="Y31" s="64"/>
      <c r="Z31" s="63"/>
      <c r="AA31" s="62" t="s">
        <v>39</v>
      </c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4"/>
    </row>
  </sheetData>
  <mergeCells count="26">
    <mergeCell ref="F8:AJ8"/>
    <mergeCell ref="F29:AJ29"/>
    <mergeCell ref="B30:K30"/>
    <mergeCell ref="B31:K31"/>
    <mergeCell ref="O31:W31"/>
    <mergeCell ref="AA31:AR31"/>
    <mergeCell ref="AL5:AS5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1:P1"/>
    <mergeCell ref="A2:P2"/>
    <mergeCell ref="A3:AS3"/>
    <mergeCell ref="A4:AS4"/>
    <mergeCell ref="A5:A7"/>
    <mergeCell ref="B5:B7"/>
    <mergeCell ref="C5:C7"/>
    <mergeCell ref="D5:D7"/>
    <mergeCell ref="E5:E7"/>
    <mergeCell ref="F5:A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Vu Trong</dc:creator>
  <cp:lastModifiedBy>Thien Vu Trong</cp:lastModifiedBy>
  <dcterms:created xsi:type="dcterms:W3CDTF">2026-07-15T04:09:28Z</dcterms:created>
  <dcterms:modified xsi:type="dcterms:W3CDTF">2026-07-15T10:01:19Z</dcterms:modified>
</cp:coreProperties>
</file>