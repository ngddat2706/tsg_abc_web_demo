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D:\BK_PROJECTS\ABC_DuongSatSaiGon\NhapLieu\"/>
    </mc:Choice>
  </mc:AlternateContent>
  <xr:revisionPtr revIDLastSave="0" documentId="13_ncr:1_{4552CA1D-1772-4BDB-A69D-82B4B9B94659}" xr6:coauthVersionLast="47" xr6:coauthVersionMax="47" xr10:uidLastSave="{00000000-0000-0000-0000-000000000000}"/>
  <bookViews>
    <workbookView xWindow="-108" yWindow="-108" windowWidth="23256" windowHeight="12576" xr2:uid="{F7C94AEA-7A21-4B5D-961B-09C15FE5F7E6}"/>
  </bookViews>
  <sheets>
    <sheet name="NS_DATA" sheetId="26" r:id="rId1"/>
    <sheet name="DonVi_PB_Cung_Tram" sheetId="21" r:id="rId2"/>
    <sheet name="PhanLoaiLĐ" sheetId="22" r:id="rId3"/>
    <sheet name="ChucDanh" sheetId="20" r:id="rId4"/>
    <sheet name="DATA 01-2026" sheetId="1" state="hidden" r:id="rId5"/>
    <sheet name="+Tuyen dung 2025" sheetId="19" state="hidden" r:id="rId6"/>
    <sheet name="Sheet1" sheetId="27" state="hidden" r:id="rId7"/>
    <sheet name="Sheet2" sheetId="28" state="hidden" r:id="rId8"/>
    <sheet name="Bac" sheetId="23" state="hidden" r:id="rId9"/>
    <sheet name="Contract_Promotion" sheetId="25" state="hidden" r:id="rId10"/>
  </sheets>
  <externalReferences>
    <externalReference r:id="rId11"/>
    <externalReference r:id="rId12"/>
    <externalReference r:id="rId13"/>
  </externalReferences>
  <definedNames>
    <definedName name="_xlnm._FilterDatabase" localSheetId="4" hidden="1">'DATA 01-2026'!$A$1:$FY$403</definedName>
    <definedName name="_xlnm.Print_Area" localSheetId="4">'DATA 01-2026'!$E$66:$R$398</definedName>
    <definedName name="_xlnm.Print_Titles" localSheetId="4">'DATA 01-2026'!$1:$1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J2" i="1"/>
  <c r="U2" i="1"/>
  <c r="X2" i="1" s="1"/>
  <c r="V2" i="1"/>
  <c r="W2" i="1"/>
  <c r="Y2" i="1"/>
  <c r="AC2" i="1"/>
  <c r="AG2" i="1"/>
  <c r="H3" i="1"/>
  <c r="I3" i="1" s="1"/>
  <c r="J3" i="1"/>
  <c r="U3" i="1"/>
  <c r="V3" i="1"/>
  <c r="W3" i="1"/>
  <c r="X3" i="1"/>
  <c r="Y3" i="1"/>
  <c r="AC3" i="1"/>
  <c r="AG3" i="1"/>
  <c r="H4" i="1"/>
  <c r="I4" i="1" s="1"/>
  <c r="J4" i="1"/>
  <c r="U4" i="1"/>
  <c r="V4" i="1"/>
  <c r="X4" i="1" s="1"/>
  <c r="W4" i="1"/>
  <c r="Y4" i="1"/>
  <c r="AC4" i="1"/>
  <c r="AG4" i="1"/>
  <c r="H5" i="1"/>
  <c r="J5" i="1"/>
  <c r="U5" i="1"/>
  <c r="X5" i="1" s="1"/>
  <c r="V5" i="1"/>
  <c r="W5" i="1"/>
  <c r="Y5" i="1"/>
  <c r="AC5" i="1"/>
  <c r="AG5" i="1"/>
  <c r="H6" i="1"/>
  <c r="I6" i="1"/>
  <c r="J6" i="1"/>
  <c r="U6" i="1"/>
  <c r="X6" i="1" s="1"/>
  <c r="V6" i="1"/>
  <c r="W6" i="1"/>
  <c r="Y6" i="1"/>
  <c r="AC6" i="1"/>
  <c r="AG6" i="1"/>
  <c r="H7" i="1"/>
  <c r="J7" i="1"/>
  <c r="U7" i="1"/>
  <c r="X7" i="1" s="1"/>
  <c r="V7" i="1"/>
  <c r="W7" i="1"/>
  <c r="Y7" i="1"/>
  <c r="AC7" i="1"/>
  <c r="AG7" i="1"/>
  <c r="H8" i="1"/>
  <c r="J8" i="1"/>
  <c r="U8" i="1"/>
  <c r="X8" i="1" s="1"/>
  <c r="V8" i="1"/>
  <c r="W8" i="1"/>
  <c r="Y8" i="1"/>
  <c r="AC8" i="1"/>
  <c r="AG8" i="1"/>
  <c r="H9" i="1"/>
  <c r="I9" i="1"/>
  <c r="U9" i="1"/>
  <c r="V9" i="1"/>
  <c r="W9" i="1"/>
  <c r="X9" i="1"/>
  <c r="H10" i="1"/>
  <c r="I10" i="1" s="1"/>
  <c r="U10" i="1"/>
  <c r="X10" i="1" s="1"/>
  <c r="V10" i="1"/>
  <c r="W10" i="1"/>
  <c r="H11" i="1"/>
  <c r="J11" i="1"/>
  <c r="U11" i="1"/>
  <c r="V11" i="1"/>
  <c r="W11" i="1"/>
  <c r="X11" i="1"/>
  <c r="Y11" i="1"/>
  <c r="AC11" i="1"/>
  <c r="AG11" i="1"/>
  <c r="H12" i="1"/>
  <c r="J12" i="1"/>
  <c r="U12" i="1"/>
  <c r="V12" i="1"/>
  <c r="W12" i="1"/>
  <c r="X12" i="1"/>
  <c r="Y12" i="1"/>
  <c r="AC12" i="1"/>
  <c r="AG12" i="1"/>
  <c r="H13" i="1"/>
  <c r="J13" i="1"/>
  <c r="U13" i="1"/>
  <c r="V13" i="1"/>
  <c r="W13" i="1"/>
  <c r="X13" i="1"/>
  <c r="Y13" i="1"/>
  <c r="AC13" i="1"/>
  <c r="AG13" i="1"/>
  <c r="H14" i="1"/>
  <c r="I14" i="1" s="1"/>
  <c r="J14" i="1"/>
  <c r="U14" i="1"/>
  <c r="V14" i="1"/>
  <c r="W14" i="1"/>
  <c r="X14" i="1"/>
  <c r="Y14" i="1"/>
  <c r="AC14" i="1"/>
  <c r="AG14" i="1"/>
  <c r="H15" i="1"/>
  <c r="I15" i="1"/>
  <c r="J15" i="1"/>
  <c r="U15" i="1"/>
  <c r="X15" i="1" s="1"/>
  <c r="V15" i="1"/>
  <c r="W15" i="1"/>
  <c r="Y15" i="1"/>
  <c r="AC15" i="1"/>
  <c r="AG15" i="1"/>
  <c r="H16" i="1"/>
  <c r="I16" i="1" s="1"/>
  <c r="J16" i="1"/>
  <c r="U16" i="1"/>
  <c r="V16" i="1"/>
  <c r="W16" i="1"/>
  <c r="X16" i="1"/>
  <c r="Y16" i="1"/>
  <c r="AC16" i="1"/>
  <c r="AG16" i="1"/>
  <c r="H17" i="1"/>
  <c r="J17" i="1"/>
  <c r="U17" i="1"/>
  <c r="V17" i="1"/>
  <c r="W17" i="1"/>
  <c r="X17" i="1"/>
  <c r="Y17" i="1"/>
  <c r="AC17" i="1"/>
  <c r="AG17" i="1"/>
  <c r="H18" i="1"/>
  <c r="I18" i="1" s="1"/>
  <c r="J18" i="1"/>
  <c r="U18" i="1"/>
  <c r="V18" i="1"/>
  <c r="W18" i="1"/>
  <c r="X18" i="1" s="1"/>
  <c r="Y18" i="1"/>
  <c r="AC18" i="1"/>
  <c r="AG18" i="1"/>
  <c r="H19" i="1"/>
  <c r="J19" i="1"/>
  <c r="U19" i="1"/>
  <c r="V19" i="1"/>
  <c r="W19" i="1"/>
  <c r="X19" i="1"/>
  <c r="Y19" i="1"/>
  <c r="AC19" i="1"/>
  <c r="AG19" i="1"/>
  <c r="H20" i="1"/>
  <c r="J20" i="1"/>
  <c r="U20" i="1"/>
  <c r="X20" i="1" s="1"/>
  <c r="V20" i="1"/>
  <c r="W20" i="1"/>
  <c r="AC20" i="1"/>
  <c r="H21" i="1"/>
  <c r="I21" i="1"/>
  <c r="J21" i="1"/>
  <c r="U21" i="1"/>
  <c r="X21" i="1" s="1"/>
  <c r="V21" i="1"/>
  <c r="W21" i="1"/>
  <c r="Y21" i="1"/>
  <c r="AC21" i="1"/>
  <c r="AG21" i="1"/>
  <c r="H22" i="1"/>
  <c r="I22" i="1"/>
  <c r="J22" i="1"/>
  <c r="U22" i="1"/>
  <c r="X22" i="1" s="1"/>
  <c r="V22" i="1"/>
  <c r="W22" i="1"/>
  <c r="Y22" i="1"/>
  <c r="AC22" i="1"/>
  <c r="H23" i="1"/>
  <c r="I23" i="1" s="1"/>
  <c r="U23" i="1"/>
  <c r="X23" i="1" s="1"/>
  <c r="V23" i="1"/>
  <c r="W23" i="1"/>
  <c r="H24" i="1"/>
  <c r="I24" i="1"/>
  <c r="J24" i="1"/>
  <c r="U24" i="1"/>
  <c r="V24" i="1"/>
  <c r="W24" i="1"/>
  <c r="X24" i="1"/>
  <c r="Y24" i="1"/>
  <c r="AC24" i="1"/>
  <c r="AG24" i="1"/>
  <c r="H25" i="1"/>
  <c r="I25" i="1" s="1"/>
  <c r="J25" i="1"/>
  <c r="U25" i="1"/>
  <c r="V25" i="1"/>
  <c r="X25" i="1" s="1"/>
  <c r="W25" i="1"/>
  <c r="Y25" i="1"/>
  <c r="AC25" i="1"/>
  <c r="AG25" i="1"/>
  <c r="H26" i="1"/>
  <c r="I26" i="1" s="1"/>
  <c r="J26" i="1"/>
  <c r="U26" i="1"/>
  <c r="V26" i="1"/>
  <c r="W26" i="1"/>
  <c r="X26" i="1"/>
  <c r="Y26" i="1"/>
  <c r="AC26" i="1"/>
  <c r="AG26" i="1"/>
  <c r="H27" i="1"/>
  <c r="I27" i="1" s="1"/>
  <c r="J27" i="1"/>
  <c r="U27" i="1"/>
  <c r="V27" i="1"/>
  <c r="W27" i="1"/>
  <c r="X27" i="1"/>
  <c r="Y27" i="1"/>
  <c r="AC27" i="1"/>
  <c r="H28" i="1"/>
  <c r="I28" i="1"/>
  <c r="J28" i="1"/>
  <c r="U28" i="1"/>
  <c r="X28" i="1" s="1"/>
  <c r="V28" i="1"/>
  <c r="W28" i="1"/>
  <c r="Y28" i="1"/>
  <c r="AC28" i="1"/>
  <c r="AG28" i="1"/>
  <c r="I29" i="1"/>
  <c r="J29" i="1"/>
  <c r="U29" i="1"/>
  <c r="V29" i="1"/>
  <c r="W29" i="1"/>
  <c r="X29" i="1"/>
  <c r="Y29" i="1"/>
  <c r="AC29" i="1"/>
  <c r="AG29" i="1"/>
  <c r="H30" i="1"/>
  <c r="I30" i="1" s="1"/>
  <c r="J30" i="1"/>
  <c r="U30" i="1"/>
  <c r="V30" i="1"/>
  <c r="X30" i="1" s="1"/>
  <c r="W30" i="1"/>
  <c r="Y30" i="1"/>
  <c r="AC30" i="1"/>
  <c r="AG30" i="1"/>
  <c r="H31" i="1"/>
  <c r="I31" i="1" s="1"/>
  <c r="J31" i="1"/>
  <c r="U31" i="1"/>
  <c r="V31" i="1"/>
  <c r="X31" i="1" s="1"/>
  <c r="W31" i="1"/>
  <c r="Y31" i="1"/>
  <c r="AC31" i="1"/>
  <c r="AG31" i="1"/>
  <c r="H32" i="1"/>
  <c r="I32" i="1" s="1"/>
  <c r="J32" i="1"/>
  <c r="U32" i="1"/>
  <c r="V32" i="1"/>
  <c r="W32" i="1"/>
  <c r="X32" i="1"/>
  <c r="Y32" i="1"/>
  <c r="AC32" i="1"/>
  <c r="AG32" i="1"/>
  <c r="H33" i="1"/>
  <c r="J33" i="1"/>
  <c r="U33" i="1"/>
  <c r="V33" i="1"/>
  <c r="W33" i="1"/>
  <c r="X33" i="1"/>
  <c r="Y33" i="1"/>
  <c r="AC33" i="1"/>
  <c r="AG33" i="1"/>
  <c r="H34" i="1"/>
  <c r="I34" i="1"/>
  <c r="J34" i="1"/>
  <c r="U34" i="1"/>
  <c r="X34" i="1" s="1"/>
  <c r="V34" i="1"/>
  <c r="W34" i="1"/>
  <c r="Y34" i="1"/>
  <c r="AC34" i="1"/>
  <c r="AG34" i="1"/>
  <c r="H35" i="1"/>
  <c r="I35" i="1"/>
  <c r="U35" i="1"/>
  <c r="X35" i="1" s="1"/>
  <c r="V35" i="1"/>
  <c r="W35" i="1"/>
  <c r="Y35" i="1"/>
  <c r="AC35" i="1"/>
  <c r="AG35" i="1"/>
  <c r="H36" i="1"/>
  <c r="J36" i="1"/>
  <c r="U36" i="1"/>
  <c r="X36" i="1" s="1"/>
  <c r="V36" i="1"/>
  <c r="W36" i="1"/>
  <c r="Y36" i="1"/>
  <c r="AC36" i="1"/>
  <c r="AG36" i="1"/>
  <c r="H37" i="1"/>
  <c r="I37" i="1" s="1"/>
  <c r="J37" i="1"/>
  <c r="U37" i="1"/>
  <c r="V37" i="1"/>
  <c r="W37" i="1"/>
  <c r="X37" i="1"/>
  <c r="Y37" i="1"/>
  <c r="AC37" i="1"/>
  <c r="AG37" i="1"/>
  <c r="H38" i="1"/>
  <c r="I38" i="1"/>
  <c r="J38" i="1"/>
  <c r="U38" i="1"/>
  <c r="V38" i="1"/>
  <c r="W38" i="1"/>
  <c r="X38" i="1"/>
  <c r="Y38" i="1"/>
  <c r="AC38" i="1"/>
  <c r="AG38" i="1"/>
  <c r="H39" i="1"/>
  <c r="J39" i="1"/>
  <c r="U39" i="1"/>
  <c r="X39" i="1" s="1"/>
  <c r="V39" i="1"/>
  <c r="W39" i="1"/>
  <c r="Y39" i="1"/>
  <c r="AC39" i="1"/>
  <c r="AG39" i="1"/>
  <c r="H40" i="1"/>
  <c r="J40" i="1"/>
  <c r="U40" i="1"/>
  <c r="X40" i="1" s="1"/>
  <c r="V40" i="1"/>
  <c r="W40" i="1"/>
  <c r="Y40" i="1"/>
  <c r="AC40" i="1"/>
  <c r="AG40" i="1"/>
  <c r="H41" i="1"/>
  <c r="J41" i="1"/>
  <c r="U41" i="1"/>
  <c r="X41" i="1" s="1"/>
  <c r="V41" i="1"/>
  <c r="W41" i="1"/>
  <c r="Y41" i="1"/>
  <c r="AC41" i="1"/>
  <c r="H42" i="1"/>
  <c r="J42" i="1"/>
  <c r="U42" i="1"/>
  <c r="X42" i="1" s="1"/>
  <c r="V42" i="1"/>
  <c r="W42" i="1"/>
  <c r="Y42" i="1"/>
  <c r="AC42" i="1"/>
  <c r="AG42" i="1"/>
  <c r="H43" i="1"/>
  <c r="I43" i="1"/>
  <c r="J43" i="1"/>
  <c r="U43" i="1"/>
  <c r="V43" i="1"/>
  <c r="X43" i="1" s="1"/>
  <c r="W43" i="1"/>
  <c r="Y43" i="1"/>
  <c r="AC43" i="1"/>
  <c r="AG43" i="1"/>
  <c r="H44" i="1"/>
  <c r="J44" i="1"/>
  <c r="U44" i="1"/>
  <c r="V44" i="1"/>
  <c r="W44" i="1"/>
  <c r="X44" i="1"/>
  <c r="Y44" i="1"/>
  <c r="AC44" i="1"/>
  <c r="AG44" i="1"/>
  <c r="H45" i="1"/>
  <c r="I45" i="1"/>
  <c r="J45" i="1"/>
  <c r="U45" i="1"/>
  <c r="V45" i="1"/>
  <c r="W45" i="1"/>
  <c r="X45" i="1"/>
  <c r="Y45" i="1"/>
  <c r="AC45" i="1"/>
  <c r="AG45" i="1"/>
  <c r="H46" i="1"/>
  <c r="I46" i="1"/>
  <c r="J46" i="1"/>
  <c r="U46" i="1"/>
  <c r="X46" i="1" s="1"/>
  <c r="V46" i="1"/>
  <c r="W46" i="1"/>
  <c r="Y46" i="1"/>
  <c r="AC46" i="1"/>
  <c r="AG46" i="1"/>
  <c r="H47" i="1"/>
  <c r="I47" i="1" s="1"/>
  <c r="J47" i="1"/>
  <c r="U47" i="1"/>
  <c r="X47" i="1" s="1"/>
  <c r="V47" i="1"/>
  <c r="W47" i="1"/>
  <c r="Y47" i="1"/>
  <c r="AC47" i="1"/>
  <c r="AG47" i="1"/>
  <c r="H48" i="1"/>
  <c r="I48" i="1" s="1"/>
  <c r="J48" i="1"/>
  <c r="U48" i="1"/>
  <c r="V48" i="1"/>
  <c r="W48" i="1"/>
  <c r="X48" i="1"/>
  <c r="Y48" i="1"/>
  <c r="AC48" i="1"/>
  <c r="AG48" i="1"/>
  <c r="H49" i="1"/>
  <c r="I49" i="1"/>
  <c r="U49" i="1"/>
  <c r="X49" i="1" s="1"/>
  <c r="V49" i="1"/>
  <c r="W49" i="1"/>
  <c r="Y49" i="1"/>
  <c r="AC49" i="1"/>
  <c r="AG49" i="1"/>
  <c r="H50" i="1"/>
  <c r="I50" i="1" s="1"/>
  <c r="U50" i="1"/>
  <c r="V50" i="1"/>
  <c r="W50" i="1"/>
  <c r="X50" i="1"/>
  <c r="Y50" i="1"/>
  <c r="AC50" i="1"/>
  <c r="AG50" i="1"/>
  <c r="H51" i="1"/>
  <c r="I51" i="1"/>
  <c r="U51" i="1"/>
  <c r="X51" i="1" s="1"/>
  <c r="V51" i="1"/>
  <c r="W51" i="1"/>
  <c r="Y51" i="1"/>
  <c r="AC51" i="1"/>
  <c r="AG51" i="1"/>
  <c r="H52" i="1"/>
  <c r="I52" i="1"/>
  <c r="U52" i="1"/>
  <c r="X52" i="1" s="1"/>
  <c r="V52" i="1"/>
  <c r="W52" i="1"/>
  <c r="Y52" i="1"/>
  <c r="AC52" i="1"/>
  <c r="AG52" i="1"/>
  <c r="H53" i="1"/>
  <c r="I53" i="1" s="1"/>
  <c r="U53" i="1"/>
  <c r="X53" i="1" s="1"/>
  <c r="V53" i="1"/>
  <c r="W53" i="1"/>
  <c r="Y53" i="1"/>
  <c r="AC53" i="1"/>
  <c r="AG53" i="1"/>
  <c r="H54" i="1"/>
  <c r="I54" i="1"/>
  <c r="U54" i="1"/>
  <c r="X54" i="1" s="1"/>
  <c r="V54" i="1"/>
  <c r="W54" i="1"/>
  <c r="Y54" i="1"/>
  <c r="AC54" i="1"/>
  <c r="AG54" i="1"/>
  <c r="H55" i="1"/>
  <c r="I55" i="1" s="1"/>
  <c r="U55" i="1"/>
  <c r="V55" i="1"/>
  <c r="W55" i="1"/>
  <c r="X55" i="1"/>
  <c r="Y55" i="1"/>
  <c r="AC55" i="1"/>
  <c r="AG55" i="1"/>
  <c r="H56" i="1"/>
  <c r="I56" i="1" s="1"/>
  <c r="U56" i="1"/>
  <c r="V56" i="1"/>
  <c r="W56" i="1"/>
  <c r="X56" i="1"/>
  <c r="Y56" i="1"/>
  <c r="AC56" i="1"/>
  <c r="AG56" i="1"/>
  <c r="H57" i="1"/>
  <c r="I57" i="1"/>
  <c r="U57" i="1"/>
  <c r="X57" i="1" s="1"/>
  <c r="V57" i="1"/>
  <c r="W57" i="1"/>
  <c r="Y57" i="1"/>
  <c r="AC57" i="1"/>
  <c r="AG57" i="1"/>
  <c r="H58" i="1"/>
  <c r="I58" i="1"/>
  <c r="U58" i="1"/>
  <c r="V58" i="1"/>
  <c r="W58" i="1"/>
  <c r="X58" i="1"/>
  <c r="Y58" i="1"/>
  <c r="AC58" i="1"/>
  <c r="AG58" i="1"/>
  <c r="H59" i="1"/>
  <c r="I59" i="1"/>
  <c r="J59" i="1"/>
  <c r="U59" i="1"/>
  <c r="X59" i="1" s="1"/>
  <c r="V59" i="1"/>
  <c r="W59" i="1"/>
  <c r="Y59" i="1"/>
  <c r="AC59" i="1"/>
  <c r="AG59" i="1"/>
  <c r="H60" i="1"/>
  <c r="I60" i="1" s="1"/>
  <c r="J60" i="1"/>
  <c r="U60" i="1"/>
  <c r="X60" i="1" s="1"/>
  <c r="V60" i="1"/>
  <c r="W60" i="1"/>
  <c r="Y60" i="1"/>
  <c r="AC60" i="1"/>
  <c r="AG60" i="1"/>
  <c r="H61" i="1"/>
  <c r="I61" i="1" s="1"/>
  <c r="J61" i="1"/>
  <c r="U61" i="1"/>
  <c r="V61" i="1"/>
  <c r="W61" i="1"/>
  <c r="X61" i="1"/>
  <c r="Y61" i="1"/>
  <c r="AC61" i="1"/>
  <c r="AG61" i="1"/>
  <c r="H62" i="1"/>
  <c r="I62" i="1"/>
  <c r="U62" i="1"/>
  <c r="X62" i="1" s="1"/>
  <c r="V62" i="1"/>
  <c r="W62" i="1"/>
  <c r="Y62" i="1"/>
  <c r="AC62" i="1"/>
  <c r="AG62" i="1"/>
  <c r="H63" i="1"/>
  <c r="I63" i="1"/>
  <c r="J63" i="1"/>
  <c r="U63" i="1"/>
  <c r="X63" i="1" s="1"/>
  <c r="V63" i="1"/>
  <c r="W63" i="1"/>
  <c r="Y63" i="1"/>
  <c r="AC63" i="1"/>
  <c r="AG63" i="1"/>
  <c r="H64" i="1"/>
  <c r="I64" i="1"/>
  <c r="J64" i="1"/>
  <c r="U64" i="1"/>
  <c r="X64" i="1" s="1"/>
  <c r="V64" i="1"/>
  <c r="W64" i="1"/>
  <c r="Y64" i="1"/>
  <c r="AC64" i="1"/>
  <c r="AG64" i="1"/>
  <c r="H65" i="1"/>
  <c r="I65" i="1"/>
  <c r="U65" i="1"/>
  <c r="X65" i="1" s="1"/>
  <c r="V65" i="1"/>
  <c r="W65" i="1"/>
  <c r="H66" i="1"/>
  <c r="I66" i="1"/>
  <c r="U66" i="1"/>
  <c r="X66" i="1" s="1"/>
  <c r="V66" i="1"/>
  <c r="W66" i="1"/>
  <c r="Y66" i="1"/>
  <c r="AC66" i="1"/>
  <c r="AG66" i="1"/>
  <c r="H67" i="1"/>
  <c r="I67" i="1" s="1"/>
  <c r="U67" i="1"/>
  <c r="X67" i="1" s="1"/>
  <c r="V67" i="1"/>
  <c r="W67" i="1"/>
  <c r="Y67" i="1"/>
  <c r="AC67" i="1"/>
  <c r="AG67" i="1"/>
  <c r="H68" i="1"/>
  <c r="I68" i="1"/>
  <c r="U68" i="1"/>
  <c r="X68" i="1" s="1"/>
  <c r="V68" i="1"/>
  <c r="W68" i="1"/>
  <c r="Y68" i="1"/>
  <c r="AC68" i="1"/>
  <c r="AG68" i="1"/>
  <c r="H69" i="1"/>
  <c r="I69" i="1" s="1"/>
  <c r="U69" i="1"/>
  <c r="V69" i="1"/>
  <c r="W69" i="1"/>
  <c r="X69" i="1"/>
  <c r="Y69" i="1"/>
  <c r="AC69" i="1"/>
  <c r="AG69" i="1"/>
  <c r="H70" i="1"/>
  <c r="I70" i="1" s="1"/>
  <c r="U70" i="1"/>
  <c r="V70" i="1"/>
  <c r="W70" i="1"/>
  <c r="X70" i="1"/>
  <c r="Y70" i="1"/>
  <c r="AC70" i="1"/>
  <c r="AG70" i="1"/>
  <c r="H71" i="1"/>
  <c r="I71" i="1"/>
  <c r="U71" i="1"/>
  <c r="X71" i="1" s="1"/>
  <c r="V71" i="1"/>
  <c r="W71" i="1"/>
  <c r="Y71" i="1"/>
  <c r="AC71" i="1"/>
  <c r="AG71" i="1"/>
  <c r="H72" i="1"/>
  <c r="I72" i="1"/>
  <c r="U72" i="1"/>
  <c r="V72" i="1"/>
  <c r="W72" i="1"/>
  <c r="X72" i="1"/>
  <c r="Y72" i="1"/>
  <c r="AC72" i="1"/>
  <c r="AG72" i="1"/>
  <c r="I73" i="1"/>
  <c r="U73" i="1"/>
  <c r="V73" i="1"/>
  <c r="W73" i="1"/>
  <c r="X73" i="1"/>
  <c r="Y73" i="1"/>
  <c r="AC73" i="1"/>
  <c r="AG73" i="1"/>
  <c r="H74" i="1"/>
  <c r="I74" i="1"/>
  <c r="U74" i="1"/>
  <c r="X74" i="1" s="1"/>
  <c r="V74" i="1"/>
  <c r="W74" i="1"/>
  <c r="Y74" i="1"/>
  <c r="AC74" i="1"/>
  <c r="H75" i="1"/>
  <c r="I75" i="1"/>
  <c r="U75" i="1"/>
  <c r="X75" i="1" s="1"/>
  <c r="V75" i="1"/>
  <c r="W75" i="1"/>
  <c r="Y75" i="1"/>
  <c r="AC75" i="1"/>
  <c r="AG75" i="1"/>
  <c r="I76" i="1"/>
  <c r="U76" i="1"/>
  <c r="X76" i="1" s="1"/>
  <c r="V76" i="1"/>
  <c r="W76" i="1"/>
  <c r="Y76" i="1"/>
  <c r="AC76" i="1"/>
  <c r="AG76" i="1"/>
  <c r="H77" i="1"/>
  <c r="I77" i="1"/>
  <c r="U77" i="1"/>
  <c r="V77" i="1"/>
  <c r="X77" i="1" s="1"/>
  <c r="W77" i="1"/>
  <c r="Y77" i="1"/>
  <c r="AC77" i="1"/>
  <c r="AG77" i="1"/>
  <c r="H78" i="1"/>
  <c r="I78" i="1" s="1"/>
  <c r="U78" i="1"/>
  <c r="X78" i="1" s="1"/>
  <c r="V78" i="1"/>
  <c r="W78" i="1"/>
  <c r="Y78" i="1"/>
  <c r="AC78" i="1"/>
  <c r="AG78" i="1"/>
  <c r="H79" i="1"/>
  <c r="I79" i="1"/>
  <c r="U79" i="1"/>
  <c r="X79" i="1" s="1"/>
  <c r="V79" i="1"/>
  <c r="W79" i="1"/>
  <c r="Y79" i="1"/>
  <c r="AC79" i="1"/>
  <c r="AG79" i="1"/>
  <c r="H80" i="1"/>
  <c r="I80" i="1" s="1"/>
  <c r="U80" i="1"/>
  <c r="V80" i="1"/>
  <c r="W80" i="1"/>
  <c r="X80" i="1"/>
  <c r="Y80" i="1"/>
  <c r="AC80" i="1"/>
  <c r="AG80" i="1"/>
  <c r="H81" i="1"/>
  <c r="I81" i="1" s="1"/>
  <c r="U81" i="1"/>
  <c r="V81" i="1"/>
  <c r="W81" i="1"/>
  <c r="X81" i="1"/>
  <c r="Y81" i="1"/>
  <c r="AC81" i="1"/>
  <c r="AG81" i="1"/>
  <c r="I82" i="1"/>
  <c r="U82" i="1"/>
  <c r="V82" i="1"/>
  <c r="W82" i="1"/>
  <c r="X82" i="1"/>
  <c r="Y82" i="1"/>
  <c r="AC82" i="1"/>
  <c r="AG82" i="1"/>
  <c r="H83" i="1"/>
  <c r="I83" i="1"/>
  <c r="U83" i="1"/>
  <c r="X83" i="1" s="1"/>
  <c r="V83" i="1"/>
  <c r="W83" i="1"/>
  <c r="Y83" i="1"/>
  <c r="AC83" i="1"/>
  <c r="AG83" i="1"/>
  <c r="H84" i="1"/>
  <c r="I84" i="1"/>
  <c r="U84" i="1"/>
  <c r="V84" i="1"/>
  <c r="W84" i="1"/>
  <c r="X84" i="1"/>
  <c r="Y84" i="1"/>
  <c r="AC84" i="1"/>
  <c r="AG84" i="1"/>
  <c r="H85" i="1"/>
  <c r="J85" i="1"/>
  <c r="U85" i="1"/>
  <c r="X85" i="1" s="1"/>
  <c r="V85" i="1"/>
  <c r="W85" i="1"/>
  <c r="Y85" i="1"/>
  <c r="AC85" i="1"/>
  <c r="AG85" i="1"/>
  <c r="H86" i="1"/>
  <c r="I86" i="1"/>
  <c r="U86" i="1"/>
  <c r="X86" i="1" s="1"/>
  <c r="V86" i="1"/>
  <c r="W86" i="1"/>
  <c r="Y86" i="1"/>
  <c r="AC86" i="1"/>
  <c r="AG86" i="1"/>
  <c r="H87" i="1"/>
  <c r="I87" i="1" s="1"/>
  <c r="U87" i="1"/>
  <c r="X87" i="1" s="1"/>
  <c r="V87" i="1"/>
  <c r="W87" i="1"/>
  <c r="Y87" i="1"/>
  <c r="AC87" i="1"/>
  <c r="AG87" i="1"/>
  <c r="H88" i="1"/>
  <c r="I88" i="1"/>
  <c r="U88" i="1"/>
  <c r="X88" i="1" s="1"/>
  <c r="V88" i="1"/>
  <c r="W88" i="1"/>
  <c r="Y88" i="1"/>
  <c r="AC88" i="1"/>
  <c r="AG88" i="1"/>
  <c r="H89" i="1"/>
  <c r="I89" i="1" s="1"/>
  <c r="U89" i="1"/>
  <c r="V89" i="1"/>
  <c r="W89" i="1"/>
  <c r="X89" i="1"/>
  <c r="Y89" i="1"/>
  <c r="AC89" i="1"/>
  <c r="AG89" i="1"/>
  <c r="H90" i="1"/>
  <c r="I90" i="1" s="1"/>
  <c r="U90" i="1"/>
  <c r="V90" i="1"/>
  <c r="W90" i="1"/>
  <c r="X90" i="1"/>
  <c r="Y90" i="1"/>
  <c r="AC90" i="1"/>
  <c r="AG90" i="1"/>
  <c r="H91" i="1"/>
  <c r="I91" i="1"/>
  <c r="U91" i="1"/>
  <c r="X91" i="1" s="1"/>
  <c r="V91" i="1"/>
  <c r="W91" i="1"/>
  <c r="Y91" i="1"/>
  <c r="AC91" i="1"/>
  <c r="AG91" i="1"/>
  <c r="H92" i="1"/>
  <c r="I92" i="1"/>
  <c r="U92" i="1"/>
  <c r="V92" i="1"/>
  <c r="W92" i="1"/>
  <c r="X92" i="1"/>
  <c r="Y92" i="1"/>
  <c r="AC92" i="1"/>
  <c r="AG92" i="1"/>
  <c r="I93" i="1"/>
  <c r="U93" i="1"/>
  <c r="V93" i="1"/>
  <c r="W93" i="1"/>
  <c r="X93" i="1"/>
  <c r="Y93" i="1"/>
  <c r="AC93" i="1"/>
  <c r="AG93" i="1"/>
  <c r="H94" i="1"/>
  <c r="I94" i="1"/>
  <c r="U94" i="1"/>
  <c r="X94" i="1" s="1"/>
  <c r="V94" i="1"/>
  <c r="W94" i="1"/>
  <c r="Y94" i="1"/>
  <c r="AC94" i="1"/>
  <c r="AG94" i="1"/>
  <c r="H95" i="1"/>
  <c r="I95" i="1"/>
  <c r="U95" i="1"/>
  <c r="X95" i="1" s="1"/>
  <c r="V95" i="1"/>
  <c r="W95" i="1"/>
  <c r="Y95" i="1"/>
  <c r="AC95" i="1"/>
  <c r="AG95" i="1"/>
  <c r="H96" i="1"/>
  <c r="I96" i="1" s="1"/>
  <c r="U96" i="1"/>
  <c r="X96" i="1" s="1"/>
  <c r="V96" i="1"/>
  <c r="W96" i="1"/>
  <c r="Y96" i="1"/>
  <c r="AC96" i="1"/>
  <c r="AG96" i="1"/>
  <c r="H97" i="1"/>
  <c r="I97" i="1"/>
  <c r="U97" i="1"/>
  <c r="X97" i="1" s="1"/>
  <c r="V97" i="1"/>
  <c r="W97" i="1"/>
  <c r="Y97" i="1"/>
  <c r="AC97" i="1"/>
  <c r="AG97" i="1"/>
  <c r="H98" i="1"/>
  <c r="I98" i="1" s="1"/>
  <c r="U98" i="1"/>
  <c r="V98" i="1"/>
  <c r="W98" i="1"/>
  <c r="X98" i="1"/>
  <c r="Y98" i="1"/>
  <c r="AC98" i="1"/>
  <c r="AG98" i="1"/>
  <c r="I99" i="1"/>
  <c r="U99" i="1"/>
  <c r="V99" i="1"/>
  <c r="W99" i="1"/>
  <c r="X99" i="1"/>
  <c r="Y99" i="1"/>
  <c r="AC99" i="1"/>
  <c r="AG99" i="1"/>
  <c r="H100" i="1"/>
  <c r="I100" i="1" s="1"/>
  <c r="U100" i="1"/>
  <c r="V100" i="1"/>
  <c r="W100" i="1"/>
  <c r="X100" i="1"/>
  <c r="Y100" i="1"/>
  <c r="AC100" i="1"/>
  <c r="AG100" i="1"/>
  <c r="H101" i="1"/>
  <c r="I101" i="1"/>
  <c r="U101" i="1"/>
  <c r="X101" i="1" s="1"/>
  <c r="V101" i="1"/>
  <c r="W101" i="1"/>
  <c r="Y101" i="1"/>
  <c r="AC101" i="1"/>
  <c r="AG101" i="1"/>
  <c r="H102" i="1"/>
  <c r="I102" i="1"/>
  <c r="U102" i="1"/>
  <c r="V102" i="1"/>
  <c r="W102" i="1"/>
  <c r="X102" i="1"/>
  <c r="AC102" i="1"/>
  <c r="AG102" i="1"/>
  <c r="H103" i="1"/>
  <c r="I103" i="1"/>
  <c r="U103" i="1"/>
  <c r="V103" i="1"/>
  <c r="W103" i="1"/>
  <c r="X103" i="1"/>
  <c r="Y103" i="1"/>
  <c r="AC103" i="1"/>
  <c r="AG103" i="1"/>
  <c r="H104" i="1"/>
  <c r="I104" i="1"/>
  <c r="U104" i="1"/>
  <c r="X104" i="1" s="1"/>
  <c r="V104" i="1"/>
  <c r="W104" i="1"/>
  <c r="Y104" i="1"/>
  <c r="AC104" i="1"/>
  <c r="AG104" i="1"/>
  <c r="H105" i="1"/>
  <c r="I105" i="1"/>
  <c r="U105" i="1"/>
  <c r="X105" i="1" s="1"/>
  <c r="V105" i="1"/>
  <c r="W105" i="1"/>
  <c r="Y105" i="1"/>
  <c r="AC105" i="1"/>
  <c r="AG105" i="1"/>
  <c r="H106" i="1"/>
  <c r="I106" i="1" s="1"/>
  <c r="U106" i="1"/>
  <c r="X106" i="1" s="1"/>
  <c r="V106" i="1"/>
  <c r="W106" i="1"/>
  <c r="Y106" i="1"/>
  <c r="AC106" i="1"/>
  <c r="AG106" i="1"/>
  <c r="H107" i="1"/>
  <c r="I107" i="1"/>
  <c r="U107" i="1"/>
  <c r="X107" i="1" s="1"/>
  <c r="V107" i="1"/>
  <c r="W107" i="1"/>
  <c r="Y107" i="1"/>
  <c r="AC107" i="1"/>
  <c r="AG107" i="1"/>
  <c r="H108" i="1"/>
  <c r="I108" i="1" s="1"/>
  <c r="U108" i="1"/>
  <c r="V108" i="1"/>
  <c r="W108" i="1"/>
  <c r="X108" i="1"/>
  <c r="Y108" i="1"/>
  <c r="AC108" i="1"/>
  <c r="AG108" i="1"/>
  <c r="H109" i="1"/>
  <c r="I109" i="1" s="1"/>
  <c r="U109" i="1"/>
  <c r="V109" i="1"/>
  <c r="W109" i="1"/>
  <c r="X109" i="1"/>
  <c r="Y109" i="1"/>
  <c r="AC109" i="1"/>
  <c r="AG109" i="1"/>
  <c r="H110" i="1"/>
  <c r="I110" i="1"/>
  <c r="U110" i="1"/>
  <c r="X110" i="1" s="1"/>
  <c r="V110" i="1"/>
  <c r="W110" i="1"/>
  <c r="Y110" i="1"/>
  <c r="AC110" i="1"/>
  <c r="AG110" i="1"/>
  <c r="H111" i="1"/>
  <c r="I111" i="1"/>
  <c r="U111" i="1"/>
  <c r="V111" i="1"/>
  <c r="W111" i="1"/>
  <c r="X111" i="1"/>
  <c r="H112" i="1"/>
  <c r="I112" i="1" s="1"/>
  <c r="U112" i="1"/>
  <c r="V112" i="1"/>
  <c r="W112" i="1"/>
  <c r="X112" i="1"/>
  <c r="Y112" i="1"/>
  <c r="AC112" i="1"/>
  <c r="AG112" i="1"/>
  <c r="H113" i="1"/>
  <c r="I113" i="1"/>
  <c r="U113" i="1"/>
  <c r="X113" i="1" s="1"/>
  <c r="V113" i="1"/>
  <c r="W113" i="1"/>
  <c r="Y113" i="1"/>
  <c r="AC113" i="1"/>
  <c r="AG113" i="1"/>
  <c r="H114" i="1"/>
  <c r="I114" i="1"/>
  <c r="U114" i="1"/>
  <c r="V114" i="1"/>
  <c r="W114" i="1"/>
  <c r="X114" i="1"/>
  <c r="Y114" i="1"/>
  <c r="AC114" i="1"/>
  <c r="AG114" i="1"/>
  <c r="H115" i="1"/>
  <c r="I115" i="1"/>
  <c r="U115" i="1"/>
  <c r="X115" i="1" s="1"/>
  <c r="V115" i="1"/>
  <c r="W115" i="1"/>
  <c r="Y115" i="1"/>
  <c r="AC115" i="1"/>
  <c r="AG115" i="1"/>
  <c r="I116" i="1"/>
  <c r="U116" i="1"/>
  <c r="X116" i="1" s="1"/>
  <c r="V116" i="1"/>
  <c r="W116" i="1"/>
  <c r="Y116" i="1"/>
  <c r="AC116" i="1"/>
  <c r="AG116" i="1"/>
  <c r="H117" i="1"/>
  <c r="I117" i="1"/>
  <c r="U117" i="1"/>
  <c r="X117" i="1" s="1"/>
  <c r="V117" i="1"/>
  <c r="W117" i="1"/>
  <c r="Y117" i="1"/>
  <c r="AC117" i="1"/>
  <c r="AG117" i="1"/>
  <c r="H118" i="1"/>
  <c r="I118" i="1" s="1"/>
  <c r="U118" i="1"/>
  <c r="X118" i="1" s="1"/>
  <c r="V118" i="1"/>
  <c r="W118" i="1"/>
  <c r="Y118" i="1"/>
  <c r="AC118" i="1"/>
  <c r="AG118" i="1"/>
  <c r="H119" i="1"/>
  <c r="I119" i="1"/>
  <c r="U119" i="1"/>
  <c r="X119" i="1" s="1"/>
  <c r="V119" i="1"/>
  <c r="W119" i="1"/>
  <c r="Y119" i="1"/>
  <c r="AC119" i="1"/>
  <c r="AG119" i="1"/>
  <c r="H120" i="1"/>
  <c r="I120" i="1" s="1"/>
  <c r="U120" i="1"/>
  <c r="V120" i="1"/>
  <c r="W120" i="1"/>
  <c r="X120" i="1"/>
  <c r="Y120" i="1"/>
  <c r="AC120" i="1"/>
  <c r="H121" i="1"/>
  <c r="I121" i="1" s="1"/>
  <c r="U121" i="1"/>
  <c r="V121" i="1"/>
  <c r="W121" i="1"/>
  <c r="X121" i="1"/>
  <c r="AC121" i="1"/>
  <c r="H122" i="1"/>
  <c r="I122" i="1"/>
  <c r="U122" i="1"/>
  <c r="X122" i="1" s="1"/>
  <c r="V122" i="1"/>
  <c r="W122" i="1"/>
  <c r="AC122" i="1"/>
  <c r="H123" i="1"/>
  <c r="U123" i="1"/>
  <c r="X123" i="1" s="1"/>
  <c r="V123" i="1"/>
  <c r="W123" i="1"/>
  <c r="Y123" i="1"/>
  <c r="AC123" i="1"/>
  <c r="H124" i="1"/>
  <c r="I124" i="1"/>
  <c r="U124" i="1"/>
  <c r="X124" i="1" s="1"/>
  <c r="V124" i="1"/>
  <c r="W124" i="1"/>
  <c r="Y124" i="1"/>
  <c r="AC124" i="1"/>
  <c r="AG124" i="1"/>
  <c r="H125" i="1"/>
  <c r="I125" i="1" s="1"/>
  <c r="U125" i="1"/>
  <c r="X125" i="1" s="1"/>
  <c r="V125" i="1"/>
  <c r="W125" i="1"/>
  <c r="Y125" i="1"/>
  <c r="AC125" i="1"/>
  <c r="AG125" i="1"/>
  <c r="I126" i="1"/>
  <c r="U126" i="1"/>
  <c r="X126" i="1" s="1"/>
  <c r="V126" i="1"/>
  <c r="W126" i="1"/>
  <c r="Y126" i="1"/>
  <c r="AC126" i="1"/>
  <c r="AG126" i="1"/>
  <c r="H127" i="1"/>
  <c r="I127" i="1"/>
  <c r="U127" i="1"/>
  <c r="X127" i="1" s="1"/>
  <c r="V127" i="1"/>
  <c r="W127" i="1"/>
  <c r="Y127" i="1"/>
  <c r="AC127" i="1"/>
  <c r="AG127" i="1"/>
  <c r="H128" i="1"/>
  <c r="I128" i="1" s="1"/>
  <c r="U128" i="1"/>
  <c r="V128" i="1"/>
  <c r="W128" i="1"/>
  <c r="X128" i="1"/>
  <c r="Y128" i="1"/>
  <c r="AC128" i="1"/>
  <c r="AG128" i="1"/>
  <c r="H129" i="1"/>
  <c r="I129" i="1" s="1"/>
  <c r="U129" i="1"/>
  <c r="V129" i="1"/>
  <c r="W129" i="1"/>
  <c r="X129" i="1"/>
  <c r="Y129" i="1"/>
  <c r="AC129" i="1"/>
  <c r="AG129" i="1"/>
  <c r="H130" i="1"/>
  <c r="I130" i="1"/>
  <c r="U130" i="1"/>
  <c r="X130" i="1" s="1"/>
  <c r="V130" i="1"/>
  <c r="W130" i="1"/>
  <c r="Y130" i="1"/>
  <c r="AC130" i="1"/>
  <c r="AG130" i="1"/>
  <c r="H131" i="1"/>
  <c r="I131" i="1"/>
  <c r="U131" i="1"/>
  <c r="V131" i="1"/>
  <c r="W131" i="1"/>
  <c r="X131" i="1"/>
  <c r="Y131" i="1"/>
  <c r="AC131" i="1"/>
  <c r="AG131" i="1"/>
  <c r="H132" i="1"/>
  <c r="I132" i="1"/>
  <c r="U132" i="1"/>
  <c r="X132" i="1" s="1"/>
  <c r="V132" i="1"/>
  <c r="W132" i="1"/>
  <c r="Y132" i="1"/>
  <c r="AC132" i="1"/>
  <c r="AG132" i="1"/>
  <c r="H133" i="1"/>
  <c r="I133" i="1"/>
  <c r="U133" i="1"/>
  <c r="X133" i="1" s="1"/>
  <c r="V133" i="1"/>
  <c r="W133" i="1"/>
  <c r="Y133" i="1"/>
  <c r="AC133" i="1"/>
  <c r="AG133" i="1"/>
  <c r="H134" i="1"/>
  <c r="I134" i="1" s="1"/>
  <c r="U134" i="1"/>
  <c r="X134" i="1" s="1"/>
  <c r="V134" i="1"/>
  <c r="W134" i="1"/>
  <c r="Y134" i="1"/>
  <c r="AC134" i="1"/>
  <c r="AG134" i="1"/>
  <c r="H135" i="1"/>
  <c r="I135" i="1"/>
  <c r="U135" i="1"/>
  <c r="X135" i="1" s="1"/>
  <c r="V135" i="1"/>
  <c r="W135" i="1"/>
  <c r="Y135" i="1"/>
  <c r="H136" i="1"/>
  <c r="I136" i="1" s="1"/>
  <c r="U136" i="1"/>
  <c r="X136" i="1" s="1"/>
  <c r="V136" i="1"/>
  <c r="W136" i="1"/>
  <c r="H137" i="1"/>
  <c r="I137" i="1"/>
  <c r="U137" i="1"/>
  <c r="X137" i="1" s="1"/>
  <c r="V137" i="1"/>
  <c r="W137" i="1"/>
  <c r="Y137" i="1"/>
  <c r="AC137" i="1"/>
  <c r="AG137" i="1"/>
  <c r="H138" i="1"/>
  <c r="I138" i="1"/>
  <c r="U138" i="1"/>
  <c r="X138" i="1" s="1"/>
  <c r="V138" i="1"/>
  <c r="W138" i="1"/>
  <c r="Y138" i="1"/>
  <c r="AC138" i="1"/>
  <c r="AG138" i="1"/>
  <c r="H139" i="1"/>
  <c r="I139" i="1" s="1"/>
  <c r="U139" i="1"/>
  <c r="X139" i="1" s="1"/>
  <c r="V139" i="1"/>
  <c r="W139" i="1"/>
  <c r="AC139" i="1"/>
  <c r="AG139" i="1"/>
  <c r="I140" i="1"/>
  <c r="U140" i="1"/>
  <c r="X140" i="1" s="1"/>
  <c r="V140" i="1"/>
  <c r="W140" i="1"/>
  <c r="Y140" i="1"/>
  <c r="AC140" i="1"/>
  <c r="AG140" i="1"/>
  <c r="H141" i="1"/>
  <c r="I141" i="1" s="1"/>
  <c r="U141" i="1"/>
  <c r="X141" i="1" s="1"/>
  <c r="V141" i="1"/>
  <c r="W141" i="1"/>
  <c r="AC141" i="1"/>
  <c r="AG141" i="1"/>
  <c r="H142" i="1"/>
  <c r="I142" i="1" s="1"/>
  <c r="U142" i="1"/>
  <c r="X142" i="1" s="1"/>
  <c r="V142" i="1"/>
  <c r="W142" i="1"/>
  <c r="Y142" i="1"/>
  <c r="AC142" i="1"/>
  <c r="AG142" i="1"/>
  <c r="H143" i="1"/>
  <c r="I143" i="1"/>
  <c r="U143" i="1"/>
  <c r="X143" i="1" s="1"/>
  <c r="V143" i="1"/>
  <c r="W143" i="1"/>
  <c r="Y143" i="1"/>
  <c r="AC143" i="1"/>
  <c r="AG143" i="1"/>
  <c r="H144" i="1"/>
  <c r="I144" i="1" s="1"/>
  <c r="U144" i="1"/>
  <c r="V144" i="1"/>
  <c r="W144" i="1"/>
  <c r="X144" i="1"/>
  <c r="Y144" i="1"/>
  <c r="AC144" i="1"/>
  <c r="AG144" i="1"/>
  <c r="H145" i="1"/>
  <c r="I145" i="1" s="1"/>
  <c r="U145" i="1"/>
  <c r="V145" i="1"/>
  <c r="W145" i="1"/>
  <c r="X145" i="1"/>
  <c r="Y145" i="1"/>
  <c r="AC145" i="1"/>
  <c r="AG145" i="1"/>
  <c r="H146" i="1"/>
  <c r="I146" i="1"/>
  <c r="U146" i="1"/>
  <c r="X146" i="1" s="1"/>
  <c r="V146" i="1"/>
  <c r="W146" i="1"/>
  <c r="Y146" i="1"/>
  <c r="AC146" i="1"/>
  <c r="AG146" i="1"/>
  <c r="H147" i="1"/>
  <c r="I147" i="1"/>
  <c r="U147" i="1"/>
  <c r="V147" i="1"/>
  <c r="W147" i="1"/>
  <c r="X147" i="1"/>
  <c r="Y147" i="1"/>
  <c r="H148" i="1"/>
  <c r="I148" i="1"/>
  <c r="U148" i="1"/>
  <c r="X148" i="1" s="1"/>
  <c r="V148" i="1"/>
  <c r="W148" i="1"/>
  <c r="Y148" i="1"/>
  <c r="AC148" i="1"/>
  <c r="AG148" i="1"/>
  <c r="H149" i="1"/>
  <c r="I149" i="1"/>
  <c r="U149" i="1"/>
  <c r="V149" i="1"/>
  <c r="W149" i="1"/>
  <c r="X149" i="1"/>
  <c r="Y149" i="1"/>
  <c r="AC149" i="1"/>
  <c r="AG149" i="1"/>
  <c r="H150" i="1"/>
  <c r="I150" i="1"/>
  <c r="U150" i="1"/>
  <c r="X150" i="1" s="1"/>
  <c r="V150" i="1"/>
  <c r="W150" i="1"/>
  <c r="Y150" i="1"/>
  <c r="AC150" i="1"/>
  <c r="AG150" i="1"/>
  <c r="H151" i="1"/>
  <c r="I151" i="1"/>
  <c r="U151" i="1"/>
  <c r="X151" i="1" s="1"/>
  <c r="V151" i="1"/>
  <c r="W151" i="1"/>
  <c r="Y151" i="1"/>
  <c r="AC151" i="1"/>
  <c r="AG151" i="1"/>
  <c r="H152" i="1"/>
  <c r="I152" i="1" s="1"/>
  <c r="U152" i="1"/>
  <c r="X152" i="1" s="1"/>
  <c r="V152" i="1"/>
  <c r="W152" i="1"/>
  <c r="Y152" i="1"/>
  <c r="AC152" i="1"/>
  <c r="AG152" i="1"/>
  <c r="H153" i="1"/>
  <c r="I153" i="1"/>
  <c r="U153" i="1"/>
  <c r="X153" i="1" s="1"/>
  <c r="V153" i="1"/>
  <c r="W153" i="1"/>
  <c r="Y153" i="1"/>
  <c r="AC153" i="1"/>
  <c r="AG153" i="1"/>
  <c r="H154" i="1"/>
  <c r="I154" i="1" s="1"/>
  <c r="U154" i="1"/>
  <c r="V154" i="1"/>
  <c r="W154" i="1"/>
  <c r="X154" i="1"/>
  <c r="Y154" i="1"/>
  <c r="AC154" i="1"/>
  <c r="AG154" i="1"/>
  <c r="H155" i="1"/>
  <c r="I155" i="1" s="1"/>
  <c r="U155" i="1"/>
  <c r="V155" i="1"/>
  <c r="W155" i="1"/>
  <c r="X155" i="1"/>
  <c r="Y155" i="1"/>
  <c r="AC155" i="1"/>
  <c r="AG155" i="1"/>
  <c r="I156" i="1"/>
  <c r="U156" i="1"/>
  <c r="V156" i="1"/>
  <c r="W156" i="1"/>
  <c r="X156" i="1"/>
  <c r="Y156" i="1"/>
  <c r="AC156" i="1"/>
  <c r="AG156" i="1"/>
  <c r="H157" i="1"/>
  <c r="U157" i="1"/>
  <c r="V157" i="1"/>
  <c r="W157" i="1"/>
  <c r="X157" i="1"/>
  <c r="H158" i="1"/>
  <c r="U158" i="1"/>
  <c r="X158" i="1" s="1"/>
  <c r="V158" i="1"/>
  <c r="W158" i="1"/>
  <c r="H159" i="1"/>
  <c r="I159" i="1"/>
  <c r="J159" i="1"/>
  <c r="U159" i="1"/>
  <c r="X159" i="1" s="1"/>
  <c r="V159" i="1"/>
  <c r="W159" i="1"/>
  <c r="Y159" i="1"/>
  <c r="AC159" i="1"/>
  <c r="AG159" i="1"/>
  <c r="H160" i="1"/>
  <c r="I160" i="1" s="1"/>
  <c r="U160" i="1"/>
  <c r="X160" i="1" s="1"/>
  <c r="V160" i="1"/>
  <c r="W160" i="1"/>
  <c r="Y160" i="1"/>
  <c r="AC160" i="1"/>
  <c r="AG160" i="1"/>
  <c r="H161" i="1"/>
  <c r="I161" i="1"/>
  <c r="J161" i="1"/>
  <c r="U161" i="1"/>
  <c r="V161" i="1"/>
  <c r="W161" i="1"/>
  <c r="X161" i="1"/>
  <c r="Y161" i="1"/>
  <c r="AC161" i="1"/>
  <c r="AG161" i="1"/>
  <c r="H162" i="1"/>
  <c r="I162" i="1" s="1"/>
  <c r="J162" i="1"/>
  <c r="U162" i="1"/>
  <c r="X162" i="1" s="1"/>
  <c r="V162" i="1"/>
  <c r="W162" i="1"/>
  <c r="Y162" i="1"/>
  <c r="AC162" i="1"/>
  <c r="AG162" i="1"/>
  <c r="H163" i="1"/>
  <c r="I163" i="1"/>
  <c r="J163" i="1"/>
  <c r="U163" i="1"/>
  <c r="X163" i="1" s="1"/>
  <c r="V163" i="1"/>
  <c r="W163" i="1"/>
  <c r="Y163" i="1"/>
  <c r="AC163" i="1"/>
  <c r="AG163" i="1"/>
  <c r="H164" i="1"/>
  <c r="I164" i="1"/>
  <c r="U164" i="1"/>
  <c r="X164" i="1" s="1"/>
  <c r="V164" i="1"/>
  <c r="W164" i="1"/>
  <c r="Y164" i="1"/>
  <c r="AC164" i="1"/>
  <c r="AG164" i="1"/>
  <c r="H165" i="1"/>
  <c r="I165" i="1" s="1"/>
  <c r="U165" i="1"/>
  <c r="X165" i="1" s="1"/>
  <c r="V165" i="1"/>
  <c r="W165" i="1"/>
  <c r="Y165" i="1"/>
  <c r="AC165" i="1"/>
  <c r="AG165" i="1"/>
  <c r="H166" i="1"/>
  <c r="I166" i="1"/>
  <c r="U166" i="1"/>
  <c r="X166" i="1" s="1"/>
  <c r="V166" i="1"/>
  <c r="W166" i="1"/>
  <c r="Y166" i="1"/>
  <c r="AC166" i="1"/>
  <c r="AG166" i="1"/>
  <c r="H167" i="1"/>
  <c r="I167" i="1" s="1"/>
  <c r="U167" i="1"/>
  <c r="V167" i="1"/>
  <c r="W167" i="1"/>
  <c r="X167" i="1"/>
  <c r="Y167" i="1"/>
  <c r="AC167" i="1"/>
  <c r="H168" i="1"/>
  <c r="I168" i="1" s="1"/>
  <c r="U168" i="1"/>
  <c r="V168" i="1"/>
  <c r="W168" i="1"/>
  <c r="X168" i="1"/>
  <c r="I169" i="1"/>
  <c r="U169" i="1"/>
  <c r="X169" i="1" s="1"/>
  <c r="V169" i="1"/>
  <c r="W169" i="1"/>
  <c r="Y169" i="1"/>
  <c r="AC169" i="1"/>
  <c r="AG169" i="1"/>
  <c r="H170" i="1"/>
  <c r="I170" i="1" s="1"/>
  <c r="U170" i="1"/>
  <c r="X170" i="1" s="1"/>
  <c r="V170" i="1"/>
  <c r="W170" i="1"/>
  <c r="H171" i="1"/>
  <c r="I171" i="1"/>
  <c r="U171" i="1"/>
  <c r="X171" i="1" s="1"/>
  <c r="V171" i="1"/>
  <c r="W171" i="1"/>
  <c r="H172" i="1"/>
  <c r="I172" i="1"/>
  <c r="U172" i="1"/>
  <c r="X172" i="1" s="1"/>
  <c r="V172" i="1"/>
  <c r="W172" i="1"/>
  <c r="Y172" i="1"/>
  <c r="AC172" i="1"/>
  <c r="AG172" i="1"/>
  <c r="H173" i="1"/>
  <c r="I173" i="1"/>
  <c r="U173" i="1"/>
  <c r="V173" i="1"/>
  <c r="W173" i="1"/>
  <c r="X173" i="1"/>
  <c r="Y173" i="1"/>
  <c r="AC173" i="1"/>
  <c r="AG173" i="1"/>
  <c r="H174" i="1"/>
  <c r="I174" i="1"/>
  <c r="U174" i="1"/>
  <c r="X174" i="1" s="1"/>
  <c r="V174" i="1"/>
  <c r="W174" i="1"/>
  <c r="Y174" i="1"/>
  <c r="AC174" i="1"/>
  <c r="AG174" i="1"/>
  <c r="H175" i="1"/>
  <c r="I175" i="1"/>
  <c r="U175" i="1"/>
  <c r="X175" i="1" s="1"/>
  <c r="V175" i="1"/>
  <c r="W175" i="1"/>
  <c r="Y175" i="1"/>
  <c r="AC175" i="1"/>
  <c r="AG175" i="1"/>
  <c r="H176" i="1"/>
  <c r="I176" i="1" s="1"/>
  <c r="U176" i="1"/>
  <c r="X176" i="1" s="1"/>
  <c r="V176" i="1"/>
  <c r="W176" i="1"/>
  <c r="Y176" i="1"/>
  <c r="AC176" i="1"/>
  <c r="AG176" i="1"/>
  <c r="H177" i="1"/>
  <c r="I177" i="1"/>
  <c r="U177" i="1"/>
  <c r="X177" i="1" s="1"/>
  <c r="V177" i="1"/>
  <c r="W177" i="1"/>
  <c r="Y177" i="1"/>
  <c r="AC177" i="1"/>
  <c r="AG177" i="1"/>
  <c r="H178" i="1"/>
  <c r="I178" i="1" s="1"/>
  <c r="U178" i="1"/>
  <c r="V178" i="1"/>
  <c r="W178" i="1"/>
  <c r="X178" i="1"/>
  <c r="Y178" i="1"/>
  <c r="AC178" i="1"/>
  <c r="AG178" i="1"/>
  <c r="H179" i="1"/>
  <c r="I179" i="1" s="1"/>
  <c r="U179" i="1"/>
  <c r="V179" i="1"/>
  <c r="W179" i="1"/>
  <c r="X179" i="1"/>
  <c r="Y179" i="1"/>
  <c r="AC179" i="1"/>
  <c r="AG179" i="1"/>
  <c r="H180" i="1"/>
  <c r="I180" i="1"/>
  <c r="U180" i="1"/>
  <c r="X180" i="1" s="1"/>
  <c r="V180" i="1"/>
  <c r="W180" i="1"/>
  <c r="Y180" i="1"/>
  <c r="AC180" i="1"/>
  <c r="AG180" i="1"/>
  <c r="H181" i="1"/>
  <c r="I181" i="1"/>
  <c r="U181" i="1"/>
  <c r="V181" i="1"/>
  <c r="W181" i="1"/>
  <c r="X181" i="1"/>
  <c r="Y181" i="1"/>
  <c r="AC181" i="1"/>
  <c r="AG181" i="1"/>
  <c r="H182" i="1"/>
  <c r="I182" i="1"/>
  <c r="U182" i="1"/>
  <c r="X182" i="1" s="1"/>
  <c r="V182" i="1"/>
  <c r="W182" i="1"/>
  <c r="Y182" i="1"/>
  <c r="AC182" i="1"/>
  <c r="AG182" i="1"/>
  <c r="H183" i="1"/>
  <c r="I183" i="1"/>
  <c r="U183" i="1"/>
  <c r="X183" i="1" s="1"/>
  <c r="V183" i="1"/>
  <c r="W183" i="1"/>
  <c r="Y183" i="1"/>
  <c r="AC183" i="1"/>
  <c r="AG183" i="1"/>
  <c r="H184" i="1"/>
  <c r="I184" i="1" s="1"/>
  <c r="U184" i="1"/>
  <c r="X184" i="1" s="1"/>
  <c r="V184" i="1"/>
  <c r="W184" i="1"/>
  <c r="Y184" i="1"/>
  <c r="AC184" i="1"/>
  <c r="AG184" i="1"/>
  <c r="H185" i="1"/>
  <c r="I185" i="1"/>
  <c r="U185" i="1"/>
  <c r="X185" i="1" s="1"/>
  <c r="V185" i="1"/>
  <c r="W185" i="1"/>
  <c r="Y185" i="1"/>
  <c r="AC185" i="1"/>
  <c r="AG185" i="1"/>
  <c r="I186" i="1"/>
  <c r="U186" i="1"/>
  <c r="X186" i="1" s="1"/>
  <c r="V186" i="1"/>
  <c r="W186" i="1"/>
  <c r="Y186" i="1"/>
  <c r="AC186" i="1"/>
  <c r="AG186" i="1"/>
  <c r="H187" i="1"/>
  <c r="I187" i="1" s="1"/>
  <c r="U187" i="1"/>
  <c r="V187" i="1"/>
  <c r="W187" i="1"/>
  <c r="X187" i="1"/>
  <c r="Y187" i="1"/>
  <c r="AC187" i="1"/>
  <c r="AG187" i="1"/>
  <c r="H188" i="1"/>
  <c r="I188" i="1" s="1"/>
  <c r="U188" i="1"/>
  <c r="V188" i="1"/>
  <c r="W188" i="1"/>
  <c r="X188" i="1"/>
  <c r="Y188" i="1"/>
  <c r="AC188" i="1"/>
  <c r="AG188" i="1"/>
  <c r="H189" i="1"/>
  <c r="I189" i="1"/>
  <c r="U189" i="1"/>
  <c r="X189" i="1" s="1"/>
  <c r="V189" i="1"/>
  <c r="W189" i="1"/>
  <c r="Y189" i="1"/>
  <c r="AC189" i="1"/>
  <c r="AG189" i="1"/>
  <c r="H190" i="1"/>
  <c r="I190" i="1"/>
  <c r="U190" i="1"/>
  <c r="V190" i="1"/>
  <c r="W190" i="1"/>
  <c r="X190" i="1"/>
  <c r="Y190" i="1"/>
  <c r="AC190" i="1"/>
  <c r="AG190" i="1"/>
  <c r="H191" i="1"/>
  <c r="I191" i="1"/>
  <c r="U191" i="1"/>
  <c r="X191" i="1" s="1"/>
  <c r="V191" i="1"/>
  <c r="W191" i="1"/>
  <c r="Y191" i="1"/>
  <c r="AC191" i="1"/>
  <c r="AG191" i="1"/>
  <c r="H192" i="1"/>
  <c r="I192" i="1"/>
  <c r="U192" i="1"/>
  <c r="X192" i="1" s="1"/>
  <c r="V192" i="1"/>
  <c r="W192" i="1"/>
  <c r="Y192" i="1"/>
  <c r="AC192" i="1"/>
  <c r="H193" i="1"/>
  <c r="I193" i="1"/>
  <c r="U193" i="1"/>
  <c r="X193" i="1" s="1"/>
  <c r="V193" i="1"/>
  <c r="W193" i="1"/>
  <c r="Y193" i="1"/>
  <c r="AC193" i="1"/>
  <c r="H194" i="1"/>
  <c r="I194" i="1"/>
  <c r="U194" i="1"/>
  <c r="X194" i="1" s="1"/>
  <c r="V194" i="1"/>
  <c r="W194" i="1"/>
  <c r="H195" i="1"/>
  <c r="I195" i="1"/>
  <c r="U195" i="1"/>
  <c r="V195" i="1"/>
  <c r="W195" i="1"/>
  <c r="X195" i="1"/>
  <c r="H196" i="1"/>
  <c r="I196" i="1" s="1"/>
  <c r="U196" i="1"/>
  <c r="V196" i="1"/>
  <c r="W196" i="1"/>
  <c r="X196" i="1"/>
  <c r="H197" i="1"/>
  <c r="I197" i="1"/>
  <c r="U197" i="1"/>
  <c r="X197" i="1" s="1"/>
  <c r="V197" i="1"/>
  <c r="W197" i="1"/>
  <c r="Y197" i="1"/>
  <c r="AC197" i="1"/>
  <c r="AG197" i="1"/>
  <c r="H198" i="1"/>
  <c r="I198" i="1" s="1"/>
  <c r="U198" i="1"/>
  <c r="V198" i="1"/>
  <c r="W198" i="1"/>
  <c r="X198" i="1"/>
  <c r="Y198" i="1"/>
  <c r="AC198" i="1"/>
  <c r="AG198" i="1"/>
  <c r="H199" i="1"/>
  <c r="I199" i="1" s="1"/>
  <c r="U199" i="1"/>
  <c r="V199" i="1"/>
  <c r="W199" i="1"/>
  <c r="X199" i="1"/>
  <c r="Y199" i="1"/>
  <c r="AC199" i="1"/>
  <c r="AG199" i="1"/>
  <c r="H200" i="1"/>
  <c r="I200" i="1"/>
  <c r="U200" i="1"/>
  <c r="X200" i="1" s="1"/>
  <c r="V200" i="1"/>
  <c r="W200" i="1"/>
  <c r="Y200" i="1"/>
  <c r="AC200" i="1"/>
  <c r="AG200" i="1"/>
  <c r="H201" i="1"/>
  <c r="I201" i="1"/>
  <c r="U201" i="1"/>
  <c r="V201" i="1"/>
  <c r="W201" i="1"/>
  <c r="X201" i="1"/>
  <c r="Y201" i="1"/>
  <c r="AC201" i="1"/>
  <c r="AG201" i="1"/>
  <c r="H202" i="1"/>
  <c r="I202" i="1"/>
  <c r="U202" i="1"/>
  <c r="X202" i="1" s="1"/>
  <c r="V202" i="1"/>
  <c r="W202" i="1"/>
  <c r="Y202" i="1"/>
  <c r="AC202" i="1"/>
  <c r="AG202" i="1"/>
  <c r="H203" i="1"/>
  <c r="I203" i="1"/>
  <c r="U203" i="1"/>
  <c r="X203" i="1" s="1"/>
  <c r="V203" i="1"/>
  <c r="W203" i="1"/>
  <c r="Y203" i="1"/>
  <c r="AC203" i="1"/>
  <c r="H204" i="1"/>
  <c r="I204" i="1"/>
  <c r="U204" i="1"/>
  <c r="X204" i="1" s="1"/>
  <c r="V204" i="1"/>
  <c r="W204" i="1"/>
  <c r="AC204" i="1"/>
  <c r="H205" i="1"/>
  <c r="I205" i="1"/>
  <c r="U205" i="1"/>
  <c r="X205" i="1" s="1"/>
  <c r="V205" i="1"/>
  <c r="W205" i="1"/>
  <c r="H206" i="1"/>
  <c r="I206" i="1"/>
  <c r="U206" i="1"/>
  <c r="X206" i="1" s="1"/>
  <c r="V206" i="1"/>
  <c r="W206" i="1"/>
  <c r="Y206" i="1"/>
  <c r="AC206" i="1"/>
  <c r="AG206" i="1"/>
  <c r="H207" i="1"/>
  <c r="I207" i="1" s="1"/>
  <c r="U207" i="1"/>
  <c r="V207" i="1"/>
  <c r="W207" i="1"/>
  <c r="X207" i="1"/>
  <c r="H208" i="1"/>
  <c r="I208" i="1" s="1"/>
  <c r="U208" i="1"/>
  <c r="V208" i="1"/>
  <c r="W208" i="1"/>
  <c r="X208" i="1"/>
  <c r="Y208" i="1"/>
  <c r="AC208" i="1"/>
  <c r="AG208" i="1"/>
  <c r="H209" i="1"/>
  <c r="I209" i="1"/>
  <c r="U209" i="1"/>
  <c r="X209" i="1" s="1"/>
  <c r="V209" i="1"/>
  <c r="W209" i="1"/>
  <c r="Y209" i="1"/>
  <c r="AC209" i="1"/>
  <c r="AG209" i="1"/>
  <c r="H210" i="1"/>
  <c r="I210" i="1" s="1"/>
  <c r="U210" i="1"/>
  <c r="V210" i="1"/>
  <c r="W210" i="1"/>
  <c r="X210" i="1"/>
  <c r="Y210" i="1"/>
  <c r="AC210" i="1"/>
  <c r="AG210" i="1"/>
  <c r="H211" i="1"/>
  <c r="I211" i="1"/>
  <c r="U211" i="1"/>
  <c r="X211" i="1" s="1"/>
  <c r="V211" i="1"/>
  <c r="W211" i="1"/>
  <c r="Y211" i="1"/>
  <c r="AC211" i="1"/>
  <c r="AG211" i="1"/>
  <c r="H212" i="1"/>
  <c r="I212" i="1"/>
  <c r="U212" i="1"/>
  <c r="X212" i="1" s="1"/>
  <c r="V212" i="1"/>
  <c r="W212" i="1"/>
  <c r="Y212" i="1"/>
  <c r="AC212" i="1"/>
  <c r="AG212" i="1"/>
  <c r="H213" i="1"/>
  <c r="I213" i="1" s="1"/>
  <c r="U213" i="1"/>
  <c r="X213" i="1" s="1"/>
  <c r="V213" i="1"/>
  <c r="W213" i="1"/>
  <c r="Y213" i="1"/>
  <c r="AC213" i="1"/>
  <c r="H214" i="1"/>
  <c r="I214" i="1" s="1"/>
  <c r="U214" i="1"/>
  <c r="X214" i="1" s="1"/>
  <c r="V214" i="1"/>
  <c r="W214" i="1"/>
  <c r="Y214" i="1"/>
  <c r="AC214" i="1"/>
  <c r="H215" i="1"/>
  <c r="I215" i="1" s="1"/>
  <c r="U215" i="1"/>
  <c r="X215" i="1" s="1"/>
  <c r="V215" i="1"/>
  <c r="W215" i="1"/>
  <c r="H216" i="1"/>
  <c r="I216" i="1"/>
  <c r="U216" i="1"/>
  <c r="X216" i="1" s="1"/>
  <c r="V216" i="1"/>
  <c r="W216" i="1"/>
  <c r="H217" i="1"/>
  <c r="I217" i="1"/>
  <c r="U217" i="1"/>
  <c r="X217" i="1" s="1"/>
  <c r="V217" i="1"/>
  <c r="W217" i="1"/>
  <c r="Y217" i="1"/>
  <c r="AC217" i="1"/>
  <c r="H218" i="1"/>
  <c r="I218" i="1"/>
  <c r="U218" i="1"/>
  <c r="X218" i="1" s="1"/>
  <c r="V218" i="1"/>
  <c r="W218" i="1"/>
  <c r="Y218" i="1"/>
  <c r="AC218" i="1"/>
  <c r="H219" i="1"/>
  <c r="I219" i="1"/>
  <c r="U219" i="1"/>
  <c r="X219" i="1" s="1"/>
  <c r="V219" i="1"/>
  <c r="W219" i="1"/>
  <c r="Y219" i="1"/>
  <c r="AC219" i="1"/>
  <c r="U220" i="1"/>
  <c r="V220" i="1"/>
  <c r="W220" i="1"/>
  <c r="X220" i="1"/>
  <c r="H221" i="1"/>
  <c r="I221" i="1" s="1"/>
  <c r="U221" i="1"/>
  <c r="X221" i="1" s="1"/>
  <c r="V221" i="1"/>
  <c r="W221" i="1"/>
  <c r="Y221" i="1"/>
  <c r="AC221" i="1"/>
  <c r="AG221" i="1"/>
  <c r="H222" i="1"/>
  <c r="I222" i="1"/>
  <c r="U222" i="1"/>
  <c r="X222" i="1" s="1"/>
  <c r="V222" i="1"/>
  <c r="W222" i="1"/>
  <c r="Y222" i="1"/>
  <c r="AC222" i="1"/>
  <c r="AG222" i="1"/>
  <c r="H223" i="1"/>
  <c r="I223" i="1" s="1"/>
  <c r="U223" i="1"/>
  <c r="V223" i="1"/>
  <c r="W223" i="1"/>
  <c r="X223" i="1"/>
  <c r="Y223" i="1"/>
  <c r="AC223" i="1"/>
  <c r="AG223" i="1"/>
  <c r="H224" i="1"/>
  <c r="I224" i="1" s="1"/>
  <c r="U224" i="1"/>
  <c r="V224" i="1"/>
  <c r="W224" i="1"/>
  <c r="X224" i="1"/>
  <c r="Y224" i="1"/>
  <c r="AC224" i="1"/>
  <c r="AG224" i="1"/>
  <c r="H225" i="1"/>
  <c r="I225" i="1"/>
  <c r="U225" i="1"/>
  <c r="X225" i="1" s="1"/>
  <c r="V225" i="1"/>
  <c r="W225" i="1"/>
  <c r="Y225" i="1"/>
  <c r="AC225" i="1"/>
  <c r="AG225" i="1"/>
  <c r="H226" i="1"/>
  <c r="I226" i="1" s="1"/>
  <c r="U226" i="1"/>
  <c r="V226" i="1"/>
  <c r="W226" i="1"/>
  <c r="X226" i="1"/>
  <c r="H227" i="1"/>
  <c r="I227" i="1" s="1"/>
  <c r="U227" i="1"/>
  <c r="V227" i="1"/>
  <c r="W227" i="1"/>
  <c r="X227" i="1"/>
  <c r="Y227" i="1"/>
  <c r="AC227" i="1"/>
  <c r="AG227" i="1"/>
  <c r="H228" i="1"/>
  <c r="I228" i="1"/>
  <c r="U228" i="1"/>
  <c r="X228" i="1" s="1"/>
  <c r="V228" i="1"/>
  <c r="W228" i="1"/>
  <c r="Y228" i="1"/>
  <c r="AC228" i="1"/>
  <c r="H229" i="1"/>
  <c r="I229" i="1"/>
  <c r="U229" i="1"/>
  <c r="X229" i="1" s="1"/>
  <c r="V229" i="1"/>
  <c r="W229" i="1"/>
  <c r="H230" i="1"/>
  <c r="I230" i="1" s="1"/>
  <c r="U230" i="1"/>
  <c r="V230" i="1"/>
  <c r="W230" i="1"/>
  <c r="X230" i="1"/>
  <c r="Y230" i="1"/>
  <c r="AC230" i="1"/>
  <c r="AG230" i="1"/>
  <c r="H231" i="1"/>
  <c r="I231" i="1" s="1"/>
  <c r="U231" i="1"/>
  <c r="V231" i="1"/>
  <c r="W231" i="1"/>
  <c r="X231" i="1"/>
  <c r="H232" i="1"/>
  <c r="I232" i="1"/>
  <c r="U232" i="1"/>
  <c r="X232" i="1" s="1"/>
  <c r="V232" i="1"/>
  <c r="W232" i="1"/>
  <c r="Y232" i="1"/>
  <c r="AC232" i="1"/>
  <c r="AG232" i="1"/>
  <c r="H233" i="1"/>
  <c r="I233" i="1" s="1"/>
  <c r="P233" i="1"/>
  <c r="U233" i="1"/>
  <c r="V233" i="1"/>
  <c r="W233" i="1"/>
  <c r="X233" i="1"/>
  <c r="Y233" i="1"/>
  <c r="AC233" i="1"/>
  <c r="AG233" i="1"/>
  <c r="H234" i="1"/>
  <c r="I234" i="1"/>
  <c r="U234" i="1"/>
  <c r="X234" i="1" s="1"/>
  <c r="V234" i="1"/>
  <c r="W234" i="1"/>
  <c r="Y234" i="1"/>
  <c r="AC234" i="1"/>
  <c r="AG234" i="1"/>
  <c r="H235" i="1"/>
  <c r="I235" i="1" s="1"/>
  <c r="U235" i="1"/>
  <c r="V235" i="1"/>
  <c r="W235" i="1"/>
  <c r="X235" i="1"/>
  <c r="Y235" i="1"/>
  <c r="AC235" i="1"/>
  <c r="AG235" i="1"/>
  <c r="H236" i="1"/>
  <c r="I236" i="1"/>
  <c r="U236" i="1"/>
  <c r="V236" i="1"/>
  <c r="W236" i="1"/>
  <c r="X236" i="1" s="1"/>
  <c r="Y236" i="1"/>
  <c r="AC236" i="1"/>
  <c r="AG236" i="1"/>
  <c r="H237" i="1"/>
  <c r="I237" i="1"/>
  <c r="U237" i="1"/>
  <c r="X237" i="1" s="1"/>
  <c r="V237" i="1"/>
  <c r="W237" i="1"/>
  <c r="Y237" i="1"/>
  <c r="AC237" i="1"/>
  <c r="AG237" i="1"/>
  <c r="H238" i="1"/>
  <c r="I238" i="1" s="1"/>
  <c r="U238" i="1"/>
  <c r="V238" i="1"/>
  <c r="W238" i="1"/>
  <c r="Y238" i="1"/>
  <c r="AC238" i="1"/>
  <c r="AG238" i="1"/>
  <c r="H239" i="1"/>
  <c r="I239" i="1"/>
  <c r="U239" i="1"/>
  <c r="X239" i="1" s="1"/>
  <c r="V239" i="1"/>
  <c r="W239" i="1"/>
  <c r="Y239" i="1"/>
  <c r="AC239" i="1"/>
  <c r="AG239" i="1"/>
  <c r="H240" i="1"/>
  <c r="I240" i="1" s="1"/>
  <c r="U240" i="1"/>
  <c r="V240" i="1"/>
  <c r="W240" i="1"/>
  <c r="X240" i="1"/>
  <c r="Y240" i="1"/>
  <c r="AC240" i="1"/>
  <c r="H241" i="1"/>
  <c r="I241" i="1" s="1"/>
  <c r="U241" i="1"/>
  <c r="V241" i="1"/>
  <c r="W241" i="1"/>
  <c r="X241" i="1"/>
  <c r="Y241" i="1"/>
  <c r="AC241" i="1"/>
  <c r="H242" i="1"/>
  <c r="I242" i="1" s="1"/>
  <c r="U242" i="1"/>
  <c r="V242" i="1"/>
  <c r="W242" i="1"/>
  <c r="X242" i="1"/>
  <c r="H243" i="1"/>
  <c r="I243" i="1" s="1"/>
  <c r="U243" i="1"/>
  <c r="X243" i="1" s="1"/>
  <c r="V243" i="1"/>
  <c r="W243" i="1"/>
  <c r="Y243" i="1"/>
  <c r="AC243" i="1"/>
  <c r="H244" i="1"/>
  <c r="I244" i="1" s="1"/>
  <c r="U244" i="1"/>
  <c r="V244" i="1"/>
  <c r="W244" i="1"/>
  <c r="Y244" i="1"/>
  <c r="AC244" i="1"/>
  <c r="AG244" i="1"/>
  <c r="H245" i="1"/>
  <c r="I245" i="1"/>
  <c r="U245" i="1"/>
  <c r="X245" i="1" s="1"/>
  <c r="V245" i="1"/>
  <c r="W245" i="1"/>
  <c r="Y245" i="1"/>
  <c r="AC245" i="1"/>
  <c r="AG245" i="1"/>
  <c r="H246" i="1"/>
  <c r="I246" i="1" s="1"/>
  <c r="U246" i="1"/>
  <c r="V246" i="1"/>
  <c r="W246" i="1"/>
  <c r="X246" i="1"/>
  <c r="Y246" i="1"/>
  <c r="AC246" i="1"/>
  <c r="AG246" i="1"/>
  <c r="H247" i="1"/>
  <c r="I247" i="1" s="1"/>
  <c r="U247" i="1"/>
  <c r="V247" i="1"/>
  <c r="W247" i="1"/>
  <c r="X247" i="1"/>
  <c r="Y247" i="1"/>
  <c r="AC247" i="1"/>
  <c r="AG247" i="1"/>
  <c r="H248" i="1"/>
  <c r="I248" i="1"/>
  <c r="U248" i="1"/>
  <c r="X248" i="1" s="1"/>
  <c r="V248" i="1"/>
  <c r="W248" i="1"/>
  <c r="Y248" i="1"/>
  <c r="AC248" i="1"/>
  <c r="AG248" i="1"/>
  <c r="H249" i="1"/>
  <c r="I249" i="1"/>
  <c r="U249" i="1"/>
  <c r="V249" i="1"/>
  <c r="W249" i="1"/>
  <c r="X249" i="1"/>
  <c r="Y249" i="1"/>
  <c r="AC249" i="1"/>
  <c r="AG249" i="1"/>
  <c r="H250" i="1"/>
  <c r="I250" i="1"/>
  <c r="U250" i="1"/>
  <c r="V250" i="1"/>
  <c r="W250" i="1"/>
  <c r="X250" i="1"/>
  <c r="Y250" i="1"/>
  <c r="AC250" i="1"/>
  <c r="AG250" i="1"/>
  <c r="H251" i="1"/>
  <c r="I251" i="1"/>
  <c r="U251" i="1"/>
  <c r="V251" i="1"/>
  <c r="W251" i="1"/>
  <c r="Y251" i="1"/>
  <c r="AC251" i="1"/>
  <c r="H252" i="1"/>
  <c r="I252" i="1"/>
  <c r="U252" i="1"/>
  <c r="V252" i="1"/>
  <c r="W252" i="1"/>
  <c r="Y252" i="1"/>
  <c r="AC252" i="1"/>
  <c r="H253" i="1"/>
  <c r="I253" i="1"/>
  <c r="U253" i="1"/>
  <c r="X253" i="1" s="1"/>
  <c r="V253" i="1"/>
  <c r="W253" i="1"/>
  <c r="H254" i="1"/>
  <c r="I254" i="1"/>
  <c r="U254" i="1"/>
  <c r="V254" i="1"/>
  <c r="W254" i="1"/>
  <c r="X254" i="1"/>
  <c r="H255" i="1"/>
  <c r="I255" i="1" s="1"/>
  <c r="U255" i="1"/>
  <c r="V255" i="1"/>
  <c r="W255" i="1"/>
  <c r="X255" i="1"/>
  <c r="H256" i="1"/>
  <c r="I256" i="1"/>
  <c r="U256" i="1"/>
  <c r="X256" i="1" s="1"/>
  <c r="V256" i="1"/>
  <c r="W256" i="1"/>
  <c r="Y256" i="1"/>
  <c r="AC256" i="1"/>
  <c r="AG256" i="1"/>
  <c r="I257" i="1"/>
  <c r="U257" i="1"/>
  <c r="X257" i="1" s="1"/>
  <c r="V257" i="1"/>
  <c r="W257" i="1"/>
  <c r="Y257" i="1"/>
  <c r="AC257" i="1"/>
  <c r="AG257" i="1"/>
  <c r="H258" i="1"/>
  <c r="I258" i="1" s="1"/>
  <c r="U258" i="1"/>
  <c r="V258" i="1"/>
  <c r="W258" i="1"/>
  <c r="X258" i="1"/>
  <c r="Y258" i="1"/>
  <c r="AC258" i="1"/>
  <c r="AG258" i="1"/>
  <c r="H259" i="1"/>
  <c r="I259" i="1" s="1"/>
  <c r="U259" i="1"/>
  <c r="V259" i="1"/>
  <c r="W259" i="1"/>
  <c r="X259" i="1"/>
  <c r="Y259" i="1"/>
  <c r="AC259" i="1"/>
  <c r="AG259" i="1"/>
  <c r="H260" i="1"/>
  <c r="I260" i="1"/>
  <c r="U260" i="1"/>
  <c r="X260" i="1" s="1"/>
  <c r="V260" i="1"/>
  <c r="W260" i="1"/>
  <c r="Y260" i="1"/>
  <c r="AC260" i="1"/>
  <c r="AG260" i="1"/>
  <c r="H261" i="1"/>
  <c r="I261" i="1"/>
  <c r="U261" i="1"/>
  <c r="V261" i="1"/>
  <c r="W261" i="1"/>
  <c r="X261" i="1"/>
  <c r="Y261" i="1"/>
  <c r="AC261" i="1"/>
  <c r="AG261" i="1"/>
  <c r="H262" i="1"/>
  <c r="I262" i="1"/>
  <c r="U262" i="1"/>
  <c r="V262" i="1"/>
  <c r="W262" i="1"/>
  <c r="X262" i="1"/>
  <c r="Y262" i="1"/>
  <c r="AC262" i="1"/>
  <c r="AG262" i="1"/>
  <c r="H263" i="1"/>
  <c r="I263" i="1"/>
  <c r="U263" i="1"/>
  <c r="V263" i="1"/>
  <c r="W263" i="1"/>
  <c r="Y263" i="1"/>
  <c r="AC263" i="1"/>
  <c r="AG263" i="1"/>
  <c r="H264" i="1"/>
  <c r="I264" i="1" s="1"/>
  <c r="U264" i="1"/>
  <c r="X264" i="1" s="1"/>
  <c r="V264" i="1"/>
  <c r="W264" i="1"/>
  <c r="Y264" i="1"/>
  <c r="AC264" i="1"/>
  <c r="AG264" i="1"/>
  <c r="H265" i="1"/>
  <c r="I265" i="1"/>
  <c r="U265" i="1"/>
  <c r="X265" i="1" s="1"/>
  <c r="V265" i="1"/>
  <c r="W265" i="1"/>
  <c r="Y265" i="1"/>
  <c r="AC265" i="1"/>
  <c r="H266" i="1"/>
  <c r="I266" i="1"/>
  <c r="U266" i="1"/>
  <c r="X266" i="1" s="1"/>
  <c r="V266" i="1"/>
  <c r="W266" i="1"/>
  <c r="Y266" i="1"/>
  <c r="AC266" i="1"/>
  <c r="H267" i="1"/>
  <c r="I267" i="1"/>
  <c r="J267" i="1"/>
  <c r="U267" i="1"/>
  <c r="V267" i="1"/>
  <c r="W267" i="1"/>
  <c r="X267" i="1"/>
  <c r="Y267" i="1"/>
  <c r="AC267" i="1"/>
  <c r="AG267" i="1"/>
  <c r="H268" i="1"/>
  <c r="I268" i="1" s="1"/>
  <c r="J268" i="1"/>
  <c r="U268" i="1"/>
  <c r="V268" i="1"/>
  <c r="W268" i="1"/>
  <c r="Y268" i="1"/>
  <c r="AC268" i="1"/>
  <c r="AG268" i="1"/>
  <c r="H269" i="1"/>
  <c r="I269" i="1" s="1"/>
  <c r="J269" i="1"/>
  <c r="U269" i="1"/>
  <c r="V269" i="1"/>
  <c r="W269" i="1"/>
  <c r="X269" i="1"/>
  <c r="Y269" i="1"/>
  <c r="AC269" i="1"/>
  <c r="AG269" i="1"/>
  <c r="H270" i="1"/>
  <c r="I270" i="1"/>
  <c r="U270" i="1"/>
  <c r="V270" i="1"/>
  <c r="W270" i="1"/>
  <c r="Y270" i="1"/>
  <c r="AC270" i="1"/>
  <c r="AG270" i="1"/>
  <c r="H271" i="1"/>
  <c r="I271" i="1" s="1"/>
  <c r="J271" i="1"/>
  <c r="U271" i="1"/>
  <c r="X271" i="1" s="1"/>
  <c r="V271" i="1"/>
  <c r="W271" i="1"/>
  <c r="Y271" i="1"/>
  <c r="AC271" i="1"/>
  <c r="AG271" i="1"/>
  <c r="H272" i="1"/>
  <c r="I272" i="1"/>
  <c r="J272" i="1"/>
  <c r="U272" i="1"/>
  <c r="V272" i="1"/>
  <c r="W272" i="1"/>
  <c r="X272" i="1" s="1"/>
  <c r="Y272" i="1"/>
  <c r="AC272" i="1"/>
  <c r="AG272" i="1"/>
  <c r="H273" i="1"/>
  <c r="I273" i="1"/>
  <c r="U273" i="1"/>
  <c r="X273" i="1" s="1"/>
  <c r="V273" i="1"/>
  <c r="W273" i="1"/>
  <c r="Y273" i="1"/>
  <c r="AC273" i="1"/>
  <c r="AG273" i="1"/>
  <c r="H274" i="1"/>
  <c r="I274" i="1" s="1"/>
  <c r="U274" i="1"/>
  <c r="X274" i="1" s="1"/>
  <c r="V274" i="1"/>
  <c r="W274" i="1"/>
  <c r="Y274" i="1"/>
  <c r="AC274" i="1"/>
  <c r="AG274" i="1"/>
  <c r="H275" i="1"/>
  <c r="I275" i="1"/>
  <c r="U275" i="1"/>
  <c r="X275" i="1" s="1"/>
  <c r="V275" i="1"/>
  <c r="W275" i="1"/>
  <c r="AC275" i="1"/>
  <c r="AG275" i="1"/>
  <c r="H276" i="1"/>
  <c r="I276" i="1"/>
  <c r="U276" i="1"/>
  <c r="X276" i="1" s="1"/>
  <c r="V276" i="1"/>
  <c r="W276" i="1"/>
  <c r="Y276" i="1"/>
  <c r="AC276" i="1"/>
  <c r="H277" i="1"/>
  <c r="I277" i="1"/>
  <c r="U277" i="1"/>
  <c r="X277" i="1" s="1"/>
  <c r="V277" i="1"/>
  <c r="W277" i="1"/>
  <c r="Y277" i="1"/>
  <c r="AC277" i="1"/>
  <c r="AG277" i="1"/>
  <c r="H278" i="1"/>
  <c r="I278" i="1"/>
  <c r="U278" i="1"/>
  <c r="X278" i="1" s="1"/>
  <c r="V278" i="1"/>
  <c r="W278" i="1"/>
  <c r="Y278" i="1"/>
  <c r="AC278" i="1"/>
  <c r="AG278" i="1"/>
  <c r="H279" i="1"/>
  <c r="I279" i="1" s="1"/>
  <c r="U279" i="1"/>
  <c r="X279" i="1" s="1"/>
  <c r="V279" i="1"/>
  <c r="W279" i="1"/>
  <c r="Y279" i="1"/>
  <c r="AC279" i="1"/>
  <c r="AG279" i="1"/>
  <c r="I280" i="1"/>
  <c r="U280" i="1"/>
  <c r="V280" i="1"/>
  <c r="W280" i="1"/>
  <c r="Y280" i="1"/>
  <c r="AC280" i="1"/>
  <c r="AG280" i="1"/>
  <c r="H281" i="1"/>
  <c r="I281" i="1"/>
  <c r="U281" i="1"/>
  <c r="X281" i="1" s="1"/>
  <c r="V281" i="1"/>
  <c r="W281" i="1"/>
  <c r="Y281" i="1"/>
  <c r="AC281" i="1"/>
  <c r="AG281" i="1"/>
  <c r="H282" i="1"/>
  <c r="I282" i="1" s="1"/>
  <c r="U282" i="1"/>
  <c r="V282" i="1"/>
  <c r="W282" i="1"/>
  <c r="X282" i="1"/>
  <c r="Y282" i="1"/>
  <c r="AC282" i="1"/>
  <c r="AG282" i="1"/>
  <c r="H283" i="1"/>
  <c r="I283" i="1" s="1"/>
  <c r="U283" i="1"/>
  <c r="V283" i="1"/>
  <c r="W283" i="1"/>
  <c r="X283" i="1" s="1"/>
  <c r="Y283" i="1"/>
  <c r="AC283" i="1"/>
  <c r="AG283" i="1"/>
  <c r="H284" i="1"/>
  <c r="I284" i="1"/>
  <c r="U284" i="1"/>
  <c r="X284" i="1" s="1"/>
  <c r="V284" i="1"/>
  <c r="W284" i="1"/>
  <c r="Y284" i="1"/>
  <c r="AC284" i="1"/>
  <c r="AG284" i="1"/>
  <c r="H285" i="1"/>
  <c r="I285" i="1" s="1"/>
  <c r="U285" i="1"/>
  <c r="X285" i="1" s="1"/>
  <c r="V285" i="1"/>
  <c r="W285" i="1"/>
  <c r="Y285" i="1"/>
  <c r="AC285" i="1"/>
  <c r="AG285" i="1"/>
  <c r="H286" i="1"/>
  <c r="I286" i="1"/>
  <c r="U286" i="1"/>
  <c r="X286" i="1" s="1"/>
  <c r="V286" i="1"/>
  <c r="W286" i="1"/>
  <c r="Y286" i="1"/>
  <c r="AC286" i="1"/>
  <c r="AG286" i="1"/>
  <c r="H287" i="1"/>
  <c r="I287" i="1"/>
  <c r="U287" i="1"/>
  <c r="V287" i="1"/>
  <c r="W287" i="1"/>
  <c r="Y287" i="1"/>
  <c r="AC287" i="1"/>
  <c r="AG287" i="1"/>
  <c r="H288" i="1"/>
  <c r="I288" i="1" s="1"/>
  <c r="U288" i="1"/>
  <c r="X288" i="1" s="1"/>
  <c r="V288" i="1"/>
  <c r="W288" i="1"/>
  <c r="Y288" i="1"/>
  <c r="AC288" i="1"/>
  <c r="AG288" i="1"/>
  <c r="H289" i="1"/>
  <c r="I289" i="1"/>
  <c r="U289" i="1"/>
  <c r="X289" i="1" s="1"/>
  <c r="V289" i="1"/>
  <c r="W289" i="1"/>
  <c r="Y289" i="1"/>
  <c r="AC289" i="1"/>
  <c r="AF289" i="1"/>
  <c r="H290" i="1"/>
  <c r="I290" i="1"/>
  <c r="U290" i="1"/>
  <c r="V290" i="1"/>
  <c r="W290" i="1"/>
  <c r="X290" i="1"/>
  <c r="Y290" i="1"/>
  <c r="AC290" i="1"/>
  <c r="AG290" i="1"/>
  <c r="H291" i="1"/>
  <c r="I291" i="1" s="1"/>
  <c r="U291" i="1"/>
  <c r="V291" i="1"/>
  <c r="W291" i="1"/>
  <c r="X291" i="1"/>
  <c r="Y291" i="1"/>
  <c r="AC291" i="1"/>
  <c r="AG291" i="1"/>
  <c r="H292" i="1"/>
  <c r="I292" i="1"/>
  <c r="U292" i="1"/>
  <c r="V292" i="1"/>
  <c r="W292" i="1"/>
  <c r="Y292" i="1"/>
  <c r="AC292" i="1"/>
  <c r="AG292" i="1"/>
  <c r="H293" i="1"/>
  <c r="I293" i="1" s="1"/>
  <c r="U293" i="1"/>
  <c r="X293" i="1" s="1"/>
  <c r="V293" i="1"/>
  <c r="W293" i="1"/>
  <c r="Y293" i="1"/>
  <c r="AC293" i="1"/>
  <c r="AG293" i="1"/>
  <c r="I294" i="1"/>
  <c r="U294" i="1"/>
  <c r="X294" i="1" s="1"/>
  <c r="V294" i="1"/>
  <c r="W294" i="1"/>
  <c r="Y294" i="1"/>
  <c r="AC294" i="1"/>
  <c r="AG294" i="1"/>
  <c r="H295" i="1"/>
  <c r="I295" i="1"/>
  <c r="U295" i="1"/>
  <c r="V295" i="1"/>
  <c r="W295" i="1"/>
  <c r="X295" i="1"/>
  <c r="Y295" i="1"/>
  <c r="AC295" i="1"/>
  <c r="AG295" i="1"/>
  <c r="H296" i="1"/>
  <c r="I296" i="1" s="1"/>
  <c r="U296" i="1"/>
  <c r="V296" i="1"/>
  <c r="W296" i="1"/>
  <c r="Y296" i="1"/>
  <c r="AC296" i="1"/>
  <c r="AG296" i="1"/>
  <c r="H297" i="1"/>
  <c r="I297" i="1" s="1"/>
  <c r="U297" i="1"/>
  <c r="V297" i="1"/>
  <c r="W297" i="1"/>
  <c r="X297" i="1"/>
  <c r="Y297" i="1"/>
  <c r="AC297" i="1"/>
  <c r="AG297" i="1"/>
  <c r="H298" i="1"/>
  <c r="I298" i="1"/>
  <c r="U298" i="1"/>
  <c r="V298" i="1"/>
  <c r="W298" i="1"/>
  <c r="Y298" i="1"/>
  <c r="AC298" i="1"/>
  <c r="AG298" i="1"/>
  <c r="H299" i="1"/>
  <c r="I299" i="1" s="1"/>
  <c r="U299" i="1"/>
  <c r="V299" i="1"/>
  <c r="X299" i="1" s="1"/>
  <c r="W299" i="1"/>
  <c r="Y299" i="1"/>
  <c r="AC299" i="1"/>
  <c r="AG299" i="1"/>
  <c r="H300" i="1"/>
  <c r="I300" i="1" s="1"/>
  <c r="U300" i="1"/>
  <c r="V300" i="1"/>
  <c r="W300" i="1"/>
  <c r="X300" i="1" s="1"/>
  <c r="Y300" i="1"/>
  <c r="AC300" i="1"/>
  <c r="AG300" i="1"/>
  <c r="H301" i="1"/>
  <c r="I301" i="1"/>
  <c r="U301" i="1"/>
  <c r="V301" i="1"/>
  <c r="W301" i="1"/>
  <c r="Y301" i="1"/>
  <c r="AC301" i="1"/>
  <c r="AG301" i="1"/>
  <c r="H302" i="1"/>
  <c r="I302" i="1" s="1"/>
  <c r="U302" i="1"/>
  <c r="V302" i="1"/>
  <c r="X302" i="1" s="1"/>
  <c r="W302" i="1"/>
  <c r="Y302" i="1"/>
  <c r="AC302" i="1"/>
  <c r="AG302" i="1"/>
  <c r="H303" i="1"/>
  <c r="I303" i="1"/>
  <c r="U303" i="1"/>
  <c r="X303" i="1" s="1"/>
  <c r="V303" i="1"/>
  <c r="W303" i="1"/>
  <c r="Y303" i="1"/>
  <c r="AC303" i="1"/>
  <c r="AG303" i="1"/>
  <c r="H304" i="1"/>
  <c r="I304" i="1"/>
  <c r="U304" i="1"/>
  <c r="X304" i="1" s="1"/>
  <c r="V304" i="1"/>
  <c r="W304" i="1"/>
  <c r="Y304" i="1"/>
  <c r="AC304" i="1"/>
  <c r="H305" i="1"/>
  <c r="I305" i="1" s="1"/>
  <c r="U305" i="1"/>
  <c r="V305" i="1"/>
  <c r="W305" i="1"/>
  <c r="Y305" i="1"/>
  <c r="AC305" i="1"/>
  <c r="AG305" i="1"/>
  <c r="H306" i="1"/>
  <c r="I306" i="1" s="1"/>
  <c r="U306" i="1"/>
  <c r="V306" i="1"/>
  <c r="X306" i="1" s="1"/>
  <c r="W306" i="1"/>
  <c r="Y306" i="1"/>
  <c r="AC306" i="1"/>
  <c r="H307" i="1"/>
  <c r="I307" i="1" s="1"/>
  <c r="U307" i="1"/>
  <c r="V307" i="1"/>
  <c r="W307" i="1"/>
  <c r="X307" i="1"/>
  <c r="Y307" i="1"/>
  <c r="AC307" i="1"/>
  <c r="H308" i="1"/>
  <c r="I308" i="1" s="1"/>
  <c r="U308" i="1"/>
  <c r="X308" i="1" s="1"/>
  <c r="V308" i="1"/>
  <c r="W308" i="1"/>
  <c r="Y308" i="1"/>
  <c r="AC308" i="1"/>
  <c r="AG308" i="1"/>
  <c r="H309" i="1"/>
  <c r="I309" i="1"/>
  <c r="U309" i="1"/>
  <c r="V309" i="1"/>
  <c r="W309" i="1"/>
  <c r="X309" i="1"/>
  <c r="Y309" i="1"/>
  <c r="AC309" i="1"/>
  <c r="I310" i="1"/>
  <c r="U310" i="1"/>
  <c r="X310" i="1" s="1"/>
  <c r="V310" i="1"/>
  <c r="W310" i="1"/>
  <c r="Y310" i="1"/>
  <c r="AC310" i="1"/>
  <c r="AG310" i="1"/>
  <c r="H311" i="1"/>
  <c r="I311" i="1"/>
  <c r="U311" i="1"/>
  <c r="V311" i="1"/>
  <c r="W311" i="1"/>
  <c r="X311" i="1"/>
  <c r="Y311" i="1"/>
  <c r="AC311" i="1"/>
  <c r="AG311" i="1"/>
  <c r="I312" i="1"/>
  <c r="U312" i="1"/>
  <c r="V312" i="1"/>
  <c r="W312" i="1"/>
  <c r="X312" i="1"/>
  <c r="Y312" i="1"/>
  <c r="AC312" i="1"/>
  <c r="AG312" i="1"/>
  <c r="I313" i="1"/>
  <c r="U313" i="1"/>
  <c r="V313" i="1"/>
  <c r="W313" i="1"/>
  <c r="X313" i="1"/>
  <c r="Y313" i="1"/>
  <c r="AC313" i="1"/>
  <c r="AG313" i="1"/>
  <c r="H314" i="1"/>
  <c r="I314" i="1" s="1"/>
  <c r="U314" i="1"/>
  <c r="V314" i="1"/>
  <c r="W314" i="1"/>
  <c r="X314" i="1"/>
  <c r="Y314" i="1"/>
  <c r="AC314" i="1"/>
  <c r="AG314" i="1"/>
  <c r="H315" i="1"/>
  <c r="I315" i="1" s="1"/>
  <c r="U315" i="1"/>
  <c r="V315" i="1"/>
  <c r="W315" i="1"/>
  <c r="X315" i="1"/>
  <c r="Y315" i="1"/>
  <c r="AC315" i="1"/>
  <c r="AG315" i="1"/>
  <c r="I316" i="1"/>
  <c r="U316" i="1"/>
  <c r="V316" i="1"/>
  <c r="W316" i="1"/>
  <c r="X316" i="1"/>
  <c r="Y316" i="1"/>
  <c r="AC316" i="1"/>
  <c r="AG316" i="1"/>
  <c r="H317" i="1"/>
  <c r="I317" i="1"/>
  <c r="U317" i="1"/>
  <c r="V317" i="1"/>
  <c r="W317" i="1"/>
  <c r="Y317" i="1"/>
  <c r="AC317" i="1"/>
  <c r="AG317" i="1"/>
  <c r="H318" i="1"/>
  <c r="I318" i="1" s="1"/>
  <c r="U318" i="1"/>
  <c r="V318" i="1"/>
  <c r="W318" i="1"/>
  <c r="X318" i="1"/>
  <c r="Y318" i="1"/>
  <c r="AC318" i="1"/>
  <c r="AG318" i="1"/>
  <c r="H319" i="1"/>
  <c r="I319" i="1"/>
  <c r="U319" i="1"/>
  <c r="V319" i="1"/>
  <c r="W319" i="1"/>
  <c r="X319" i="1" s="1"/>
  <c r="Y319" i="1"/>
  <c r="AC319" i="1"/>
  <c r="H320" i="1"/>
  <c r="I320" i="1"/>
  <c r="U320" i="1"/>
  <c r="V320" i="1"/>
  <c r="W320" i="1"/>
  <c r="X320" i="1" s="1"/>
  <c r="Y320" i="1"/>
  <c r="AC320" i="1"/>
  <c r="H321" i="1"/>
  <c r="I321" i="1"/>
  <c r="U321" i="1"/>
  <c r="V321" i="1"/>
  <c r="W321" i="1"/>
  <c r="X321" i="1" s="1"/>
  <c r="Y321" i="1"/>
  <c r="AC321" i="1"/>
  <c r="AG321" i="1"/>
  <c r="H322" i="1"/>
  <c r="I322" i="1"/>
  <c r="U322" i="1"/>
  <c r="V322" i="1"/>
  <c r="W322" i="1"/>
  <c r="Y322" i="1"/>
  <c r="AC322" i="1"/>
  <c r="H323" i="1"/>
  <c r="I323" i="1"/>
  <c r="U323" i="1"/>
  <c r="V323" i="1"/>
  <c r="W323" i="1"/>
  <c r="Y323" i="1"/>
  <c r="AC323" i="1"/>
  <c r="AG323" i="1"/>
  <c r="H324" i="1"/>
  <c r="I324" i="1" s="1"/>
  <c r="U324" i="1"/>
  <c r="V324" i="1"/>
  <c r="W324" i="1"/>
  <c r="X324" i="1"/>
  <c r="Y324" i="1"/>
  <c r="AC324" i="1"/>
  <c r="AG324" i="1"/>
  <c r="H325" i="1"/>
  <c r="I325" i="1"/>
  <c r="U325" i="1"/>
  <c r="V325" i="1"/>
  <c r="W325" i="1"/>
  <c r="X325" i="1" s="1"/>
  <c r="Y325" i="1"/>
  <c r="AC325" i="1"/>
  <c r="AG325" i="1"/>
  <c r="H326" i="1"/>
  <c r="I326" i="1"/>
  <c r="U326" i="1"/>
  <c r="V326" i="1"/>
  <c r="W326" i="1"/>
  <c r="X326" i="1"/>
  <c r="Y326" i="1"/>
  <c r="AC326" i="1"/>
  <c r="AG326" i="1"/>
  <c r="H327" i="1"/>
  <c r="I327" i="1" s="1"/>
  <c r="U327" i="1"/>
  <c r="V327" i="1"/>
  <c r="W327" i="1"/>
  <c r="X327" i="1"/>
  <c r="Y327" i="1"/>
  <c r="AC327" i="1"/>
  <c r="AG327" i="1"/>
  <c r="H328" i="1"/>
  <c r="I328" i="1"/>
  <c r="U328" i="1"/>
  <c r="V328" i="1"/>
  <c r="W328" i="1"/>
  <c r="Y328" i="1"/>
  <c r="AC328" i="1"/>
  <c r="AG328" i="1"/>
  <c r="H329" i="1"/>
  <c r="I329" i="1"/>
  <c r="U329" i="1"/>
  <c r="X329" i="1" s="1"/>
  <c r="V329" i="1"/>
  <c r="W329" i="1"/>
  <c r="Y329" i="1"/>
  <c r="AC329" i="1"/>
  <c r="AG329" i="1"/>
  <c r="H330" i="1"/>
  <c r="I330" i="1"/>
  <c r="U330" i="1"/>
  <c r="X330" i="1" s="1"/>
  <c r="V330" i="1"/>
  <c r="W330" i="1"/>
  <c r="Y330" i="1"/>
  <c r="AC330" i="1"/>
  <c r="AG330" i="1"/>
  <c r="H331" i="1"/>
  <c r="I331" i="1" s="1"/>
  <c r="U331" i="1"/>
  <c r="X331" i="1" s="1"/>
  <c r="V331" i="1"/>
  <c r="W331" i="1"/>
  <c r="Y331" i="1"/>
  <c r="AC331" i="1"/>
  <c r="AG331" i="1"/>
  <c r="H332" i="1"/>
  <c r="I332" i="1" s="1"/>
  <c r="U332" i="1"/>
  <c r="X332" i="1" s="1"/>
  <c r="V332" i="1"/>
  <c r="W332" i="1"/>
  <c r="Y332" i="1"/>
  <c r="AC332" i="1"/>
  <c r="AG332" i="1"/>
  <c r="H333" i="1"/>
  <c r="I333" i="1"/>
  <c r="U333" i="1"/>
  <c r="X333" i="1" s="1"/>
  <c r="V333" i="1"/>
  <c r="W333" i="1"/>
  <c r="Y333" i="1"/>
  <c r="AC333" i="1"/>
  <c r="AG333" i="1"/>
  <c r="H334" i="1"/>
  <c r="I334" i="1"/>
  <c r="U334" i="1"/>
  <c r="V334" i="1"/>
  <c r="W334" i="1"/>
  <c r="X334" i="1"/>
  <c r="Y334" i="1"/>
  <c r="AC334" i="1"/>
  <c r="AG334" i="1"/>
  <c r="H335" i="1"/>
  <c r="I335" i="1" s="1"/>
  <c r="U335" i="1"/>
  <c r="V335" i="1"/>
  <c r="W335" i="1"/>
  <c r="X335" i="1"/>
  <c r="H336" i="1"/>
  <c r="I336" i="1"/>
  <c r="U336" i="1"/>
  <c r="X336" i="1" s="1"/>
  <c r="V336" i="1"/>
  <c r="W336" i="1"/>
  <c r="Y336" i="1"/>
  <c r="AC336" i="1"/>
  <c r="AG336" i="1"/>
  <c r="H337" i="1"/>
  <c r="I337" i="1" s="1"/>
  <c r="U337" i="1"/>
  <c r="V337" i="1"/>
  <c r="X337" i="1" s="1"/>
  <c r="W337" i="1"/>
  <c r="Y337" i="1"/>
  <c r="AC337" i="1"/>
  <c r="AG337" i="1"/>
  <c r="H338" i="1"/>
  <c r="I338" i="1" s="1"/>
  <c r="U338" i="1"/>
  <c r="X338" i="1" s="1"/>
  <c r="V338" i="1"/>
  <c r="W338" i="1"/>
  <c r="Y338" i="1"/>
  <c r="AC338" i="1"/>
  <c r="AG338" i="1"/>
  <c r="H339" i="1"/>
  <c r="I339" i="1"/>
  <c r="U339" i="1"/>
  <c r="X339" i="1" s="1"/>
  <c r="V339" i="1"/>
  <c r="W339" i="1"/>
  <c r="Y339" i="1"/>
  <c r="AC339" i="1"/>
  <c r="AG339" i="1"/>
  <c r="H340" i="1"/>
  <c r="I340" i="1"/>
  <c r="U340" i="1"/>
  <c r="V340" i="1"/>
  <c r="W340" i="1"/>
  <c r="X340" i="1"/>
  <c r="Y340" i="1"/>
  <c r="AC340" i="1"/>
  <c r="AG340" i="1"/>
  <c r="H341" i="1"/>
  <c r="I341" i="1" s="1"/>
  <c r="U341" i="1"/>
  <c r="V341" i="1"/>
  <c r="W341" i="1"/>
  <c r="X341" i="1" s="1"/>
  <c r="Y341" i="1"/>
  <c r="AC341" i="1"/>
  <c r="AG341" i="1"/>
  <c r="H342" i="1"/>
  <c r="I342" i="1" s="1"/>
  <c r="U342" i="1"/>
  <c r="V342" i="1"/>
  <c r="W342" i="1"/>
  <c r="Y342" i="1"/>
  <c r="AC342" i="1"/>
  <c r="AG342" i="1"/>
  <c r="H343" i="1"/>
  <c r="I343" i="1" s="1"/>
  <c r="U343" i="1"/>
  <c r="V343" i="1"/>
  <c r="W343" i="1"/>
  <c r="X343" i="1"/>
  <c r="Y343" i="1"/>
  <c r="AC343" i="1"/>
  <c r="AG343" i="1"/>
  <c r="H344" i="1"/>
  <c r="I344" i="1"/>
  <c r="U344" i="1"/>
  <c r="V344" i="1"/>
  <c r="W344" i="1"/>
  <c r="X344" i="1"/>
  <c r="Y344" i="1"/>
  <c r="AC344" i="1"/>
  <c r="AG344" i="1"/>
  <c r="H345" i="1"/>
  <c r="I345" i="1"/>
  <c r="U345" i="1"/>
  <c r="V345" i="1"/>
  <c r="W345" i="1"/>
  <c r="X345" i="1" s="1"/>
  <c r="Y345" i="1"/>
  <c r="AC345" i="1"/>
  <c r="AG345" i="1"/>
  <c r="H346" i="1"/>
  <c r="I346" i="1" s="1"/>
  <c r="U346" i="1"/>
  <c r="V346" i="1"/>
  <c r="W346" i="1"/>
  <c r="X346" i="1" s="1"/>
  <c r="Y346" i="1"/>
  <c r="AC346" i="1"/>
  <c r="AG346" i="1"/>
  <c r="H347" i="1"/>
  <c r="I347" i="1"/>
  <c r="U347" i="1"/>
  <c r="V347" i="1"/>
  <c r="W347" i="1"/>
  <c r="X347" i="1"/>
  <c r="Y347" i="1"/>
  <c r="AC347" i="1"/>
  <c r="H348" i="1"/>
  <c r="I348" i="1"/>
  <c r="U348" i="1"/>
  <c r="V348" i="1"/>
  <c r="W348" i="1"/>
  <c r="X348" i="1"/>
  <c r="H349" i="1"/>
  <c r="I349" i="1" s="1"/>
  <c r="U349" i="1"/>
  <c r="V349" i="1"/>
  <c r="W349" i="1"/>
  <c r="X349" i="1"/>
  <c r="H350" i="1"/>
  <c r="I350" i="1"/>
  <c r="U350" i="1"/>
  <c r="V350" i="1"/>
  <c r="W350" i="1"/>
  <c r="X350" i="1"/>
  <c r="Y350" i="1"/>
  <c r="AC350" i="1"/>
  <c r="AG350" i="1"/>
  <c r="H351" i="1"/>
  <c r="I351" i="1" s="1"/>
  <c r="U351" i="1"/>
  <c r="V351" i="1"/>
  <c r="W351" i="1"/>
  <c r="X351" i="1" s="1"/>
  <c r="Y351" i="1"/>
  <c r="AC351" i="1"/>
  <c r="AG351" i="1"/>
  <c r="H352" i="1"/>
  <c r="I352" i="1" s="1"/>
  <c r="U352" i="1"/>
  <c r="V352" i="1"/>
  <c r="W352" i="1"/>
  <c r="X352" i="1"/>
  <c r="Y352" i="1"/>
  <c r="AC352" i="1"/>
  <c r="AG352" i="1"/>
  <c r="H353" i="1"/>
  <c r="I353" i="1" s="1"/>
  <c r="U353" i="1"/>
  <c r="V353" i="1"/>
  <c r="W353" i="1"/>
  <c r="X353" i="1"/>
  <c r="Y353" i="1"/>
  <c r="AC353" i="1"/>
  <c r="AG353" i="1"/>
  <c r="H354" i="1"/>
  <c r="I354" i="1"/>
  <c r="U354" i="1"/>
  <c r="V354" i="1"/>
  <c r="W354" i="1"/>
  <c r="X354" i="1"/>
  <c r="Y354" i="1"/>
  <c r="AC354" i="1"/>
  <c r="AG354" i="1"/>
  <c r="H355" i="1"/>
  <c r="I355" i="1"/>
  <c r="U355" i="1"/>
  <c r="V355" i="1"/>
  <c r="W355" i="1"/>
  <c r="X355" i="1"/>
  <c r="Y355" i="1"/>
  <c r="AC355" i="1"/>
  <c r="AG355" i="1"/>
  <c r="H356" i="1"/>
  <c r="I356" i="1" s="1"/>
  <c r="U356" i="1"/>
  <c r="X356" i="1" s="1"/>
  <c r="V356" i="1"/>
  <c r="W356" i="1"/>
  <c r="Y356" i="1"/>
  <c r="AC356" i="1"/>
  <c r="AG356" i="1"/>
  <c r="H357" i="1"/>
  <c r="I357" i="1"/>
  <c r="U357" i="1"/>
  <c r="V357" i="1"/>
  <c r="W357" i="1"/>
  <c r="Y357" i="1"/>
  <c r="AC357" i="1"/>
  <c r="AG357" i="1"/>
  <c r="H358" i="1"/>
  <c r="I358" i="1"/>
  <c r="U358" i="1"/>
  <c r="X358" i="1" s="1"/>
  <c r="V358" i="1"/>
  <c r="W358" i="1"/>
  <c r="Y358" i="1"/>
  <c r="AC358" i="1"/>
  <c r="AG358" i="1"/>
  <c r="H359" i="1"/>
  <c r="I359" i="1"/>
  <c r="U359" i="1"/>
  <c r="X359" i="1" s="1"/>
  <c r="V359" i="1"/>
  <c r="W359" i="1"/>
  <c r="Y359" i="1"/>
  <c r="AC359" i="1"/>
  <c r="AG359" i="1"/>
  <c r="H360" i="1"/>
  <c r="I360" i="1"/>
  <c r="U360" i="1"/>
  <c r="V360" i="1"/>
  <c r="W360" i="1"/>
  <c r="X360" i="1"/>
  <c r="Y360" i="1"/>
  <c r="AC360" i="1"/>
  <c r="H361" i="1"/>
  <c r="I361" i="1"/>
  <c r="U361" i="1"/>
  <c r="V361" i="1"/>
  <c r="W361" i="1"/>
  <c r="X361" i="1"/>
  <c r="Y361" i="1"/>
  <c r="AC361" i="1"/>
  <c r="H362" i="1"/>
  <c r="I362" i="1"/>
  <c r="U362" i="1"/>
  <c r="V362" i="1"/>
  <c r="W362" i="1"/>
  <c r="X362" i="1"/>
  <c r="H363" i="1"/>
  <c r="I363" i="1"/>
  <c r="U363" i="1"/>
  <c r="X363" i="1" s="1"/>
  <c r="V363" i="1"/>
  <c r="W363" i="1"/>
  <c r="Y363" i="1"/>
  <c r="AC363" i="1"/>
  <c r="AG363" i="1"/>
  <c r="H364" i="1"/>
  <c r="I364" i="1" s="1"/>
  <c r="U364" i="1"/>
  <c r="X364" i="1" s="1"/>
  <c r="V364" i="1"/>
  <c r="W364" i="1"/>
  <c r="Y364" i="1"/>
  <c r="AC364" i="1"/>
  <c r="AG364" i="1"/>
  <c r="I365" i="1"/>
  <c r="U365" i="1"/>
  <c r="X365" i="1" s="1"/>
  <c r="V365" i="1"/>
  <c r="W365" i="1"/>
  <c r="Y365" i="1"/>
  <c r="AC365" i="1"/>
  <c r="AG365" i="1"/>
  <c r="H366" i="1"/>
  <c r="I366" i="1"/>
  <c r="U366" i="1"/>
  <c r="V366" i="1"/>
  <c r="W366" i="1"/>
  <c r="X366" i="1"/>
  <c r="Y366" i="1"/>
  <c r="AC366" i="1"/>
  <c r="AG366" i="1"/>
  <c r="H367" i="1"/>
  <c r="I367" i="1" s="1"/>
  <c r="U367" i="1"/>
  <c r="V367" i="1"/>
  <c r="W367" i="1"/>
  <c r="X367" i="1"/>
  <c r="Y367" i="1"/>
  <c r="AC367" i="1"/>
  <c r="AG367" i="1"/>
  <c r="H368" i="1"/>
  <c r="I368" i="1"/>
  <c r="U368" i="1"/>
  <c r="V368" i="1"/>
  <c r="W368" i="1"/>
  <c r="X368" i="1"/>
  <c r="Y368" i="1"/>
  <c r="AC368" i="1"/>
  <c r="AG368" i="1"/>
  <c r="H369" i="1"/>
  <c r="I369" i="1" s="1"/>
  <c r="U369" i="1"/>
  <c r="V369" i="1"/>
  <c r="W369" i="1"/>
  <c r="X369" i="1"/>
  <c r="Y369" i="1"/>
  <c r="AC369" i="1"/>
  <c r="AG369" i="1"/>
  <c r="H370" i="1"/>
  <c r="I370" i="1"/>
  <c r="U370" i="1"/>
  <c r="V370" i="1"/>
  <c r="W370" i="1"/>
  <c r="X370" i="1" s="1"/>
  <c r="Y370" i="1"/>
  <c r="AC370" i="1"/>
  <c r="H371" i="1"/>
  <c r="I371" i="1"/>
  <c r="U371" i="1"/>
  <c r="V371" i="1"/>
  <c r="W371" i="1"/>
  <c r="X371" i="1" s="1"/>
  <c r="Y371" i="1"/>
  <c r="AC371" i="1"/>
  <c r="H372" i="1"/>
  <c r="I372" i="1"/>
  <c r="U372" i="1"/>
  <c r="V372" i="1"/>
  <c r="W372" i="1"/>
  <c r="X372" i="1" s="1"/>
  <c r="Y372" i="1"/>
  <c r="AC372" i="1"/>
  <c r="AG372" i="1"/>
  <c r="H373" i="1"/>
  <c r="I373" i="1"/>
  <c r="U373" i="1"/>
  <c r="V373" i="1"/>
  <c r="W373" i="1"/>
  <c r="Y373" i="1"/>
  <c r="AC373" i="1"/>
  <c r="AG373" i="1"/>
  <c r="H374" i="1"/>
  <c r="I374" i="1"/>
  <c r="U374" i="1"/>
  <c r="V374" i="1"/>
  <c r="X374" i="1" s="1"/>
  <c r="W374" i="1"/>
  <c r="Y374" i="1"/>
  <c r="AC374" i="1"/>
  <c r="AG374" i="1"/>
  <c r="H375" i="1"/>
  <c r="I375" i="1"/>
  <c r="U375" i="1"/>
  <c r="X375" i="1" s="1"/>
  <c r="V375" i="1"/>
  <c r="W375" i="1"/>
  <c r="Y375" i="1"/>
  <c r="AC375" i="1"/>
  <c r="AG375" i="1"/>
  <c r="H376" i="1"/>
  <c r="I376" i="1"/>
  <c r="U376" i="1"/>
  <c r="X376" i="1" s="1"/>
  <c r="V376" i="1"/>
  <c r="W376" i="1"/>
  <c r="Y376" i="1"/>
  <c r="AC376" i="1"/>
  <c r="AG376" i="1"/>
  <c r="I377" i="1"/>
  <c r="U377" i="1"/>
  <c r="X377" i="1" s="1"/>
  <c r="V377" i="1"/>
  <c r="W377" i="1"/>
  <c r="Y377" i="1"/>
  <c r="AC377" i="1"/>
  <c r="AG377" i="1"/>
  <c r="H378" i="1"/>
  <c r="I378" i="1" s="1"/>
  <c r="U378" i="1"/>
  <c r="X378" i="1" s="1"/>
  <c r="V378" i="1"/>
  <c r="W378" i="1"/>
  <c r="Y378" i="1"/>
  <c r="AC378" i="1"/>
  <c r="H379" i="1"/>
  <c r="I379" i="1" s="1"/>
  <c r="U379" i="1"/>
  <c r="X379" i="1" s="1"/>
  <c r="V379" i="1"/>
  <c r="W379" i="1"/>
  <c r="Y379" i="1"/>
  <c r="AC379" i="1"/>
  <c r="AG379" i="1"/>
  <c r="H380" i="1"/>
  <c r="I380" i="1"/>
  <c r="U380" i="1"/>
  <c r="V380" i="1"/>
  <c r="W380" i="1"/>
  <c r="X380" i="1"/>
  <c r="Y380" i="1"/>
  <c r="AC380" i="1"/>
  <c r="AG380" i="1"/>
  <c r="H381" i="1"/>
  <c r="I381" i="1" s="1"/>
  <c r="U381" i="1"/>
  <c r="V381" i="1"/>
  <c r="W381" i="1"/>
  <c r="X381" i="1"/>
  <c r="Y381" i="1"/>
  <c r="AC381" i="1"/>
  <c r="AG381" i="1"/>
  <c r="H382" i="1"/>
  <c r="I382" i="1" s="1"/>
  <c r="U382" i="1"/>
  <c r="V382" i="1"/>
  <c r="W382" i="1"/>
  <c r="X382" i="1"/>
  <c r="Y382" i="1"/>
  <c r="AC382" i="1"/>
  <c r="AG382" i="1"/>
  <c r="H383" i="1"/>
  <c r="I383" i="1"/>
  <c r="U383" i="1"/>
  <c r="X383" i="1" s="1"/>
  <c r="V383" i="1"/>
  <c r="W383" i="1"/>
  <c r="Y383" i="1"/>
  <c r="AC383" i="1"/>
  <c r="AG383" i="1"/>
  <c r="H384" i="1"/>
  <c r="I384" i="1"/>
  <c r="U384" i="1"/>
  <c r="V384" i="1"/>
  <c r="X384" i="1" s="1"/>
  <c r="W384" i="1"/>
  <c r="Y384" i="1"/>
  <c r="AC384" i="1"/>
  <c r="AG384" i="1"/>
  <c r="H385" i="1"/>
  <c r="I385" i="1"/>
  <c r="U385" i="1"/>
  <c r="X385" i="1" s="1"/>
  <c r="V385" i="1"/>
  <c r="W385" i="1"/>
  <c r="Y385" i="1"/>
  <c r="AC385" i="1"/>
  <c r="AG385" i="1"/>
  <c r="H386" i="1"/>
  <c r="I386" i="1"/>
  <c r="U386" i="1"/>
  <c r="X386" i="1" s="1"/>
  <c r="V386" i="1"/>
  <c r="W386" i="1"/>
  <c r="H387" i="1"/>
  <c r="I387" i="1"/>
  <c r="U387" i="1"/>
  <c r="V387" i="1"/>
  <c r="X387" i="1" s="1"/>
  <c r="W387" i="1"/>
  <c r="I388" i="1"/>
  <c r="U388" i="1"/>
  <c r="V388" i="1"/>
  <c r="W388" i="1"/>
  <c r="X388" i="1"/>
  <c r="Y388" i="1"/>
  <c r="AC388" i="1"/>
  <c r="AG388" i="1"/>
  <c r="H389" i="1"/>
  <c r="I389" i="1" s="1"/>
  <c r="U389" i="1"/>
  <c r="V389" i="1"/>
  <c r="W389" i="1"/>
  <c r="X389" i="1"/>
  <c r="Y389" i="1"/>
  <c r="AC389" i="1"/>
  <c r="AG389" i="1"/>
  <c r="H390" i="1"/>
  <c r="I390" i="1"/>
  <c r="U390" i="1"/>
  <c r="V390" i="1"/>
  <c r="W390" i="1"/>
  <c r="X390" i="1" s="1"/>
  <c r="Y390" i="1"/>
  <c r="AC390" i="1"/>
  <c r="AG390" i="1"/>
  <c r="H391" i="1"/>
  <c r="I391" i="1"/>
  <c r="U391" i="1"/>
  <c r="V391" i="1"/>
  <c r="X391" i="1" s="1"/>
  <c r="W391" i="1"/>
  <c r="Y391" i="1"/>
  <c r="AC391" i="1"/>
  <c r="AG391" i="1"/>
  <c r="H392" i="1"/>
  <c r="I392" i="1"/>
  <c r="U392" i="1"/>
  <c r="X392" i="1" s="1"/>
  <c r="V392" i="1"/>
  <c r="W392" i="1"/>
  <c r="Y392" i="1"/>
  <c r="AC392" i="1"/>
  <c r="AG392" i="1"/>
  <c r="H393" i="1"/>
  <c r="I393" i="1"/>
  <c r="U393" i="1"/>
  <c r="X393" i="1" s="1"/>
  <c r="V393" i="1"/>
  <c r="W393" i="1"/>
  <c r="Y393" i="1"/>
  <c r="AC393" i="1"/>
  <c r="AG393" i="1"/>
  <c r="H394" i="1"/>
  <c r="I394" i="1" s="1"/>
  <c r="U394" i="1"/>
  <c r="X394" i="1" s="1"/>
  <c r="V394" i="1"/>
  <c r="W394" i="1"/>
  <c r="Y394" i="1"/>
  <c r="AC394" i="1"/>
  <c r="AG394" i="1"/>
  <c r="H395" i="1"/>
  <c r="I395" i="1"/>
  <c r="U395" i="1"/>
  <c r="V395" i="1"/>
  <c r="W395" i="1"/>
  <c r="X395" i="1"/>
  <c r="Y395" i="1"/>
  <c r="AC395" i="1"/>
  <c r="AG395" i="1"/>
  <c r="H396" i="1"/>
  <c r="I396" i="1" s="1"/>
  <c r="U396" i="1"/>
  <c r="V396" i="1"/>
  <c r="W396" i="1"/>
  <c r="X396" i="1"/>
  <c r="Y396" i="1"/>
  <c r="AC396" i="1"/>
  <c r="AG396" i="1"/>
  <c r="H397" i="1"/>
  <c r="I397" i="1" s="1"/>
  <c r="U397" i="1"/>
  <c r="V397" i="1"/>
  <c r="W397" i="1"/>
  <c r="X397" i="1"/>
  <c r="Y397" i="1"/>
  <c r="AC397" i="1"/>
  <c r="H398" i="1"/>
  <c r="I398" i="1" s="1"/>
  <c r="U398" i="1"/>
  <c r="V398" i="1"/>
  <c r="W398" i="1"/>
  <c r="X398" i="1"/>
  <c r="Y398" i="1"/>
  <c r="AC398" i="1"/>
  <c r="R399" i="1"/>
  <c r="S399" i="1"/>
  <c r="T399" i="1"/>
  <c r="Y399" i="1"/>
  <c r="A3" i="20"/>
  <c r="A4" i="20"/>
  <c r="A5" i="20"/>
  <c r="A6" i="20"/>
  <c r="A7" i="20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E2" i="26"/>
  <c r="F2" i="26" s="1"/>
  <c r="G2" i="26"/>
  <c r="R2" i="26"/>
  <c r="S2" i="26"/>
  <c r="T2" i="26"/>
  <c r="U2" i="26"/>
  <c r="V2" i="26"/>
  <c r="Y2" i="26"/>
  <c r="AC2" i="26"/>
  <c r="E3" i="26"/>
  <c r="F3" i="26" s="1"/>
  <c r="G3" i="26"/>
  <c r="R3" i="26"/>
  <c r="S3" i="26"/>
  <c r="T3" i="26"/>
  <c r="V3" i="26"/>
  <c r="Y3" i="26"/>
  <c r="AC3" i="26"/>
  <c r="E4" i="26"/>
  <c r="F4" i="26" s="1"/>
  <c r="G4" i="26"/>
  <c r="R4" i="26"/>
  <c r="S4" i="26"/>
  <c r="T4" i="26"/>
  <c r="V4" i="26"/>
  <c r="Y4" i="26"/>
  <c r="AC4" i="26"/>
  <c r="E5" i="26"/>
  <c r="G5" i="26"/>
  <c r="R5" i="26"/>
  <c r="S5" i="26"/>
  <c r="T5" i="26"/>
  <c r="V5" i="26"/>
  <c r="Y5" i="26"/>
  <c r="AC5" i="26"/>
  <c r="E6" i="26"/>
  <c r="F6" i="26" s="1"/>
  <c r="G6" i="26"/>
  <c r="R6" i="26"/>
  <c r="S6" i="26"/>
  <c r="T6" i="26"/>
  <c r="U6" i="26" s="1"/>
  <c r="V6" i="26"/>
  <c r="Y6" i="26"/>
  <c r="AC6" i="26"/>
  <c r="E7" i="26"/>
  <c r="G7" i="26"/>
  <c r="R7" i="26"/>
  <c r="S7" i="26"/>
  <c r="T7" i="26"/>
  <c r="U7" i="26" s="1"/>
  <c r="V7" i="26"/>
  <c r="Y7" i="26"/>
  <c r="AC7" i="26"/>
  <c r="E8" i="26"/>
  <c r="G8" i="26"/>
  <c r="R8" i="26"/>
  <c r="S8" i="26"/>
  <c r="T8" i="26"/>
  <c r="V8" i="26"/>
  <c r="Y8" i="26"/>
  <c r="AC8" i="26"/>
  <c r="E9" i="26"/>
  <c r="F9" i="26"/>
  <c r="R9" i="26"/>
  <c r="S9" i="26"/>
  <c r="T9" i="26"/>
  <c r="E10" i="26"/>
  <c r="F10" i="26" s="1"/>
  <c r="R10" i="26"/>
  <c r="U10" i="26" s="1"/>
  <c r="S10" i="26"/>
  <c r="T10" i="26"/>
  <c r="E11" i="26"/>
  <c r="G11" i="26"/>
  <c r="R11" i="26"/>
  <c r="S11" i="26"/>
  <c r="T11" i="26"/>
  <c r="V11" i="26"/>
  <c r="Y11" i="26"/>
  <c r="AC11" i="26"/>
  <c r="E12" i="26"/>
  <c r="G12" i="26"/>
  <c r="R12" i="26"/>
  <c r="S12" i="26"/>
  <c r="T12" i="26"/>
  <c r="V12" i="26"/>
  <c r="Y12" i="26"/>
  <c r="AC12" i="26"/>
  <c r="E13" i="26"/>
  <c r="G13" i="26"/>
  <c r="R13" i="26"/>
  <c r="S13" i="26"/>
  <c r="T13" i="26"/>
  <c r="U13" i="26"/>
  <c r="V13" i="26"/>
  <c r="Y13" i="26"/>
  <c r="AC13" i="26"/>
  <c r="E14" i="26"/>
  <c r="F14" i="26" s="1"/>
  <c r="G14" i="26"/>
  <c r="R14" i="26"/>
  <c r="S14" i="26"/>
  <c r="T14" i="26"/>
  <c r="V14" i="26"/>
  <c r="Y14" i="26"/>
  <c r="AC14" i="26"/>
  <c r="E15" i="26"/>
  <c r="F15" i="26" s="1"/>
  <c r="G15" i="26"/>
  <c r="R15" i="26"/>
  <c r="S15" i="26"/>
  <c r="T15" i="26"/>
  <c r="V15" i="26"/>
  <c r="Y15" i="26"/>
  <c r="AC15" i="26"/>
  <c r="E16" i="26"/>
  <c r="F16" i="26" s="1"/>
  <c r="G16" i="26"/>
  <c r="R16" i="26"/>
  <c r="S16" i="26"/>
  <c r="T16" i="26"/>
  <c r="V16" i="26"/>
  <c r="Y16" i="26"/>
  <c r="AC16" i="26"/>
  <c r="E17" i="26"/>
  <c r="G17" i="26"/>
  <c r="R17" i="26"/>
  <c r="S17" i="26"/>
  <c r="T17" i="26"/>
  <c r="V17" i="26"/>
  <c r="Y17" i="26"/>
  <c r="AC17" i="26"/>
  <c r="E18" i="26"/>
  <c r="F18" i="26" s="1"/>
  <c r="G18" i="26"/>
  <c r="R18" i="26"/>
  <c r="S18" i="26"/>
  <c r="T18" i="26"/>
  <c r="V18" i="26"/>
  <c r="Y18" i="26"/>
  <c r="AC18" i="26"/>
  <c r="E19" i="26"/>
  <c r="G19" i="26"/>
  <c r="R19" i="26"/>
  <c r="S19" i="26"/>
  <c r="T19" i="26"/>
  <c r="V19" i="26"/>
  <c r="Y19" i="26"/>
  <c r="AC19" i="26"/>
  <c r="E20" i="26"/>
  <c r="G20" i="26"/>
  <c r="R20" i="26"/>
  <c r="S20" i="26"/>
  <c r="T20" i="26"/>
  <c r="Y20" i="26"/>
  <c r="E21" i="26"/>
  <c r="F21" i="26" s="1"/>
  <c r="G21" i="26"/>
  <c r="R21" i="26"/>
  <c r="S21" i="26"/>
  <c r="T21" i="26"/>
  <c r="V21" i="26"/>
  <c r="Y21" i="26"/>
  <c r="AC21" i="26"/>
  <c r="E22" i="26"/>
  <c r="F22" i="26" s="1"/>
  <c r="G22" i="26"/>
  <c r="R22" i="26"/>
  <c r="S22" i="26"/>
  <c r="T22" i="26"/>
  <c r="V22" i="26"/>
  <c r="Y22" i="26"/>
  <c r="E23" i="26"/>
  <c r="F23" i="26" s="1"/>
  <c r="R23" i="26"/>
  <c r="S23" i="26"/>
  <c r="T23" i="26"/>
  <c r="E24" i="26"/>
  <c r="F24" i="26" s="1"/>
  <c r="G24" i="26"/>
  <c r="R24" i="26"/>
  <c r="S24" i="26"/>
  <c r="T24" i="26"/>
  <c r="V24" i="26"/>
  <c r="Y24" i="26"/>
  <c r="AC24" i="26"/>
  <c r="E25" i="26"/>
  <c r="F25" i="26" s="1"/>
  <c r="G25" i="26"/>
  <c r="R25" i="26"/>
  <c r="S25" i="26"/>
  <c r="T25" i="26"/>
  <c r="V25" i="26"/>
  <c r="Y25" i="26"/>
  <c r="AC25" i="26"/>
  <c r="E26" i="26"/>
  <c r="F26" i="26" s="1"/>
  <c r="G26" i="26"/>
  <c r="R26" i="26"/>
  <c r="S26" i="26"/>
  <c r="T26" i="26"/>
  <c r="V26" i="26"/>
  <c r="Y26" i="26"/>
  <c r="AC26" i="26"/>
  <c r="E27" i="26"/>
  <c r="F27" i="26" s="1"/>
  <c r="G27" i="26"/>
  <c r="R27" i="26"/>
  <c r="S27" i="26"/>
  <c r="T27" i="26"/>
  <c r="V27" i="26"/>
  <c r="Y27" i="26"/>
  <c r="E28" i="26"/>
  <c r="F28" i="26" s="1"/>
  <c r="G28" i="26"/>
  <c r="R28" i="26"/>
  <c r="S28" i="26"/>
  <c r="T28" i="26"/>
  <c r="V28" i="26"/>
  <c r="Y28" i="26"/>
  <c r="AC28" i="26"/>
  <c r="F29" i="26"/>
  <c r="G29" i="26"/>
  <c r="R29" i="26"/>
  <c r="S29" i="26"/>
  <c r="T29" i="26"/>
  <c r="V29" i="26"/>
  <c r="Y29" i="26"/>
  <c r="AC29" i="26"/>
  <c r="E30" i="26"/>
  <c r="F30" i="26" s="1"/>
  <c r="G30" i="26"/>
  <c r="R30" i="26"/>
  <c r="S30" i="26"/>
  <c r="T30" i="26"/>
  <c r="V30" i="26"/>
  <c r="Y30" i="26"/>
  <c r="AC30" i="26"/>
  <c r="E31" i="26"/>
  <c r="F31" i="26" s="1"/>
  <c r="G31" i="26"/>
  <c r="R31" i="26"/>
  <c r="U31" i="26" s="1"/>
  <c r="S31" i="26"/>
  <c r="T31" i="26"/>
  <c r="V31" i="26"/>
  <c r="Y31" i="26"/>
  <c r="AC31" i="26"/>
  <c r="E32" i="26"/>
  <c r="F32" i="26"/>
  <c r="G32" i="26"/>
  <c r="R32" i="26"/>
  <c r="S32" i="26"/>
  <c r="T32" i="26"/>
  <c r="V32" i="26"/>
  <c r="Y32" i="26"/>
  <c r="AC32" i="26"/>
  <c r="E33" i="26"/>
  <c r="G33" i="26"/>
  <c r="R33" i="26"/>
  <c r="S33" i="26"/>
  <c r="T33" i="26"/>
  <c r="V33" i="26"/>
  <c r="Y33" i="26"/>
  <c r="AC33" i="26"/>
  <c r="E34" i="26"/>
  <c r="F34" i="26" s="1"/>
  <c r="G34" i="26"/>
  <c r="R34" i="26"/>
  <c r="S34" i="26"/>
  <c r="T34" i="26"/>
  <c r="V34" i="26"/>
  <c r="Y34" i="26"/>
  <c r="AC34" i="26"/>
  <c r="E35" i="26"/>
  <c r="F35" i="26" s="1"/>
  <c r="R35" i="26"/>
  <c r="U35" i="26" s="1"/>
  <c r="S35" i="26"/>
  <c r="T35" i="26"/>
  <c r="V35" i="26"/>
  <c r="Y35" i="26"/>
  <c r="AC35" i="26"/>
  <c r="E36" i="26"/>
  <c r="G36" i="26"/>
  <c r="R36" i="26"/>
  <c r="S36" i="26"/>
  <c r="T36" i="26"/>
  <c r="V36" i="26"/>
  <c r="Y36" i="26"/>
  <c r="AC36" i="26"/>
  <c r="E37" i="26"/>
  <c r="F37" i="26" s="1"/>
  <c r="G37" i="26"/>
  <c r="R37" i="26"/>
  <c r="S37" i="26"/>
  <c r="T37" i="26"/>
  <c r="V37" i="26"/>
  <c r="Y37" i="26"/>
  <c r="AC37" i="26"/>
  <c r="E38" i="26"/>
  <c r="F38" i="26"/>
  <c r="G38" i="26"/>
  <c r="R38" i="26"/>
  <c r="S38" i="26"/>
  <c r="T38" i="26"/>
  <c r="V38" i="26"/>
  <c r="Y38" i="26"/>
  <c r="AC38" i="26"/>
  <c r="E39" i="26"/>
  <c r="G39" i="26"/>
  <c r="R39" i="26"/>
  <c r="S39" i="26"/>
  <c r="T39" i="26"/>
  <c r="V39" i="26"/>
  <c r="Y39" i="26"/>
  <c r="AC39" i="26"/>
  <c r="E40" i="26"/>
  <c r="G40" i="26"/>
  <c r="R40" i="26"/>
  <c r="S40" i="26"/>
  <c r="T40" i="26"/>
  <c r="V40" i="26"/>
  <c r="Y40" i="26"/>
  <c r="AC40" i="26"/>
  <c r="E41" i="26"/>
  <c r="G41" i="26"/>
  <c r="R41" i="26"/>
  <c r="S41" i="26"/>
  <c r="T41" i="26"/>
  <c r="V41" i="26"/>
  <c r="Y41" i="26"/>
  <c r="E42" i="26"/>
  <c r="G42" i="26"/>
  <c r="R42" i="26"/>
  <c r="S42" i="26"/>
  <c r="T42" i="26"/>
  <c r="V42" i="26"/>
  <c r="Y42" i="26"/>
  <c r="AC42" i="26"/>
  <c r="E43" i="26"/>
  <c r="F43" i="26" s="1"/>
  <c r="G43" i="26"/>
  <c r="R43" i="26"/>
  <c r="S43" i="26"/>
  <c r="T43" i="26"/>
  <c r="V43" i="26"/>
  <c r="Y43" i="26"/>
  <c r="AC43" i="26"/>
  <c r="E44" i="26"/>
  <c r="G44" i="26"/>
  <c r="R44" i="26"/>
  <c r="S44" i="26"/>
  <c r="T44" i="26"/>
  <c r="V44" i="26"/>
  <c r="Y44" i="26"/>
  <c r="AC44" i="26"/>
  <c r="E45" i="26"/>
  <c r="F45" i="26"/>
  <c r="G45" i="26"/>
  <c r="R45" i="26"/>
  <c r="S45" i="26"/>
  <c r="T45" i="26"/>
  <c r="V45" i="26"/>
  <c r="Y45" i="26"/>
  <c r="AC45" i="26"/>
  <c r="E46" i="26"/>
  <c r="F46" i="26" s="1"/>
  <c r="G46" i="26"/>
  <c r="R46" i="26"/>
  <c r="S46" i="26"/>
  <c r="T46" i="26"/>
  <c r="V46" i="26"/>
  <c r="Y46" i="26"/>
  <c r="AC46" i="26"/>
  <c r="E47" i="26"/>
  <c r="F47" i="26" s="1"/>
  <c r="G47" i="26"/>
  <c r="R47" i="26"/>
  <c r="S47" i="26"/>
  <c r="T47" i="26"/>
  <c r="U47" i="26" s="1"/>
  <c r="V47" i="26"/>
  <c r="Y47" i="26"/>
  <c r="AC47" i="26"/>
  <c r="E48" i="26"/>
  <c r="F48" i="26" s="1"/>
  <c r="G48" i="26"/>
  <c r="R48" i="26"/>
  <c r="S48" i="26"/>
  <c r="T48" i="26"/>
  <c r="V48" i="26"/>
  <c r="Y48" i="26"/>
  <c r="AC48" i="26"/>
  <c r="E49" i="26"/>
  <c r="F49" i="26" s="1"/>
  <c r="R49" i="26"/>
  <c r="S49" i="26"/>
  <c r="T49" i="26"/>
  <c r="V49" i="26"/>
  <c r="Y49" i="26"/>
  <c r="AC49" i="26"/>
  <c r="E50" i="26"/>
  <c r="F50" i="26" s="1"/>
  <c r="R50" i="26"/>
  <c r="S50" i="26"/>
  <c r="T50" i="26"/>
  <c r="V50" i="26"/>
  <c r="Y50" i="26"/>
  <c r="AC50" i="26"/>
  <c r="E51" i="26"/>
  <c r="F51" i="26" s="1"/>
  <c r="R51" i="26"/>
  <c r="S51" i="26"/>
  <c r="T51" i="26"/>
  <c r="V51" i="26"/>
  <c r="Y51" i="26"/>
  <c r="AC51" i="26"/>
  <c r="E52" i="26"/>
  <c r="F52" i="26" s="1"/>
  <c r="R52" i="26"/>
  <c r="S52" i="26"/>
  <c r="T52" i="26"/>
  <c r="V52" i="26"/>
  <c r="Y52" i="26"/>
  <c r="AC52" i="26"/>
  <c r="E53" i="26"/>
  <c r="F53" i="26" s="1"/>
  <c r="R53" i="26"/>
  <c r="U53" i="26" s="1"/>
  <c r="S53" i="26"/>
  <c r="T53" i="26"/>
  <c r="V53" i="26"/>
  <c r="Y53" i="26"/>
  <c r="AC53" i="26"/>
  <c r="E54" i="26"/>
  <c r="F54" i="26" s="1"/>
  <c r="R54" i="26"/>
  <c r="S54" i="26"/>
  <c r="T54" i="26"/>
  <c r="V54" i="26"/>
  <c r="Y54" i="26"/>
  <c r="AC54" i="26"/>
  <c r="E55" i="26"/>
  <c r="F55" i="26" s="1"/>
  <c r="R55" i="26"/>
  <c r="S55" i="26"/>
  <c r="T55" i="26"/>
  <c r="V55" i="26"/>
  <c r="Y55" i="26"/>
  <c r="AC55" i="26"/>
  <c r="E56" i="26"/>
  <c r="F56" i="26" s="1"/>
  <c r="R56" i="26"/>
  <c r="S56" i="26"/>
  <c r="T56" i="26"/>
  <c r="V56" i="26"/>
  <c r="Y56" i="26"/>
  <c r="AC56" i="26"/>
  <c r="E57" i="26"/>
  <c r="F57" i="26" s="1"/>
  <c r="R57" i="26"/>
  <c r="S57" i="26"/>
  <c r="T57" i="26"/>
  <c r="V57" i="26"/>
  <c r="Y57" i="26"/>
  <c r="AC57" i="26"/>
  <c r="E58" i="26"/>
  <c r="F58" i="26" s="1"/>
  <c r="R58" i="26"/>
  <c r="S58" i="26"/>
  <c r="T58" i="26"/>
  <c r="V58" i="26"/>
  <c r="Y58" i="26"/>
  <c r="AC58" i="26"/>
  <c r="E59" i="26"/>
  <c r="F59" i="26" s="1"/>
  <c r="G59" i="26"/>
  <c r="R59" i="26"/>
  <c r="S59" i="26"/>
  <c r="T59" i="26"/>
  <c r="V59" i="26"/>
  <c r="Y59" i="26"/>
  <c r="AC59" i="26"/>
  <c r="E60" i="26"/>
  <c r="F60" i="26" s="1"/>
  <c r="G60" i="26"/>
  <c r="R60" i="26"/>
  <c r="S60" i="26"/>
  <c r="T60" i="26"/>
  <c r="V60" i="26"/>
  <c r="Y60" i="26"/>
  <c r="AC60" i="26"/>
  <c r="E61" i="26"/>
  <c r="F61" i="26" s="1"/>
  <c r="G61" i="26"/>
  <c r="R61" i="26"/>
  <c r="S61" i="26"/>
  <c r="T61" i="26"/>
  <c r="V61" i="26"/>
  <c r="Y61" i="26"/>
  <c r="AC61" i="26"/>
  <c r="E62" i="26"/>
  <c r="F62" i="26" s="1"/>
  <c r="R62" i="26"/>
  <c r="S62" i="26"/>
  <c r="T62" i="26"/>
  <c r="V62" i="26"/>
  <c r="Y62" i="26"/>
  <c r="AC62" i="26"/>
  <c r="E63" i="26"/>
  <c r="F63" i="26" s="1"/>
  <c r="G63" i="26"/>
  <c r="R63" i="26"/>
  <c r="S63" i="26"/>
  <c r="T63" i="26"/>
  <c r="V63" i="26"/>
  <c r="Y63" i="26"/>
  <c r="AC63" i="26"/>
  <c r="E64" i="26"/>
  <c r="F64" i="26" s="1"/>
  <c r="G64" i="26"/>
  <c r="R64" i="26"/>
  <c r="S64" i="26"/>
  <c r="T64" i="26"/>
  <c r="V64" i="26"/>
  <c r="Y64" i="26"/>
  <c r="AC64" i="26"/>
  <c r="E65" i="26"/>
  <c r="F65" i="26" s="1"/>
  <c r="R65" i="26"/>
  <c r="S65" i="26"/>
  <c r="U65" i="26" s="1"/>
  <c r="T65" i="26"/>
  <c r="E66" i="26"/>
  <c r="F66" i="26" s="1"/>
  <c r="R66" i="26"/>
  <c r="S66" i="26"/>
  <c r="T66" i="26"/>
  <c r="V66" i="26"/>
  <c r="Y66" i="26"/>
  <c r="AC66" i="26"/>
  <c r="E67" i="26"/>
  <c r="F67" i="26" s="1"/>
  <c r="R67" i="26"/>
  <c r="S67" i="26"/>
  <c r="T67" i="26"/>
  <c r="V67" i="26"/>
  <c r="Y67" i="26"/>
  <c r="AC67" i="26"/>
  <c r="E68" i="26"/>
  <c r="F68" i="26" s="1"/>
  <c r="R68" i="26"/>
  <c r="S68" i="26"/>
  <c r="T68" i="26"/>
  <c r="V68" i="26"/>
  <c r="Y68" i="26"/>
  <c r="AC68" i="26"/>
  <c r="E69" i="26"/>
  <c r="F69" i="26" s="1"/>
  <c r="R69" i="26"/>
  <c r="S69" i="26"/>
  <c r="T69" i="26"/>
  <c r="V69" i="26"/>
  <c r="Y69" i="26"/>
  <c r="AC69" i="26"/>
  <c r="E70" i="26"/>
  <c r="F70" i="26"/>
  <c r="R70" i="26"/>
  <c r="S70" i="26"/>
  <c r="T70" i="26"/>
  <c r="V70" i="26"/>
  <c r="Y70" i="26"/>
  <c r="AC70" i="26"/>
  <c r="E71" i="26"/>
  <c r="F71" i="26"/>
  <c r="R71" i="26"/>
  <c r="S71" i="26"/>
  <c r="T71" i="26"/>
  <c r="V71" i="26"/>
  <c r="Y71" i="26"/>
  <c r="AC71" i="26"/>
  <c r="E72" i="26"/>
  <c r="F72" i="26"/>
  <c r="R72" i="26"/>
  <c r="S72" i="26"/>
  <c r="T72" i="26"/>
  <c r="V72" i="26"/>
  <c r="Y72" i="26"/>
  <c r="AC72" i="26"/>
  <c r="F73" i="26"/>
  <c r="R73" i="26"/>
  <c r="S73" i="26"/>
  <c r="T73" i="26"/>
  <c r="V73" i="26"/>
  <c r="Y73" i="26"/>
  <c r="AC73" i="26"/>
  <c r="E74" i="26"/>
  <c r="F74" i="26" s="1"/>
  <c r="R74" i="26"/>
  <c r="S74" i="26"/>
  <c r="T74" i="26"/>
  <c r="V74" i="26"/>
  <c r="Y74" i="26"/>
  <c r="E75" i="26"/>
  <c r="F75" i="26" s="1"/>
  <c r="R75" i="26"/>
  <c r="S75" i="26"/>
  <c r="T75" i="26"/>
  <c r="V75" i="26"/>
  <c r="Y75" i="26"/>
  <c r="AC75" i="26"/>
  <c r="F76" i="26"/>
  <c r="R76" i="26"/>
  <c r="S76" i="26"/>
  <c r="T76" i="26"/>
  <c r="V76" i="26"/>
  <c r="Y76" i="26"/>
  <c r="AC76" i="26"/>
  <c r="E77" i="26"/>
  <c r="F77" i="26" s="1"/>
  <c r="R77" i="26"/>
  <c r="S77" i="26"/>
  <c r="T77" i="26"/>
  <c r="V77" i="26"/>
  <c r="Y77" i="26"/>
  <c r="AC77" i="26"/>
  <c r="E78" i="26"/>
  <c r="F78" i="26" s="1"/>
  <c r="R78" i="26"/>
  <c r="S78" i="26"/>
  <c r="T78" i="26"/>
  <c r="V78" i="26"/>
  <c r="Y78" i="26"/>
  <c r="AC78" i="26"/>
  <c r="E79" i="26"/>
  <c r="F79" i="26"/>
  <c r="R79" i="26"/>
  <c r="S79" i="26"/>
  <c r="T79" i="26"/>
  <c r="V79" i="26"/>
  <c r="Y79" i="26"/>
  <c r="AC79" i="26"/>
  <c r="E80" i="26"/>
  <c r="F80" i="26" s="1"/>
  <c r="R80" i="26"/>
  <c r="S80" i="26"/>
  <c r="T80" i="26"/>
  <c r="V80" i="26"/>
  <c r="Y80" i="26"/>
  <c r="AC80" i="26"/>
  <c r="E81" i="26"/>
  <c r="F81" i="26" s="1"/>
  <c r="R81" i="26"/>
  <c r="S81" i="26"/>
  <c r="T81" i="26"/>
  <c r="V81" i="26"/>
  <c r="Y81" i="26"/>
  <c r="AC81" i="26"/>
  <c r="F82" i="26"/>
  <c r="R82" i="26"/>
  <c r="S82" i="26"/>
  <c r="T82" i="26"/>
  <c r="V82" i="26"/>
  <c r="Y82" i="26"/>
  <c r="AC82" i="26"/>
  <c r="E83" i="26"/>
  <c r="F83" i="26" s="1"/>
  <c r="R83" i="26"/>
  <c r="S83" i="26"/>
  <c r="T83" i="26"/>
  <c r="V83" i="26"/>
  <c r="Y83" i="26"/>
  <c r="AC83" i="26"/>
  <c r="E84" i="26"/>
  <c r="F84" i="26" s="1"/>
  <c r="R84" i="26"/>
  <c r="S84" i="26"/>
  <c r="T84" i="26"/>
  <c r="V84" i="26"/>
  <c r="Y84" i="26"/>
  <c r="AC84" i="26"/>
  <c r="E85" i="26"/>
  <c r="G85" i="26"/>
  <c r="R85" i="26"/>
  <c r="S85" i="26"/>
  <c r="T85" i="26"/>
  <c r="V85" i="26"/>
  <c r="Y85" i="26"/>
  <c r="AC85" i="26"/>
  <c r="E86" i="26"/>
  <c r="F86" i="26" s="1"/>
  <c r="R86" i="26"/>
  <c r="S86" i="26"/>
  <c r="T86" i="26"/>
  <c r="V86" i="26"/>
  <c r="Y86" i="26"/>
  <c r="AC86" i="26"/>
  <c r="E87" i="26"/>
  <c r="F87" i="26" s="1"/>
  <c r="R87" i="26"/>
  <c r="S87" i="26"/>
  <c r="T87" i="26"/>
  <c r="V87" i="26"/>
  <c r="Y87" i="26"/>
  <c r="AC87" i="26"/>
  <c r="E88" i="26"/>
  <c r="F88" i="26" s="1"/>
  <c r="R88" i="26"/>
  <c r="S88" i="26"/>
  <c r="T88" i="26"/>
  <c r="V88" i="26"/>
  <c r="Y88" i="26"/>
  <c r="AC88" i="26"/>
  <c r="E89" i="26"/>
  <c r="F89" i="26" s="1"/>
  <c r="R89" i="26"/>
  <c r="S89" i="26"/>
  <c r="T89" i="26"/>
  <c r="V89" i="26"/>
  <c r="Y89" i="26"/>
  <c r="AC89" i="26"/>
  <c r="E90" i="26"/>
  <c r="F90" i="26" s="1"/>
  <c r="R90" i="26"/>
  <c r="S90" i="26"/>
  <c r="T90" i="26"/>
  <c r="V90" i="26"/>
  <c r="Y90" i="26"/>
  <c r="AC90" i="26"/>
  <c r="E91" i="26"/>
  <c r="F91" i="26" s="1"/>
  <c r="R91" i="26"/>
  <c r="S91" i="26"/>
  <c r="T91" i="26"/>
  <c r="V91" i="26"/>
  <c r="Y91" i="26"/>
  <c r="AC91" i="26"/>
  <c r="E92" i="26"/>
  <c r="F92" i="26" s="1"/>
  <c r="R92" i="26"/>
  <c r="S92" i="26"/>
  <c r="T92" i="26"/>
  <c r="V92" i="26"/>
  <c r="Y92" i="26"/>
  <c r="AC92" i="26"/>
  <c r="F93" i="26"/>
  <c r="R93" i="26"/>
  <c r="S93" i="26"/>
  <c r="T93" i="26"/>
  <c r="V93" i="26"/>
  <c r="Y93" i="26"/>
  <c r="AC93" i="26"/>
  <c r="E94" i="26"/>
  <c r="F94" i="26" s="1"/>
  <c r="R94" i="26"/>
  <c r="S94" i="26"/>
  <c r="T94" i="26"/>
  <c r="V94" i="26"/>
  <c r="Y94" i="26"/>
  <c r="AC94" i="26"/>
  <c r="E95" i="26"/>
  <c r="F95" i="26" s="1"/>
  <c r="R95" i="26"/>
  <c r="S95" i="26"/>
  <c r="T95" i="26"/>
  <c r="V95" i="26"/>
  <c r="Y95" i="26"/>
  <c r="AC95" i="26"/>
  <c r="E96" i="26"/>
  <c r="F96" i="26" s="1"/>
  <c r="R96" i="26"/>
  <c r="S96" i="26"/>
  <c r="T96" i="26"/>
  <c r="V96" i="26"/>
  <c r="Y96" i="26"/>
  <c r="AC96" i="26"/>
  <c r="E97" i="26"/>
  <c r="F97" i="26" s="1"/>
  <c r="R97" i="26"/>
  <c r="S97" i="26"/>
  <c r="T97" i="26"/>
  <c r="V97" i="26"/>
  <c r="Y97" i="26"/>
  <c r="AC97" i="26"/>
  <c r="E98" i="26"/>
  <c r="F98" i="26" s="1"/>
  <c r="R98" i="26"/>
  <c r="S98" i="26"/>
  <c r="T98" i="26"/>
  <c r="V98" i="26"/>
  <c r="Y98" i="26"/>
  <c r="AC98" i="26"/>
  <c r="F99" i="26"/>
  <c r="R99" i="26"/>
  <c r="S99" i="26"/>
  <c r="T99" i="26"/>
  <c r="V99" i="26"/>
  <c r="Y99" i="26"/>
  <c r="AC99" i="26"/>
  <c r="E100" i="26"/>
  <c r="F100" i="26" s="1"/>
  <c r="R100" i="26"/>
  <c r="U100" i="26" s="1"/>
  <c r="S100" i="26"/>
  <c r="T100" i="26"/>
  <c r="V100" i="26"/>
  <c r="Y100" i="26"/>
  <c r="AC100" i="26"/>
  <c r="E101" i="26"/>
  <c r="F101" i="26" s="1"/>
  <c r="R101" i="26"/>
  <c r="S101" i="26"/>
  <c r="T101" i="26"/>
  <c r="V101" i="26"/>
  <c r="Y101" i="26"/>
  <c r="AC101" i="26"/>
  <c r="E102" i="26"/>
  <c r="F102" i="26" s="1"/>
  <c r="R102" i="26"/>
  <c r="S102" i="26"/>
  <c r="T102" i="26"/>
  <c r="Y102" i="26"/>
  <c r="AC102" i="26"/>
  <c r="E103" i="26"/>
  <c r="F103" i="26" s="1"/>
  <c r="R103" i="26"/>
  <c r="S103" i="26"/>
  <c r="T103" i="26"/>
  <c r="V103" i="26"/>
  <c r="Y103" i="26"/>
  <c r="AC103" i="26"/>
  <c r="E104" i="26"/>
  <c r="F104" i="26"/>
  <c r="R104" i="26"/>
  <c r="S104" i="26"/>
  <c r="T104" i="26"/>
  <c r="V104" i="26"/>
  <c r="Y104" i="26"/>
  <c r="AC104" i="26"/>
  <c r="E105" i="26"/>
  <c r="F105" i="26" s="1"/>
  <c r="R105" i="26"/>
  <c r="S105" i="26"/>
  <c r="T105" i="26"/>
  <c r="V105" i="26"/>
  <c r="Y105" i="26"/>
  <c r="AC105" i="26"/>
  <c r="E106" i="26"/>
  <c r="F106" i="26" s="1"/>
  <c r="R106" i="26"/>
  <c r="S106" i="26"/>
  <c r="T106" i="26"/>
  <c r="V106" i="26"/>
  <c r="Y106" i="26"/>
  <c r="AC106" i="26"/>
  <c r="E107" i="26"/>
  <c r="F107" i="26" s="1"/>
  <c r="R107" i="26"/>
  <c r="S107" i="26"/>
  <c r="T107" i="26"/>
  <c r="U107" i="26" s="1"/>
  <c r="V107" i="26"/>
  <c r="Y107" i="26"/>
  <c r="AC107" i="26"/>
  <c r="E108" i="26"/>
  <c r="F108" i="26" s="1"/>
  <c r="R108" i="26"/>
  <c r="U108" i="26" s="1"/>
  <c r="S108" i="26"/>
  <c r="T108" i="26"/>
  <c r="V108" i="26"/>
  <c r="Y108" i="26"/>
  <c r="AC108" i="26"/>
  <c r="E109" i="26"/>
  <c r="F109" i="26" s="1"/>
  <c r="R109" i="26"/>
  <c r="S109" i="26"/>
  <c r="T109" i="26"/>
  <c r="V109" i="26"/>
  <c r="Y109" i="26"/>
  <c r="AC109" i="26"/>
  <c r="E110" i="26"/>
  <c r="F110" i="26" s="1"/>
  <c r="R110" i="26"/>
  <c r="S110" i="26"/>
  <c r="T110" i="26"/>
  <c r="V110" i="26"/>
  <c r="Y110" i="26"/>
  <c r="AC110" i="26"/>
  <c r="E111" i="26"/>
  <c r="F111" i="26" s="1"/>
  <c r="R111" i="26"/>
  <c r="S111" i="26"/>
  <c r="T111" i="26"/>
  <c r="E112" i="26"/>
  <c r="F112" i="26" s="1"/>
  <c r="R112" i="26"/>
  <c r="S112" i="26"/>
  <c r="T112" i="26"/>
  <c r="V112" i="26"/>
  <c r="Y112" i="26"/>
  <c r="AC112" i="26"/>
  <c r="E113" i="26"/>
  <c r="F113" i="26" s="1"/>
  <c r="R113" i="26"/>
  <c r="S113" i="26"/>
  <c r="T113" i="26"/>
  <c r="V113" i="26"/>
  <c r="Y113" i="26"/>
  <c r="AC113" i="26"/>
  <c r="E114" i="26"/>
  <c r="F114" i="26" s="1"/>
  <c r="R114" i="26"/>
  <c r="S114" i="26"/>
  <c r="T114" i="26"/>
  <c r="V114" i="26"/>
  <c r="Y114" i="26"/>
  <c r="AC114" i="26"/>
  <c r="E115" i="26"/>
  <c r="F115" i="26" s="1"/>
  <c r="R115" i="26"/>
  <c r="S115" i="26"/>
  <c r="T115" i="26"/>
  <c r="V115" i="26"/>
  <c r="Y115" i="26"/>
  <c r="AC115" i="26"/>
  <c r="F116" i="26"/>
  <c r="R116" i="26"/>
  <c r="S116" i="26"/>
  <c r="T116" i="26"/>
  <c r="V116" i="26"/>
  <c r="Y116" i="26"/>
  <c r="AC116" i="26"/>
  <c r="E117" i="26"/>
  <c r="F117" i="26" s="1"/>
  <c r="R117" i="26"/>
  <c r="S117" i="26"/>
  <c r="T117" i="26"/>
  <c r="V117" i="26"/>
  <c r="Y117" i="26"/>
  <c r="AC117" i="26"/>
  <c r="E118" i="26"/>
  <c r="F118" i="26" s="1"/>
  <c r="R118" i="26"/>
  <c r="S118" i="26"/>
  <c r="T118" i="26"/>
  <c r="V118" i="26"/>
  <c r="Y118" i="26"/>
  <c r="AC118" i="26"/>
  <c r="E119" i="26"/>
  <c r="F119" i="26" s="1"/>
  <c r="R119" i="26"/>
  <c r="S119" i="26"/>
  <c r="T119" i="26"/>
  <c r="V119" i="26"/>
  <c r="Y119" i="26"/>
  <c r="AC119" i="26"/>
  <c r="E120" i="26"/>
  <c r="F120" i="26" s="1"/>
  <c r="R120" i="26"/>
  <c r="S120" i="26"/>
  <c r="T120" i="26"/>
  <c r="V120" i="26"/>
  <c r="Y120" i="26"/>
  <c r="E121" i="26"/>
  <c r="F121" i="26" s="1"/>
  <c r="R121" i="26"/>
  <c r="U121" i="26" s="1"/>
  <c r="S121" i="26"/>
  <c r="T121" i="26"/>
  <c r="Y121" i="26"/>
  <c r="E122" i="26"/>
  <c r="F122" i="26" s="1"/>
  <c r="R122" i="26"/>
  <c r="S122" i="26"/>
  <c r="T122" i="26"/>
  <c r="Y122" i="26"/>
  <c r="E123" i="26"/>
  <c r="R123" i="26"/>
  <c r="S123" i="26"/>
  <c r="T123" i="26"/>
  <c r="V123" i="26"/>
  <c r="Y123" i="26"/>
  <c r="E124" i="26"/>
  <c r="F124" i="26" s="1"/>
  <c r="R124" i="26"/>
  <c r="S124" i="26"/>
  <c r="T124" i="26"/>
  <c r="V124" i="26"/>
  <c r="Y124" i="26"/>
  <c r="AC124" i="26"/>
  <c r="E125" i="26"/>
  <c r="F125" i="26" s="1"/>
  <c r="R125" i="26"/>
  <c r="S125" i="26"/>
  <c r="T125" i="26"/>
  <c r="V125" i="26"/>
  <c r="Y125" i="26"/>
  <c r="AC125" i="26"/>
  <c r="F126" i="26"/>
  <c r="R126" i="26"/>
  <c r="S126" i="26"/>
  <c r="T126" i="26"/>
  <c r="V126" i="26"/>
  <c r="Y126" i="26"/>
  <c r="AC126" i="26"/>
  <c r="E127" i="26"/>
  <c r="F127" i="26" s="1"/>
  <c r="R127" i="26"/>
  <c r="S127" i="26"/>
  <c r="T127" i="26"/>
  <c r="V127" i="26"/>
  <c r="Y127" i="26"/>
  <c r="AC127" i="26"/>
  <c r="E128" i="26"/>
  <c r="F128" i="26" s="1"/>
  <c r="R128" i="26"/>
  <c r="S128" i="26"/>
  <c r="T128" i="26"/>
  <c r="V128" i="26"/>
  <c r="Y128" i="26"/>
  <c r="AC128" i="26"/>
  <c r="E129" i="26"/>
  <c r="F129" i="26" s="1"/>
  <c r="R129" i="26"/>
  <c r="S129" i="26"/>
  <c r="T129" i="26"/>
  <c r="V129" i="26"/>
  <c r="Y129" i="26"/>
  <c r="AC129" i="26"/>
  <c r="E130" i="26"/>
  <c r="F130" i="26" s="1"/>
  <c r="R130" i="26"/>
  <c r="S130" i="26"/>
  <c r="T130" i="26"/>
  <c r="V130" i="26"/>
  <c r="Y130" i="26"/>
  <c r="AC130" i="26"/>
  <c r="E131" i="26"/>
  <c r="F131" i="26" s="1"/>
  <c r="R131" i="26"/>
  <c r="S131" i="26"/>
  <c r="T131" i="26"/>
  <c r="V131" i="26"/>
  <c r="Y131" i="26"/>
  <c r="AC131" i="26"/>
  <c r="E132" i="26"/>
  <c r="F132" i="26" s="1"/>
  <c r="R132" i="26"/>
  <c r="S132" i="26"/>
  <c r="T132" i="26"/>
  <c r="V132" i="26"/>
  <c r="Y132" i="26"/>
  <c r="AC132" i="26"/>
  <c r="E133" i="26"/>
  <c r="F133" i="26" s="1"/>
  <c r="R133" i="26"/>
  <c r="S133" i="26"/>
  <c r="T133" i="26"/>
  <c r="V133" i="26"/>
  <c r="Y133" i="26"/>
  <c r="AC133" i="26"/>
  <c r="E134" i="26"/>
  <c r="F134" i="26" s="1"/>
  <c r="R134" i="26"/>
  <c r="S134" i="26"/>
  <c r="T134" i="26"/>
  <c r="V134" i="26"/>
  <c r="Y134" i="26"/>
  <c r="AC134" i="26"/>
  <c r="E135" i="26"/>
  <c r="F135" i="26" s="1"/>
  <c r="R135" i="26"/>
  <c r="S135" i="26"/>
  <c r="T135" i="26"/>
  <c r="V135" i="26"/>
  <c r="E136" i="26"/>
  <c r="F136" i="26" s="1"/>
  <c r="R136" i="26"/>
  <c r="S136" i="26"/>
  <c r="T136" i="26"/>
  <c r="E137" i="26"/>
  <c r="F137" i="26" s="1"/>
  <c r="R137" i="26"/>
  <c r="S137" i="26"/>
  <c r="T137" i="26"/>
  <c r="V137" i="26"/>
  <c r="Y137" i="26"/>
  <c r="AC137" i="26"/>
  <c r="E138" i="26"/>
  <c r="F138" i="26" s="1"/>
  <c r="R138" i="26"/>
  <c r="S138" i="26"/>
  <c r="T138" i="26"/>
  <c r="V138" i="26"/>
  <c r="Y138" i="26"/>
  <c r="AC138" i="26"/>
  <c r="E139" i="26"/>
  <c r="F139" i="26" s="1"/>
  <c r="R139" i="26"/>
  <c r="S139" i="26"/>
  <c r="T139" i="26"/>
  <c r="Y139" i="26"/>
  <c r="AC139" i="26"/>
  <c r="F140" i="26"/>
  <c r="R140" i="26"/>
  <c r="S140" i="26"/>
  <c r="T140" i="26"/>
  <c r="V140" i="26"/>
  <c r="Y140" i="26"/>
  <c r="AC140" i="26"/>
  <c r="E141" i="26"/>
  <c r="F141" i="26"/>
  <c r="R141" i="26"/>
  <c r="S141" i="26"/>
  <c r="T141" i="26"/>
  <c r="Y141" i="26"/>
  <c r="AC141" i="26"/>
  <c r="E142" i="26"/>
  <c r="F142" i="26" s="1"/>
  <c r="R142" i="26"/>
  <c r="S142" i="26"/>
  <c r="T142" i="26"/>
  <c r="V142" i="26"/>
  <c r="Y142" i="26"/>
  <c r="AC142" i="26"/>
  <c r="E143" i="26"/>
  <c r="F143" i="26" s="1"/>
  <c r="R143" i="26"/>
  <c r="S143" i="26"/>
  <c r="T143" i="26"/>
  <c r="V143" i="26"/>
  <c r="Y143" i="26"/>
  <c r="AC143" i="26"/>
  <c r="E144" i="26"/>
  <c r="F144" i="26" s="1"/>
  <c r="R144" i="26"/>
  <c r="S144" i="26"/>
  <c r="T144" i="26"/>
  <c r="V144" i="26"/>
  <c r="Y144" i="26"/>
  <c r="AC144" i="26"/>
  <c r="E145" i="26"/>
  <c r="F145" i="26" s="1"/>
  <c r="R145" i="26"/>
  <c r="S145" i="26"/>
  <c r="T145" i="26"/>
  <c r="V145" i="26"/>
  <c r="Y145" i="26"/>
  <c r="AC145" i="26"/>
  <c r="E146" i="26"/>
  <c r="F146" i="26" s="1"/>
  <c r="R146" i="26"/>
  <c r="S146" i="26"/>
  <c r="T146" i="26"/>
  <c r="V146" i="26"/>
  <c r="Y146" i="26"/>
  <c r="AC146" i="26"/>
  <c r="E147" i="26"/>
  <c r="F147" i="26" s="1"/>
  <c r="R147" i="26"/>
  <c r="U147" i="26" s="1"/>
  <c r="S147" i="26"/>
  <c r="T147" i="26"/>
  <c r="V147" i="26"/>
  <c r="E148" i="26"/>
  <c r="F148" i="26" s="1"/>
  <c r="R148" i="26"/>
  <c r="S148" i="26"/>
  <c r="T148" i="26"/>
  <c r="V148" i="26"/>
  <c r="Y148" i="26"/>
  <c r="AC148" i="26"/>
  <c r="E149" i="26"/>
  <c r="F149" i="26" s="1"/>
  <c r="R149" i="26"/>
  <c r="S149" i="26"/>
  <c r="T149" i="26"/>
  <c r="V149" i="26"/>
  <c r="Y149" i="26"/>
  <c r="AC149" i="26"/>
  <c r="E150" i="26"/>
  <c r="F150" i="26" s="1"/>
  <c r="R150" i="26"/>
  <c r="S150" i="26"/>
  <c r="T150" i="26"/>
  <c r="V150" i="26"/>
  <c r="Y150" i="26"/>
  <c r="AC150" i="26"/>
  <c r="E151" i="26"/>
  <c r="F151" i="26" s="1"/>
  <c r="R151" i="26"/>
  <c r="S151" i="26"/>
  <c r="T151" i="26"/>
  <c r="V151" i="26"/>
  <c r="Y151" i="26"/>
  <c r="AC151" i="26"/>
  <c r="E152" i="26"/>
  <c r="F152" i="26" s="1"/>
  <c r="R152" i="26"/>
  <c r="S152" i="26"/>
  <c r="T152" i="26"/>
  <c r="V152" i="26"/>
  <c r="Y152" i="26"/>
  <c r="AC152" i="26"/>
  <c r="E153" i="26"/>
  <c r="F153" i="26" s="1"/>
  <c r="R153" i="26"/>
  <c r="S153" i="26"/>
  <c r="T153" i="26"/>
  <c r="V153" i="26"/>
  <c r="Y153" i="26"/>
  <c r="AC153" i="26"/>
  <c r="E154" i="26"/>
  <c r="F154" i="26" s="1"/>
  <c r="R154" i="26"/>
  <c r="S154" i="26"/>
  <c r="T154" i="26"/>
  <c r="V154" i="26"/>
  <c r="Y154" i="26"/>
  <c r="AC154" i="26"/>
  <c r="E155" i="26"/>
  <c r="F155" i="26" s="1"/>
  <c r="R155" i="26"/>
  <c r="S155" i="26"/>
  <c r="T155" i="26"/>
  <c r="V155" i="26"/>
  <c r="Y155" i="26"/>
  <c r="AC155" i="26"/>
  <c r="F156" i="26"/>
  <c r="R156" i="26"/>
  <c r="S156" i="26"/>
  <c r="T156" i="26"/>
  <c r="V156" i="26"/>
  <c r="Y156" i="26"/>
  <c r="AC156" i="26"/>
  <c r="E157" i="26"/>
  <c r="R157" i="26"/>
  <c r="S157" i="26"/>
  <c r="T157" i="26"/>
  <c r="E158" i="26"/>
  <c r="R158" i="26"/>
  <c r="S158" i="26"/>
  <c r="T158" i="26"/>
  <c r="E159" i="26"/>
  <c r="F159" i="26" s="1"/>
  <c r="G159" i="26"/>
  <c r="R159" i="26"/>
  <c r="S159" i="26"/>
  <c r="T159" i="26"/>
  <c r="V159" i="26"/>
  <c r="Y159" i="26"/>
  <c r="AC159" i="26"/>
  <c r="E160" i="26"/>
  <c r="F160" i="26" s="1"/>
  <c r="R160" i="26"/>
  <c r="S160" i="26"/>
  <c r="T160" i="26"/>
  <c r="V160" i="26"/>
  <c r="Y160" i="26"/>
  <c r="AC160" i="26"/>
  <c r="E161" i="26"/>
  <c r="F161" i="26" s="1"/>
  <c r="G161" i="26"/>
  <c r="R161" i="26"/>
  <c r="S161" i="26"/>
  <c r="T161" i="26"/>
  <c r="V161" i="26"/>
  <c r="Y161" i="26"/>
  <c r="AC161" i="26"/>
  <c r="E162" i="26"/>
  <c r="F162" i="26" s="1"/>
  <c r="G162" i="26"/>
  <c r="R162" i="26"/>
  <c r="S162" i="26"/>
  <c r="T162" i="26"/>
  <c r="V162" i="26"/>
  <c r="Y162" i="26"/>
  <c r="AC162" i="26"/>
  <c r="E163" i="26"/>
  <c r="F163" i="26" s="1"/>
  <c r="G163" i="26"/>
  <c r="R163" i="26"/>
  <c r="S163" i="26"/>
  <c r="T163" i="26"/>
  <c r="V163" i="26"/>
  <c r="Y163" i="26"/>
  <c r="AC163" i="26"/>
  <c r="E164" i="26"/>
  <c r="F164" i="26" s="1"/>
  <c r="R164" i="26"/>
  <c r="S164" i="26"/>
  <c r="T164" i="26"/>
  <c r="V164" i="26"/>
  <c r="Y164" i="26"/>
  <c r="AC164" i="26"/>
  <c r="E165" i="26"/>
  <c r="F165" i="26" s="1"/>
  <c r="R165" i="26"/>
  <c r="S165" i="26"/>
  <c r="T165" i="26"/>
  <c r="V165" i="26"/>
  <c r="Y165" i="26"/>
  <c r="AC165" i="26"/>
  <c r="E166" i="26"/>
  <c r="F166" i="26" s="1"/>
  <c r="R166" i="26"/>
  <c r="S166" i="26"/>
  <c r="U166" i="26" s="1"/>
  <c r="T166" i="26"/>
  <c r="V166" i="26"/>
  <c r="Y166" i="26"/>
  <c r="AC166" i="26"/>
  <c r="E167" i="26"/>
  <c r="F167" i="26" s="1"/>
  <c r="R167" i="26"/>
  <c r="S167" i="26"/>
  <c r="T167" i="26"/>
  <c r="V167" i="26"/>
  <c r="Y167" i="26"/>
  <c r="E168" i="26"/>
  <c r="F168" i="26" s="1"/>
  <c r="R168" i="26"/>
  <c r="U168" i="26" s="1"/>
  <c r="S168" i="26"/>
  <c r="T168" i="26"/>
  <c r="F169" i="26"/>
  <c r="R169" i="26"/>
  <c r="S169" i="26"/>
  <c r="T169" i="26"/>
  <c r="V169" i="26"/>
  <c r="Y169" i="26"/>
  <c r="AC169" i="26"/>
  <c r="E170" i="26"/>
  <c r="F170" i="26" s="1"/>
  <c r="R170" i="26"/>
  <c r="S170" i="26"/>
  <c r="T170" i="26"/>
  <c r="E171" i="26"/>
  <c r="F171" i="26" s="1"/>
  <c r="R171" i="26"/>
  <c r="S171" i="26"/>
  <c r="T171" i="26"/>
  <c r="E172" i="26"/>
  <c r="F172" i="26" s="1"/>
  <c r="R172" i="26"/>
  <c r="S172" i="26"/>
  <c r="T172" i="26"/>
  <c r="V172" i="26"/>
  <c r="Y172" i="26"/>
  <c r="AC172" i="26"/>
  <c r="E173" i="26"/>
  <c r="F173" i="26" s="1"/>
  <c r="R173" i="26"/>
  <c r="S173" i="26"/>
  <c r="T173" i="26"/>
  <c r="V173" i="26"/>
  <c r="Y173" i="26"/>
  <c r="AC173" i="26"/>
  <c r="E174" i="26"/>
  <c r="F174" i="26" s="1"/>
  <c r="R174" i="26"/>
  <c r="S174" i="26"/>
  <c r="T174" i="26"/>
  <c r="V174" i="26"/>
  <c r="Y174" i="26"/>
  <c r="AC174" i="26"/>
  <c r="E175" i="26"/>
  <c r="F175" i="26" s="1"/>
  <c r="R175" i="26"/>
  <c r="S175" i="26"/>
  <c r="T175" i="26"/>
  <c r="V175" i="26"/>
  <c r="Y175" i="26"/>
  <c r="AC175" i="26"/>
  <c r="E176" i="26"/>
  <c r="F176" i="26" s="1"/>
  <c r="R176" i="26"/>
  <c r="S176" i="26"/>
  <c r="T176" i="26"/>
  <c r="V176" i="26"/>
  <c r="Y176" i="26"/>
  <c r="AC176" i="26"/>
  <c r="E177" i="26"/>
  <c r="F177" i="26" s="1"/>
  <c r="R177" i="26"/>
  <c r="S177" i="26"/>
  <c r="T177" i="26"/>
  <c r="V177" i="26"/>
  <c r="Y177" i="26"/>
  <c r="AC177" i="26"/>
  <c r="E178" i="26"/>
  <c r="F178" i="26" s="1"/>
  <c r="R178" i="26"/>
  <c r="U178" i="26" s="1"/>
  <c r="S178" i="26"/>
  <c r="T178" i="26"/>
  <c r="V178" i="26"/>
  <c r="Y178" i="26"/>
  <c r="AC178" i="26"/>
  <c r="E179" i="26"/>
  <c r="F179" i="26" s="1"/>
  <c r="R179" i="26"/>
  <c r="S179" i="26"/>
  <c r="T179" i="26"/>
  <c r="V179" i="26"/>
  <c r="Y179" i="26"/>
  <c r="AC179" i="26"/>
  <c r="E180" i="26"/>
  <c r="F180" i="26" s="1"/>
  <c r="R180" i="26"/>
  <c r="S180" i="26"/>
  <c r="T180" i="26"/>
  <c r="V180" i="26"/>
  <c r="Y180" i="26"/>
  <c r="AC180" i="26"/>
  <c r="E181" i="26"/>
  <c r="F181" i="26" s="1"/>
  <c r="R181" i="26"/>
  <c r="S181" i="26"/>
  <c r="T181" i="26"/>
  <c r="V181" i="26"/>
  <c r="Y181" i="26"/>
  <c r="AC181" i="26"/>
  <c r="E182" i="26"/>
  <c r="F182" i="26" s="1"/>
  <c r="R182" i="26"/>
  <c r="S182" i="26"/>
  <c r="T182" i="26"/>
  <c r="V182" i="26"/>
  <c r="Y182" i="26"/>
  <c r="AC182" i="26"/>
  <c r="E183" i="26"/>
  <c r="F183" i="26" s="1"/>
  <c r="R183" i="26"/>
  <c r="S183" i="26"/>
  <c r="T183" i="26"/>
  <c r="V183" i="26"/>
  <c r="Y183" i="26"/>
  <c r="AC183" i="26"/>
  <c r="E184" i="26"/>
  <c r="F184" i="26" s="1"/>
  <c r="R184" i="26"/>
  <c r="S184" i="26"/>
  <c r="T184" i="26"/>
  <c r="V184" i="26"/>
  <c r="Y184" i="26"/>
  <c r="AC184" i="26"/>
  <c r="E185" i="26"/>
  <c r="F185" i="26" s="1"/>
  <c r="R185" i="26"/>
  <c r="S185" i="26"/>
  <c r="T185" i="26"/>
  <c r="V185" i="26"/>
  <c r="Y185" i="26"/>
  <c r="AC185" i="26"/>
  <c r="F186" i="26"/>
  <c r="R186" i="26"/>
  <c r="S186" i="26"/>
  <c r="T186" i="26"/>
  <c r="V186" i="26"/>
  <c r="Y186" i="26"/>
  <c r="AC186" i="26"/>
  <c r="E187" i="26"/>
  <c r="F187" i="26" s="1"/>
  <c r="R187" i="26"/>
  <c r="S187" i="26"/>
  <c r="T187" i="26"/>
  <c r="V187" i="26"/>
  <c r="Y187" i="26"/>
  <c r="AC187" i="26"/>
  <c r="E188" i="26"/>
  <c r="F188" i="26" s="1"/>
  <c r="R188" i="26"/>
  <c r="S188" i="26"/>
  <c r="T188" i="26"/>
  <c r="V188" i="26"/>
  <c r="Y188" i="26"/>
  <c r="AC188" i="26"/>
  <c r="E189" i="26"/>
  <c r="F189" i="26" s="1"/>
  <c r="R189" i="26"/>
  <c r="S189" i="26"/>
  <c r="T189" i="26"/>
  <c r="V189" i="26"/>
  <c r="Y189" i="26"/>
  <c r="AC189" i="26"/>
  <c r="E190" i="26"/>
  <c r="F190" i="26" s="1"/>
  <c r="R190" i="26"/>
  <c r="S190" i="26"/>
  <c r="T190" i="26"/>
  <c r="V190" i="26"/>
  <c r="Y190" i="26"/>
  <c r="AC190" i="26"/>
  <c r="E191" i="26"/>
  <c r="F191" i="26" s="1"/>
  <c r="R191" i="26"/>
  <c r="S191" i="26"/>
  <c r="T191" i="26"/>
  <c r="V191" i="26"/>
  <c r="Y191" i="26"/>
  <c r="AC191" i="26"/>
  <c r="E192" i="26"/>
  <c r="F192" i="26" s="1"/>
  <c r="R192" i="26"/>
  <c r="S192" i="26"/>
  <c r="T192" i="26"/>
  <c r="V192" i="26"/>
  <c r="Y192" i="26"/>
  <c r="E193" i="26"/>
  <c r="F193" i="26" s="1"/>
  <c r="R193" i="26"/>
  <c r="S193" i="26"/>
  <c r="T193" i="26"/>
  <c r="V193" i="26"/>
  <c r="Y193" i="26"/>
  <c r="E194" i="26"/>
  <c r="F194" i="26" s="1"/>
  <c r="R194" i="26"/>
  <c r="S194" i="26"/>
  <c r="T194" i="26"/>
  <c r="E195" i="26"/>
  <c r="F195" i="26" s="1"/>
  <c r="R195" i="26"/>
  <c r="S195" i="26"/>
  <c r="T195" i="26"/>
  <c r="E196" i="26"/>
  <c r="F196" i="26" s="1"/>
  <c r="R196" i="26"/>
  <c r="S196" i="26"/>
  <c r="T196" i="26"/>
  <c r="E197" i="26"/>
  <c r="F197" i="26" s="1"/>
  <c r="R197" i="26"/>
  <c r="S197" i="26"/>
  <c r="T197" i="26"/>
  <c r="V197" i="26"/>
  <c r="Y197" i="26"/>
  <c r="AC197" i="26"/>
  <c r="E198" i="26"/>
  <c r="F198" i="26" s="1"/>
  <c r="R198" i="26"/>
  <c r="S198" i="26"/>
  <c r="T198" i="26"/>
  <c r="V198" i="26"/>
  <c r="Y198" i="26"/>
  <c r="AC198" i="26"/>
  <c r="E199" i="26"/>
  <c r="F199" i="26" s="1"/>
  <c r="R199" i="26"/>
  <c r="S199" i="26"/>
  <c r="T199" i="26"/>
  <c r="V199" i="26"/>
  <c r="Y199" i="26"/>
  <c r="AC199" i="26"/>
  <c r="E200" i="26"/>
  <c r="F200" i="26" s="1"/>
  <c r="R200" i="26"/>
  <c r="S200" i="26"/>
  <c r="T200" i="26"/>
  <c r="V200" i="26"/>
  <c r="Y200" i="26"/>
  <c r="AC200" i="26"/>
  <c r="E201" i="26"/>
  <c r="F201" i="26" s="1"/>
  <c r="R201" i="26"/>
  <c r="S201" i="26"/>
  <c r="T201" i="26"/>
  <c r="V201" i="26"/>
  <c r="Y201" i="26"/>
  <c r="AC201" i="26"/>
  <c r="E202" i="26"/>
  <c r="F202" i="26" s="1"/>
  <c r="R202" i="26"/>
  <c r="S202" i="26"/>
  <c r="T202" i="26"/>
  <c r="V202" i="26"/>
  <c r="Y202" i="26"/>
  <c r="AC202" i="26"/>
  <c r="E203" i="26"/>
  <c r="F203" i="26" s="1"/>
  <c r="R203" i="26"/>
  <c r="S203" i="26"/>
  <c r="T203" i="26"/>
  <c r="V203" i="26"/>
  <c r="Y203" i="26"/>
  <c r="E204" i="26"/>
  <c r="F204" i="26" s="1"/>
  <c r="R204" i="26"/>
  <c r="S204" i="26"/>
  <c r="T204" i="26"/>
  <c r="Y204" i="26"/>
  <c r="E205" i="26"/>
  <c r="F205" i="26" s="1"/>
  <c r="R205" i="26"/>
  <c r="S205" i="26"/>
  <c r="T205" i="26"/>
  <c r="E206" i="26"/>
  <c r="F206" i="26" s="1"/>
  <c r="R206" i="26"/>
  <c r="S206" i="26"/>
  <c r="T206" i="26"/>
  <c r="V206" i="26"/>
  <c r="Y206" i="26"/>
  <c r="AC206" i="26"/>
  <c r="E207" i="26"/>
  <c r="F207" i="26" s="1"/>
  <c r="R207" i="26"/>
  <c r="S207" i="26"/>
  <c r="T207" i="26"/>
  <c r="E208" i="26"/>
  <c r="F208" i="26" s="1"/>
  <c r="R208" i="26"/>
  <c r="S208" i="26"/>
  <c r="T208" i="26"/>
  <c r="V208" i="26"/>
  <c r="Y208" i="26"/>
  <c r="AC208" i="26"/>
  <c r="E209" i="26"/>
  <c r="F209" i="26" s="1"/>
  <c r="R209" i="26"/>
  <c r="S209" i="26"/>
  <c r="T209" i="26"/>
  <c r="V209" i="26"/>
  <c r="Y209" i="26"/>
  <c r="AC209" i="26"/>
  <c r="E210" i="26"/>
  <c r="F210" i="26" s="1"/>
  <c r="R210" i="26"/>
  <c r="S210" i="26"/>
  <c r="T210" i="26"/>
  <c r="V210" i="26"/>
  <c r="Y210" i="26"/>
  <c r="AC210" i="26"/>
  <c r="E211" i="26"/>
  <c r="F211" i="26" s="1"/>
  <c r="R211" i="26"/>
  <c r="S211" i="26"/>
  <c r="T211" i="26"/>
  <c r="V211" i="26"/>
  <c r="Y211" i="26"/>
  <c r="AC211" i="26"/>
  <c r="E212" i="26"/>
  <c r="F212" i="26" s="1"/>
  <c r="R212" i="26"/>
  <c r="S212" i="26"/>
  <c r="T212" i="26"/>
  <c r="V212" i="26"/>
  <c r="Y212" i="26"/>
  <c r="AC212" i="26"/>
  <c r="E213" i="26"/>
  <c r="F213" i="26" s="1"/>
  <c r="R213" i="26"/>
  <c r="S213" i="26"/>
  <c r="U213" i="26" s="1"/>
  <c r="T213" i="26"/>
  <c r="V213" i="26"/>
  <c r="Y213" i="26"/>
  <c r="E214" i="26"/>
  <c r="F214" i="26" s="1"/>
  <c r="R214" i="26"/>
  <c r="S214" i="26"/>
  <c r="T214" i="26"/>
  <c r="U214" i="26"/>
  <c r="V214" i="26"/>
  <c r="Y214" i="26"/>
  <c r="E215" i="26"/>
  <c r="F215" i="26" s="1"/>
  <c r="R215" i="26"/>
  <c r="S215" i="26"/>
  <c r="T215" i="26"/>
  <c r="U215" i="26"/>
  <c r="E216" i="26"/>
  <c r="F216" i="26" s="1"/>
  <c r="R216" i="26"/>
  <c r="S216" i="26"/>
  <c r="T216" i="26"/>
  <c r="E217" i="26"/>
  <c r="F217" i="26" s="1"/>
  <c r="R217" i="26"/>
  <c r="S217" i="26"/>
  <c r="T217" i="26"/>
  <c r="V217" i="26"/>
  <c r="Y217" i="26"/>
  <c r="E218" i="26"/>
  <c r="F218" i="26" s="1"/>
  <c r="R218" i="26"/>
  <c r="S218" i="26"/>
  <c r="T218" i="26"/>
  <c r="V218" i="26"/>
  <c r="Y218" i="26"/>
  <c r="E219" i="26"/>
  <c r="F219" i="26" s="1"/>
  <c r="R219" i="26"/>
  <c r="S219" i="26"/>
  <c r="T219" i="26"/>
  <c r="V219" i="26"/>
  <c r="Y219" i="26"/>
  <c r="R220" i="26"/>
  <c r="S220" i="26"/>
  <c r="T220" i="26"/>
  <c r="E221" i="26"/>
  <c r="F221" i="26" s="1"/>
  <c r="R221" i="26"/>
  <c r="S221" i="26"/>
  <c r="T221" i="26"/>
  <c r="V221" i="26"/>
  <c r="Y221" i="26"/>
  <c r="AC221" i="26"/>
  <c r="E222" i="26"/>
  <c r="F222" i="26" s="1"/>
  <c r="R222" i="26"/>
  <c r="S222" i="26"/>
  <c r="T222" i="26"/>
  <c r="V222" i="26"/>
  <c r="Y222" i="26"/>
  <c r="AC222" i="26"/>
  <c r="E223" i="26"/>
  <c r="F223" i="26" s="1"/>
  <c r="R223" i="26"/>
  <c r="S223" i="26"/>
  <c r="T223" i="26"/>
  <c r="V223" i="26"/>
  <c r="Y223" i="26"/>
  <c r="AC223" i="26"/>
  <c r="E224" i="26"/>
  <c r="F224" i="26" s="1"/>
  <c r="R224" i="26"/>
  <c r="S224" i="26"/>
  <c r="T224" i="26"/>
  <c r="V224" i="26"/>
  <c r="Y224" i="26"/>
  <c r="AC224" i="26"/>
  <c r="E225" i="26"/>
  <c r="F225" i="26" s="1"/>
  <c r="R225" i="26"/>
  <c r="S225" i="26"/>
  <c r="T225" i="26"/>
  <c r="V225" i="26"/>
  <c r="Y225" i="26"/>
  <c r="AC225" i="26"/>
  <c r="E226" i="26"/>
  <c r="F226" i="26" s="1"/>
  <c r="R226" i="26"/>
  <c r="S226" i="26"/>
  <c r="T226" i="26"/>
  <c r="E227" i="26"/>
  <c r="F227" i="26" s="1"/>
  <c r="R227" i="26"/>
  <c r="S227" i="26"/>
  <c r="T227" i="26"/>
  <c r="V227" i="26"/>
  <c r="Y227" i="26"/>
  <c r="AC227" i="26"/>
  <c r="E228" i="26"/>
  <c r="F228" i="26" s="1"/>
  <c r="R228" i="26"/>
  <c r="S228" i="26"/>
  <c r="T228" i="26"/>
  <c r="V228" i="26"/>
  <c r="Y228" i="26"/>
  <c r="E229" i="26"/>
  <c r="F229" i="26" s="1"/>
  <c r="R229" i="26"/>
  <c r="S229" i="26"/>
  <c r="T229" i="26"/>
  <c r="E230" i="26"/>
  <c r="F230" i="26" s="1"/>
  <c r="R230" i="26"/>
  <c r="S230" i="26"/>
  <c r="T230" i="26"/>
  <c r="V230" i="26"/>
  <c r="Y230" i="26"/>
  <c r="AC230" i="26"/>
  <c r="E231" i="26"/>
  <c r="F231" i="26" s="1"/>
  <c r="R231" i="26"/>
  <c r="S231" i="26"/>
  <c r="T231" i="26"/>
  <c r="E232" i="26"/>
  <c r="F232" i="26"/>
  <c r="R232" i="26"/>
  <c r="S232" i="26"/>
  <c r="T232" i="26"/>
  <c r="V232" i="26"/>
  <c r="Y232" i="26"/>
  <c r="AC232" i="26"/>
  <c r="E233" i="26"/>
  <c r="F233" i="26" s="1"/>
  <c r="M233" i="26"/>
  <c r="R233" i="26"/>
  <c r="S233" i="26"/>
  <c r="T233" i="26"/>
  <c r="V233" i="26"/>
  <c r="Y233" i="26"/>
  <c r="AC233" i="26"/>
  <c r="E234" i="26"/>
  <c r="F234" i="26" s="1"/>
  <c r="R234" i="26"/>
  <c r="S234" i="26"/>
  <c r="T234" i="26"/>
  <c r="V234" i="26"/>
  <c r="Y234" i="26"/>
  <c r="AC234" i="26"/>
  <c r="E235" i="26"/>
  <c r="F235" i="26" s="1"/>
  <c r="R235" i="26"/>
  <c r="S235" i="26"/>
  <c r="T235" i="26"/>
  <c r="V235" i="26"/>
  <c r="Y235" i="26"/>
  <c r="AC235" i="26"/>
  <c r="E236" i="26"/>
  <c r="F236" i="26"/>
  <c r="R236" i="26"/>
  <c r="S236" i="26"/>
  <c r="T236" i="26"/>
  <c r="V236" i="26"/>
  <c r="Y236" i="26"/>
  <c r="AC236" i="26"/>
  <c r="E237" i="26"/>
  <c r="F237" i="26" s="1"/>
  <c r="R237" i="26"/>
  <c r="S237" i="26"/>
  <c r="T237" i="26"/>
  <c r="V237" i="26"/>
  <c r="Y237" i="26"/>
  <c r="AC237" i="26"/>
  <c r="E238" i="26"/>
  <c r="F238" i="26" s="1"/>
  <c r="R238" i="26"/>
  <c r="S238" i="26"/>
  <c r="U238" i="26" s="1"/>
  <c r="T238" i="26"/>
  <c r="V238" i="26"/>
  <c r="Y238" i="26"/>
  <c r="AC238" i="26"/>
  <c r="E239" i="26"/>
  <c r="F239" i="26" s="1"/>
  <c r="R239" i="26"/>
  <c r="S239" i="26"/>
  <c r="T239" i="26"/>
  <c r="V239" i="26"/>
  <c r="Y239" i="26"/>
  <c r="AC239" i="26"/>
  <c r="E240" i="26"/>
  <c r="F240" i="26" s="1"/>
  <c r="R240" i="26"/>
  <c r="S240" i="26"/>
  <c r="T240" i="26"/>
  <c r="V240" i="26"/>
  <c r="Y240" i="26"/>
  <c r="E241" i="26"/>
  <c r="F241" i="26" s="1"/>
  <c r="R241" i="26"/>
  <c r="U241" i="26" s="1"/>
  <c r="S241" i="26"/>
  <c r="T241" i="26"/>
  <c r="V241" i="26"/>
  <c r="Y241" i="26"/>
  <c r="E242" i="26"/>
  <c r="F242" i="26" s="1"/>
  <c r="R242" i="26"/>
  <c r="S242" i="26"/>
  <c r="T242" i="26"/>
  <c r="E243" i="26"/>
  <c r="F243" i="26" s="1"/>
  <c r="R243" i="26"/>
  <c r="S243" i="26"/>
  <c r="T243" i="26"/>
  <c r="V243" i="26"/>
  <c r="Y243" i="26"/>
  <c r="E244" i="26"/>
  <c r="F244" i="26" s="1"/>
  <c r="R244" i="26"/>
  <c r="S244" i="26"/>
  <c r="T244" i="26"/>
  <c r="V244" i="26"/>
  <c r="Y244" i="26"/>
  <c r="AC244" i="26"/>
  <c r="E245" i="26"/>
  <c r="F245" i="26" s="1"/>
  <c r="R245" i="26"/>
  <c r="S245" i="26"/>
  <c r="T245" i="26"/>
  <c r="V245" i="26"/>
  <c r="Y245" i="26"/>
  <c r="AC245" i="26"/>
  <c r="E246" i="26"/>
  <c r="F246" i="26" s="1"/>
  <c r="R246" i="26"/>
  <c r="S246" i="26"/>
  <c r="T246" i="26"/>
  <c r="V246" i="26"/>
  <c r="Y246" i="26"/>
  <c r="AC246" i="26"/>
  <c r="E247" i="26"/>
  <c r="F247" i="26" s="1"/>
  <c r="R247" i="26"/>
  <c r="S247" i="26"/>
  <c r="T247" i="26"/>
  <c r="U247" i="26" s="1"/>
  <c r="V247" i="26"/>
  <c r="Y247" i="26"/>
  <c r="AC247" i="26"/>
  <c r="E248" i="26"/>
  <c r="F248" i="26" s="1"/>
  <c r="R248" i="26"/>
  <c r="S248" i="26"/>
  <c r="T248" i="26"/>
  <c r="U248" i="26"/>
  <c r="V248" i="26"/>
  <c r="Y248" i="26"/>
  <c r="AC248" i="26"/>
  <c r="E249" i="26"/>
  <c r="F249" i="26" s="1"/>
  <c r="R249" i="26"/>
  <c r="S249" i="26"/>
  <c r="T249" i="26"/>
  <c r="U249" i="26"/>
  <c r="V249" i="26"/>
  <c r="Y249" i="26"/>
  <c r="AC249" i="26"/>
  <c r="E250" i="26"/>
  <c r="F250" i="26" s="1"/>
  <c r="R250" i="26"/>
  <c r="S250" i="26"/>
  <c r="T250" i="26"/>
  <c r="U250" i="26" s="1"/>
  <c r="V250" i="26"/>
  <c r="Y250" i="26"/>
  <c r="AC250" i="26"/>
  <c r="E251" i="26"/>
  <c r="F251" i="26" s="1"/>
  <c r="R251" i="26"/>
  <c r="S251" i="26"/>
  <c r="T251" i="26"/>
  <c r="V251" i="26"/>
  <c r="Y251" i="26"/>
  <c r="E252" i="26"/>
  <c r="F252" i="26" s="1"/>
  <c r="R252" i="26"/>
  <c r="S252" i="26"/>
  <c r="T252" i="26"/>
  <c r="V252" i="26"/>
  <c r="Y252" i="26"/>
  <c r="E253" i="26"/>
  <c r="F253" i="26" s="1"/>
  <c r="R253" i="26"/>
  <c r="S253" i="26"/>
  <c r="T253" i="26"/>
  <c r="E254" i="26"/>
  <c r="F254" i="26" s="1"/>
  <c r="R254" i="26"/>
  <c r="S254" i="26"/>
  <c r="T254" i="26"/>
  <c r="E255" i="26"/>
  <c r="F255" i="26" s="1"/>
  <c r="R255" i="26"/>
  <c r="S255" i="26"/>
  <c r="T255" i="26"/>
  <c r="E256" i="26"/>
  <c r="F256" i="26" s="1"/>
  <c r="R256" i="26"/>
  <c r="S256" i="26"/>
  <c r="T256" i="26"/>
  <c r="V256" i="26"/>
  <c r="Y256" i="26"/>
  <c r="AC256" i="26"/>
  <c r="F257" i="26"/>
  <c r="R257" i="26"/>
  <c r="S257" i="26"/>
  <c r="T257" i="26"/>
  <c r="V257" i="26"/>
  <c r="Y257" i="26"/>
  <c r="AC257" i="26"/>
  <c r="E258" i="26"/>
  <c r="F258" i="26" s="1"/>
  <c r="R258" i="26"/>
  <c r="S258" i="26"/>
  <c r="T258" i="26"/>
  <c r="V258" i="26"/>
  <c r="Y258" i="26"/>
  <c r="AC258" i="26"/>
  <c r="E259" i="26"/>
  <c r="F259" i="26" s="1"/>
  <c r="R259" i="26"/>
  <c r="S259" i="26"/>
  <c r="T259" i="26"/>
  <c r="V259" i="26"/>
  <c r="Y259" i="26"/>
  <c r="AC259" i="26"/>
  <c r="E260" i="26"/>
  <c r="F260" i="26" s="1"/>
  <c r="R260" i="26"/>
  <c r="S260" i="26"/>
  <c r="T260" i="26"/>
  <c r="V260" i="26"/>
  <c r="Y260" i="26"/>
  <c r="AC260" i="26"/>
  <c r="E261" i="26"/>
  <c r="F261" i="26" s="1"/>
  <c r="R261" i="26"/>
  <c r="S261" i="26"/>
  <c r="T261" i="26"/>
  <c r="V261" i="26"/>
  <c r="Y261" i="26"/>
  <c r="AC261" i="26"/>
  <c r="E262" i="26"/>
  <c r="F262" i="26" s="1"/>
  <c r="R262" i="26"/>
  <c r="S262" i="26"/>
  <c r="T262" i="26"/>
  <c r="V262" i="26"/>
  <c r="Y262" i="26"/>
  <c r="AC262" i="26"/>
  <c r="E263" i="26"/>
  <c r="F263" i="26" s="1"/>
  <c r="R263" i="26"/>
  <c r="S263" i="26"/>
  <c r="T263" i="26"/>
  <c r="V263" i="26"/>
  <c r="Y263" i="26"/>
  <c r="AC263" i="26"/>
  <c r="E264" i="26"/>
  <c r="F264" i="26" s="1"/>
  <c r="R264" i="26"/>
  <c r="S264" i="26"/>
  <c r="T264" i="26"/>
  <c r="V264" i="26"/>
  <c r="Y264" i="26"/>
  <c r="AC264" i="26"/>
  <c r="E265" i="26"/>
  <c r="F265" i="26" s="1"/>
  <c r="R265" i="26"/>
  <c r="S265" i="26"/>
  <c r="T265" i="26"/>
  <c r="V265" i="26"/>
  <c r="Y265" i="26"/>
  <c r="E266" i="26"/>
  <c r="F266" i="26" s="1"/>
  <c r="R266" i="26"/>
  <c r="S266" i="26"/>
  <c r="T266" i="26"/>
  <c r="V266" i="26"/>
  <c r="Y266" i="26"/>
  <c r="E267" i="26"/>
  <c r="F267" i="26" s="1"/>
  <c r="G267" i="26"/>
  <c r="R267" i="26"/>
  <c r="S267" i="26"/>
  <c r="T267" i="26"/>
  <c r="V267" i="26"/>
  <c r="Y267" i="26"/>
  <c r="AC267" i="26"/>
  <c r="E268" i="26"/>
  <c r="F268" i="26" s="1"/>
  <c r="G268" i="26"/>
  <c r="R268" i="26"/>
  <c r="S268" i="26"/>
  <c r="T268" i="26"/>
  <c r="V268" i="26"/>
  <c r="Y268" i="26"/>
  <c r="AC268" i="26"/>
  <c r="E269" i="26"/>
  <c r="F269" i="26" s="1"/>
  <c r="G269" i="26"/>
  <c r="R269" i="26"/>
  <c r="S269" i="26"/>
  <c r="T269" i="26"/>
  <c r="V269" i="26"/>
  <c r="Y269" i="26"/>
  <c r="AC269" i="26"/>
  <c r="E270" i="26"/>
  <c r="F270" i="26" s="1"/>
  <c r="R270" i="26"/>
  <c r="S270" i="26"/>
  <c r="T270" i="26"/>
  <c r="V270" i="26"/>
  <c r="Y270" i="26"/>
  <c r="AC270" i="26"/>
  <c r="E271" i="26"/>
  <c r="F271" i="26" s="1"/>
  <c r="G271" i="26"/>
  <c r="R271" i="26"/>
  <c r="S271" i="26"/>
  <c r="T271" i="26"/>
  <c r="V271" i="26"/>
  <c r="Y271" i="26"/>
  <c r="AC271" i="26"/>
  <c r="E272" i="26"/>
  <c r="F272" i="26" s="1"/>
  <c r="G272" i="26"/>
  <c r="R272" i="26"/>
  <c r="S272" i="26"/>
  <c r="T272" i="26"/>
  <c r="V272" i="26"/>
  <c r="Y272" i="26"/>
  <c r="AC272" i="26"/>
  <c r="E273" i="26"/>
  <c r="F273" i="26" s="1"/>
  <c r="R273" i="26"/>
  <c r="U273" i="26" s="1"/>
  <c r="S273" i="26"/>
  <c r="T273" i="26"/>
  <c r="V273" i="26"/>
  <c r="Y273" i="26"/>
  <c r="AC273" i="26"/>
  <c r="E274" i="26"/>
  <c r="F274" i="26" s="1"/>
  <c r="R274" i="26"/>
  <c r="U274" i="26" s="1"/>
  <c r="S274" i="26"/>
  <c r="T274" i="26"/>
  <c r="V274" i="26"/>
  <c r="Y274" i="26"/>
  <c r="AC274" i="26"/>
  <c r="E275" i="26"/>
  <c r="F275" i="26" s="1"/>
  <c r="R275" i="26"/>
  <c r="S275" i="26"/>
  <c r="T275" i="26"/>
  <c r="Y275" i="26"/>
  <c r="AC275" i="26"/>
  <c r="E276" i="26"/>
  <c r="F276" i="26" s="1"/>
  <c r="R276" i="26"/>
  <c r="S276" i="26"/>
  <c r="T276" i="26"/>
  <c r="V276" i="26"/>
  <c r="Y276" i="26"/>
  <c r="E277" i="26"/>
  <c r="F277" i="26" s="1"/>
  <c r="R277" i="26"/>
  <c r="S277" i="26"/>
  <c r="T277" i="26"/>
  <c r="V277" i="26"/>
  <c r="Y277" i="26"/>
  <c r="AC277" i="26"/>
  <c r="E278" i="26"/>
  <c r="F278" i="26" s="1"/>
  <c r="R278" i="26"/>
  <c r="S278" i="26"/>
  <c r="T278" i="26"/>
  <c r="V278" i="26"/>
  <c r="Y278" i="26"/>
  <c r="AC278" i="26"/>
  <c r="E279" i="26"/>
  <c r="F279" i="26" s="1"/>
  <c r="R279" i="26"/>
  <c r="S279" i="26"/>
  <c r="T279" i="26"/>
  <c r="V279" i="26"/>
  <c r="Y279" i="26"/>
  <c r="AC279" i="26"/>
  <c r="F280" i="26"/>
  <c r="R280" i="26"/>
  <c r="S280" i="26"/>
  <c r="T280" i="26"/>
  <c r="V280" i="26"/>
  <c r="Y280" i="26"/>
  <c r="AC280" i="26"/>
  <c r="E281" i="26"/>
  <c r="F281" i="26" s="1"/>
  <c r="R281" i="26"/>
  <c r="S281" i="26"/>
  <c r="T281" i="26"/>
  <c r="V281" i="26"/>
  <c r="Y281" i="26"/>
  <c r="AC281" i="26"/>
  <c r="E282" i="26"/>
  <c r="F282" i="26" s="1"/>
  <c r="R282" i="26"/>
  <c r="S282" i="26"/>
  <c r="T282" i="26"/>
  <c r="V282" i="26"/>
  <c r="Y282" i="26"/>
  <c r="AC282" i="26"/>
  <c r="E283" i="26"/>
  <c r="F283" i="26" s="1"/>
  <c r="R283" i="26"/>
  <c r="S283" i="26"/>
  <c r="T283" i="26"/>
  <c r="V283" i="26"/>
  <c r="Y283" i="26"/>
  <c r="AC283" i="26"/>
  <c r="E284" i="26"/>
  <c r="F284" i="26" s="1"/>
  <c r="R284" i="26"/>
  <c r="S284" i="26"/>
  <c r="T284" i="26"/>
  <c r="V284" i="26"/>
  <c r="Y284" i="26"/>
  <c r="AC284" i="26"/>
  <c r="E285" i="26"/>
  <c r="F285" i="26" s="1"/>
  <c r="R285" i="26"/>
  <c r="S285" i="26"/>
  <c r="T285" i="26"/>
  <c r="V285" i="26"/>
  <c r="Y285" i="26"/>
  <c r="AC285" i="26"/>
  <c r="E286" i="26"/>
  <c r="F286" i="26" s="1"/>
  <c r="R286" i="26"/>
  <c r="S286" i="26"/>
  <c r="T286" i="26"/>
  <c r="V286" i="26"/>
  <c r="Y286" i="26"/>
  <c r="AC286" i="26"/>
  <c r="E287" i="26"/>
  <c r="F287" i="26" s="1"/>
  <c r="R287" i="26"/>
  <c r="S287" i="26"/>
  <c r="T287" i="26"/>
  <c r="V287" i="26"/>
  <c r="Y287" i="26"/>
  <c r="AC287" i="26"/>
  <c r="E288" i="26"/>
  <c r="F288" i="26" s="1"/>
  <c r="R288" i="26"/>
  <c r="S288" i="26"/>
  <c r="T288" i="26"/>
  <c r="V288" i="26"/>
  <c r="Y288" i="26"/>
  <c r="AC288" i="26"/>
  <c r="E289" i="26"/>
  <c r="F289" i="26" s="1"/>
  <c r="R289" i="26"/>
  <c r="S289" i="26"/>
  <c r="T289" i="26"/>
  <c r="V289" i="26"/>
  <c r="Y289" i="26"/>
  <c r="AB289" i="26"/>
  <c r="E290" i="26"/>
  <c r="F290" i="26" s="1"/>
  <c r="R290" i="26"/>
  <c r="S290" i="26"/>
  <c r="T290" i="26"/>
  <c r="V290" i="26"/>
  <c r="Y290" i="26"/>
  <c r="AC290" i="26"/>
  <c r="E291" i="26"/>
  <c r="F291" i="26" s="1"/>
  <c r="R291" i="26"/>
  <c r="S291" i="26"/>
  <c r="T291" i="26"/>
  <c r="V291" i="26"/>
  <c r="Y291" i="26"/>
  <c r="AC291" i="26"/>
  <c r="E292" i="26"/>
  <c r="F292" i="26" s="1"/>
  <c r="R292" i="26"/>
  <c r="S292" i="26"/>
  <c r="T292" i="26"/>
  <c r="V292" i="26"/>
  <c r="Y292" i="26"/>
  <c r="AC292" i="26"/>
  <c r="E293" i="26"/>
  <c r="F293" i="26" s="1"/>
  <c r="R293" i="26"/>
  <c r="S293" i="26"/>
  <c r="T293" i="26"/>
  <c r="V293" i="26"/>
  <c r="Y293" i="26"/>
  <c r="AC293" i="26"/>
  <c r="F294" i="26"/>
  <c r="R294" i="26"/>
  <c r="S294" i="26"/>
  <c r="T294" i="26"/>
  <c r="V294" i="26"/>
  <c r="Y294" i="26"/>
  <c r="AC294" i="26"/>
  <c r="E295" i="26"/>
  <c r="F295" i="26" s="1"/>
  <c r="R295" i="26"/>
  <c r="S295" i="26"/>
  <c r="T295" i="26"/>
  <c r="V295" i="26"/>
  <c r="Y295" i="26"/>
  <c r="AC295" i="26"/>
  <c r="E296" i="26"/>
  <c r="F296" i="26" s="1"/>
  <c r="R296" i="26"/>
  <c r="S296" i="26"/>
  <c r="T296" i="26"/>
  <c r="V296" i="26"/>
  <c r="Y296" i="26"/>
  <c r="AC296" i="26"/>
  <c r="E297" i="26"/>
  <c r="F297" i="26" s="1"/>
  <c r="R297" i="26"/>
  <c r="S297" i="26"/>
  <c r="T297" i="26"/>
  <c r="V297" i="26"/>
  <c r="Y297" i="26"/>
  <c r="AC297" i="26"/>
  <c r="E298" i="26"/>
  <c r="F298" i="26" s="1"/>
  <c r="R298" i="26"/>
  <c r="S298" i="26"/>
  <c r="T298" i="26"/>
  <c r="V298" i="26"/>
  <c r="Y298" i="26"/>
  <c r="AC298" i="26"/>
  <c r="E299" i="26"/>
  <c r="F299" i="26" s="1"/>
  <c r="R299" i="26"/>
  <c r="S299" i="26"/>
  <c r="T299" i="26"/>
  <c r="V299" i="26"/>
  <c r="Y299" i="26"/>
  <c r="AC299" i="26"/>
  <c r="E300" i="26"/>
  <c r="F300" i="26" s="1"/>
  <c r="R300" i="26"/>
  <c r="S300" i="26"/>
  <c r="T300" i="26"/>
  <c r="V300" i="26"/>
  <c r="Y300" i="26"/>
  <c r="AC300" i="26"/>
  <c r="E301" i="26"/>
  <c r="F301" i="26" s="1"/>
  <c r="R301" i="26"/>
  <c r="S301" i="26"/>
  <c r="T301" i="26"/>
  <c r="V301" i="26"/>
  <c r="Y301" i="26"/>
  <c r="AC301" i="26"/>
  <c r="E302" i="26"/>
  <c r="F302" i="26" s="1"/>
  <c r="R302" i="26"/>
  <c r="S302" i="26"/>
  <c r="T302" i="26"/>
  <c r="V302" i="26"/>
  <c r="Y302" i="26"/>
  <c r="AC302" i="26"/>
  <c r="E303" i="26"/>
  <c r="F303" i="26" s="1"/>
  <c r="R303" i="26"/>
  <c r="S303" i="26"/>
  <c r="T303" i="26"/>
  <c r="V303" i="26"/>
  <c r="Y303" i="26"/>
  <c r="AC303" i="26"/>
  <c r="E304" i="26"/>
  <c r="F304" i="26" s="1"/>
  <c r="R304" i="26"/>
  <c r="S304" i="26"/>
  <c r="T304" i="26"/>
  <c r="V304" i="26"/>
  <c r="Y304" i="26"/>
  <c r="E305" i="26"/>
  <c r="F305" i="26" s="1"/>
  <c r="R305" i="26"/>
  <c r="S305" i="26"/>
  <c r="T305" i="26"/>
  <c r="V305" i="26"/>
  <c r="Y305" i="26"/>
  <c r="AC305" i="26"/>
  <c r="E306" i="26"/>
  <c r="F306" i="26" s="1"/>
  <c r="R306" i="26"/>
  <c r="S306" i="26"/>
  <c r="T306" i="26"/>
  <c r="V306" i="26"/>
  <c r="Y306" i="26"/>
  <c r="E307" i="26"/>
  <c r="F307" i="26"/>
  <c r="R307" i="26"/>
  <c r="S307" i="26"/>
  <c r="T307" i="26"/>
  <c r="V307" i="26"/>
  <c r="Y307" i="26"/>
  <c r="E308" i="26"/>
  <c r="F308" i="26" s="1"/>
  <c r="R308" i="26"/>
  <c r="S308" i="26"/>
  <c r="T308" i="26"/>
  <c r="V308" i="26"/>
  <c r="Y308" i="26"/>
  <c r="AC308" i="26"/>
  <c r="E309" i="26"/>
  <c r="F309" i="26" s="1"/>
  <c r="R309" i="26"/>
  <c r="S309" i="26"/>
  <c r="T309" i="26"/>
  <c r="V309" i="26"/>
  <c r="Y309" i="26"/>
  <c r="F310" i="26"/>
  <c r="R310" i="26"/>
  <c r="S310" i="26"/>
  <c r="T310" i="26"/>
  <c r="V310" i="26"/>
  <c r="Y310" i="26"/>
  <c r="AC310" i="26"/>
  <c r="E311" i="26"/>
  <c r="F311" i="26" s="1"/>
  <c r="R311" i="26"/>
  <c r="S311" i="26"/>
  <c r="T311" i="26"/>
  <c r="V311" i="26"/>
  <c r="Y311" i="26"/>
  <c r="AC311" i="26"/>
  <c r="F312" i="26"/>
  <c r="R312" i="26"/>
  <c r="S312" i="26"/>
  <c r="T312" i="26"/>
  <c r="V312" i="26"/>
  <c r="Y312" i="26"/>
  <c r="AC312" i="26"/>
  <c r="F313" i="26"/>
  <c r="R313" i="26"/>
  <c r="S313" i="26"/>
  <c r="T313" i="26"/>
  <c r="V313" i="26"/>
  <c r="Y313" i="26"/>
  <c r="AC313" i="26"/>
  <c r="E314" i="26"/>
  <c r="F314" i="26" s="1"/>
  <c r="R314" i="26"/>
  <c r="S314" i="26"/>
  <c r="T314" i="26"/>
  <c r="V314" i="26"/>
  <c r="Y314" i="26"/>
  <c r="AC314" i="26"/>
  <c r="E315" i="26"/>
  <c r="F315" i="26" s="1"/>
  <c r="R315" i="26"/>
  <c r="S315" i="26"/>
  <c r="T315" i="26"/>
  <c r="V315" i="26"/>
  <c r="Y315" i="26"/>
  <c r="AC315" i="26"/>
  <c r="F316" i="26"/>
  <c r="R316" i="26"/>
  <c r="S316" i="26"/>
  <c r="T316" i="26"/>
  <c r="V316" i="26"/>
  <c r="Y316" i="26"/>
  <c r="AC316" i="26"/>
  <c r="E317" i="26"/>
  <c r="F317" i="26" s="1"/>
  <c r="R317" i="26"/>
  <c r="S317" i="26"/>
  <c r="T317" i="26"/>
  <c r="V317" i="26"/>
  <c r="Y317" i="26"/>
  <c r="AC317" i="26"/>
  <c r="E318" i="26"/>
  <c r="F318" i="26" s="1"/>
  <c r="R318" i="26"/>
  <c r="S318" i="26"/>
  <c r="T318" i="26"/>
  <c r="V318" i="26"/>
  <c r="Y318" i="26"/>
  <c r="AC318" i="26"/>
  <c r="E319" i="26"/>
  <c r="F319" i="26" s="1"/>
  <c r="R319" i="26"/>
  <c r="S319" i="26"/>
  <c r="T319" i="26"/>
  <c r="V319" i="26"/>
  <c r="Y319" i="26"/>
  <c r="E320" i="26"/>
  <c r="F320" i="26" s="1"/>
  <c r="R320" i="26"/>
  <c r="S320" i="26"/>
  <c r="T320" i="26"/>
  <c r="V320" i="26"/>
  <c r="Y320" i="26"/>
  <c r="E321" i="26"/>
  <c r="F321" i="26" s="1"/>
  <c r="R321" i="26"/>
  <c r="S321" i="26"/>
  <c r="T321" i="26"/>
  <c r="V321" i="26"/>
  <c r="Y321" i="26"/>
  <c r="AC321" i="26"/>
  <c r="E322" i="26"/>
  <c r="F322" i="26" s="1"/>
  <c r="R322" i="26"/>
  <c r="S322" i="26"/>
  <c r="T322" i="26"/>
  <c r="V322" i="26"/>
  <c r="Y322" i="26"/>
  <c r="E323" i="26"/>
  <c r="F323" i="26" s="1"/>
  <c r="R323" i="26"/>
  <c r="S323" i="26"/>
  <c r="T323" i="26"/>
  <c r="V323" i="26"/>
  <c r="Y323" i="26"/>
  <c r="AC323" i="26"/>
  <c r="E324" i="26"/>
  <c r="F324" i="26" s="1"/>
  <c r="R324" i="26"/>
  <c r="S324" i="26"/>
  <c r="T324" i="26"/>
  <c r="V324" i="26"/>
  <c r="Y324" i="26"/>
  <c r="AC324" i="26"/>
  <c r="E325" i="26"/>
  <c r="F325" i="26" s="1"/>
  <c r="R325" i="26"/>
  <c r="S325" i="26"/>
  <c r="T325" i="26"/>
  <c r="V325" i="26"/>
  <c r="Y325" i="26"/>
  <c r="AC325" i="26"/>
  <c r="E326" i="26"/>
  <c r="F326" i="26" s="1"/>
  <c r="R326" i="26"/>
  <c r="S326" i="26"/>
  <c r="T326" i="26"/>
  <c r="V326" i="26"/>
  <c r="Y326" i="26"/>
  <c r="AC326" i="26"/>
  <c r="E327" i="26"/>
  <c r="F327" i="26" s="1"/>
  <c r="R327" i="26"/>
  <c r="S327" i="26"/>
  <c r="T327" i="26"/>
  <c r="V327" i="26"/>
  <c r="Y327" i="26"/>
  <c r="AC327" i="26"/>
  <c r="E328" i="26"/>
  <c r="F328" i="26" s="1"/>
  <c r="R328" i="26"/>
  <c r="S328" i="26"/>
  <c r="T328" i="26"/>
  <c r="V328" i="26"/>
  <c r="Y328" i="26"/>
  <c r="AC328" i="26"/>
  <c r="E329" i="26"/>
  <c r="F329" i="26" s="1"/>
  <c r="R329" i="26"/>
  <c r="S329" i="26"/>
  <c r="T329" i="26"/>
  <c r="V329" i="26"/>
  <c r="Y329" i="26"/>
  <c r="AC329" i="26"/>
  <c r="E330" i="26"/>
  <c r="F330" i="26" s="1"/>
  <c r="R330" i="26"/>
  <c r="U330" i="26" s="1"/>
  <c r="S330" i="26"/>
  <c r="T330" i="26"/>
  <c r="V330" i="26"/>
  <c r="Y330" i="26"/>
  <c r="AC330" i="26"/>
  <c r="E331" i="26"/>
  <c r="F331" i="26" s="1"/>
  <c r="R331" i="26"/>
  <c r="U331" i="26" s="1"/>
  <c r="S331" i="26"/>
  <c r="T331" i="26"/>
  <c r="V331" i="26"/>
  <c r="Y331" i="26"/>
  <c r="AC331" i="26"/>
  <c r="E332" i="26"/>
  <c r="F332" i="26" s="1"/>
  <c r="R332" i="26"/>
  <c r="S332" i="26"/>
  <c r="T332" i="26"/>
  <c r="V332" i="26"/>
  <c r="Y332" i="26"/>
  <c r="AC332" i="26"/>
  <c r="E333" i="26"/>
  <c r="F333" i="26" s="1"/>
  <c r="R333" i="26"/>
  <c r="S333" i="26"/>
  <c r="T333" i="26"/>
  <c r="V333" i="26"/>
  <c r="Y333" i="26"/>
  <c r="AC333" i="26"/>
  <c r="E334" i="26"/>
  <c r="F334" i="26" s="1"/>
  <c r="R334" i="26"/>
  <c r="S334" i="26"/>
  <c r="T334" i="26"/>
  <c r="V334" i="26"/>
  <c r="Y334" i="26"/>
  <c r="AC334" i="26"/>
  <c r="E335" i="26"/>
  <c r="F335" i="26"/>
  <c r="R335" i="26"/>
  <c r="S335" i="26"/>
  <c r="T335" i="26"/>
  <c r="E336" i="26"/>
  <c r="F336" i="26" s="1"/>
  <c r="R336" i="26"/>
  <c r="S336" i="26"/>
  <c r="T336" i="26"/>
  <c r="V336" i="26"/>
  <c r="Y336" i="26"/>
  <c r="AC336" i="26"/>
  <c r="E337" i="26"/>
  <c r="F337" i="26" s="1"/>
  <c r="R337" i="26"/>
  <c r="S337" i="26"/>
  <c r="T337" i="26"/>
  <c r="V337" i="26"/>
  <c r="Y337" i="26"/>
  <c r="AC337" i="26"/>
  <c r="E338" i="26"/>
  <c r="F338" i="26"/>
  <c r="R338" i="26"/>
  <c r="S338" i="26"/>
  <c r="T338" i="26"/>
  <c r="V338" i="26"/>
  <c r="Y338" i="26"/>
  <c r="AC338" i="26"/>
  <c r="E339" i="26"/>
  <c r="F339" i="26" s="1"/>
  <c r="R339" i="26"/>
  <c r="S339" i="26"/>
  <c r="T339" i="26"/>
  <c r="V339" i="26"/>
  <c r="Y339" i="26"/>
  <c r="AC339" i="26"/>
  <c r="E340" i="26"/>
  <c r="F340" i="26" s="1"/>
  <c r="R340" i="26"/>
  <c r="S340" i="26"/>
  <c r="T340" i="26"/>
  <c r="V340" i="26"/>
  <c r="Y340" i="26"/>
  <c r="AC340" i="26"/>
  <c r="E341" i="26"/>
  <c r="F341" i="26" s="1"/>
  <c r="R341" i="26"/>
  <c r="S341" i="26"/>
  <c r="T341" i="26"/>
  <c r="V341" i="26"/>
  <c r="Y341" i="26"/>
  <c r="AC341" i="26"/>
  <c r="E342" i="26"/>
  <c r="F342" i="26" s="1"/>
  <c r="R342" i="26"/>
  <c r="S342" i="26"/>
  <c r="T342" i="26"/>
  <c r="V342" i="26"/>
  <c r="Y342" i="26"/>
  <c r="AC342" i="26"/>
  <c r="E343" i="26"/>
  <c r="F343" i="26" s="1"/>
  <c r="R343" i="26"/>
  <c r="S343" i="26"/>
  <c r="T343" i="26"/>
  <c r="V343" i="26"/>
  <c r="Y343" i="26"/>
  <c r="AC343" i="26"/>
  <c r="E344" i="26"/>
  <c r="F344" i="26" s="1"/>
  <c r="R344" i="26"/>
  <c r="S344" i="26"/>
  <c r="T344" i="26"/>
  <c r="V344" i="26"/>
  <c r="Y344" i="26"/>
  <c r="AC344" i="26"/>
  <c r="E345" i="26"/>
  <c r="F345" i="26" s="1"/>
  <c r="R345" i="26"/>
  <c r="S345" i="26"/>
  <c r="T345" i="26"/>
  <c r="V345" i="26"/>
  <c r="Y345" i="26"/>
  <c r="AC345" i="26"/>
  <c r="E346" i="26"/>
  <c r="F346" i="26" s="1"/>
  <c r="R346" i="26"/>
  <c r="S346" i="26"/>
  <c r="T346" i="26"/>
  <c r="V346" i="26"/>
  <c r="Y346" i="26"/>
  <c r="AC346" i="26"/>
  <c r="E347" i="26"/>
  <c r="F347" i="26" s="1"/>
  <c r="R347" i="26"/>
  <c r="S347" i="26"/>
  <c r="T347" i="26"/>
  <c r="V347" i="26"/>
  <c r="Y347" i="26"/>
  <c r="E348" i="26"/>
  <c r="F348" i="26" s="1"/>
  <c r="R348" i="26"/>
  <c r="S348" i="26"/>
  <c r="T348" i="26"/>
  <c r="E349" i="26"/>
  <c r="F349" i="26" s="1"/>
  <c r="R349" i="26"/>
  <c r="S349" i="26"/>
  <c r="T349" i="26"/>
  <c r="E350" i="26"/>
  <c r="F350" i="26" s="1"/>
  <c r="R350" i="26"/>
  <c r="S350" i="26"/>
  <c r="T350" i="26"/>
  <c r="U350" i="26" s="1"/>
  <c r="V350" i="26"/>
  <c r="Y350" i="26"/>
  <c r="AC350" i="26"/>
  <c r="E351" i="26"/>
  <c r="F351" i="26" s="1"/>
  <c r="R351" i="26"/>
  <c r="S351" i="26"/>
  <c r="T351" i="26"/>
  <c r="V351" i="26"/>
  <c r="Y351" i="26"/>
  <c r="AC351" i="26"/>
  <c r="E352" i="26"/>
  <c r="F352" i="26" s="1"/>
  <c r="R352" i="26"/>
  <c r="S352" i="26"/>
  <c r="T352" i="26"/>
  <c r="V352" i="26"/>
  <c r="Y352" i="26"/>
  <c r="AC352" i="26"/>
  <c r="E353" i="26"/>
  <c r="F353" i="26" s="1"/>
  <c r="R353" i="26"/>
  <c r="S353" i="26"/>
  <c r="T353" i="26"/>
  <c r="V353" i="26"/>
  <c r="Y353" i="26"/>
  <c r="AC353" i="26"/>
  <c r="E354" i="26"/>
  <c r="F354" i="26" s="1"/>
  <c r="R354" i="26"/>
  <c r="S354" i="26"/>
  <c r="T354" i="26"/>
  <c r="V354" i="26"/>
  <c r="Y354" i="26"/>
  <c r="AC354" i="26"/>
  <c r="E355" i="26"/>
  <c r="F355" i="26" s="1"/>
  <c r="R355" i="26"/>
  <c r="S355" i="26"/>
  <c r="T355" i="26"/>
  <c r="V355" i="26"/>
  <c r="Y355" i="26"/>
  <c r="AC355" i="26"/>
  <c r="E356" i="26"/>
  <c r="F356" i="26" s="1"/>
  <c r="R356" i="26"/>
  <c r="S356" i="26"/>
  <c r="T356" i="26"/>
  <c r="V356" i="26"/>
  <c r="Y356" i="26"/>
  <c r="AC356" i="26"/>
  <c r="E357" i="26"/>
  <c r="F357" i="26" s="1"/>
  <c r="R357" i="26"/>
  <c r="S357" i="26"/>
  <c r="T357" i="26"/>
  <c r="V357" i="26"/>
  <c r="Y357" i="26"/>
  <c r="AC357" i="26"/>
  <c r="E358" i="26"/>
  <c r="F358" i="26" s="1"/>
  <c r="R358" i="26"/>
  <c r="S358" i="26"/>
  <c r="T358" i="26"/>
  <c r="V358" i="26"/>
  <c r="Y358" i="26"/>
  <c r="AC358" i="26"/>
  <c r="E359" i="26"/>
  <c r="F359" i="26" s="1"/>
  <c r="R359" i="26"/>
  <c r="S359" i="26"/>
  <c r="T359" i="26"/>
  <c r="V359" i="26"/>
  <c r="Y359" i="26"/>
  <c r="AC359" i="26"/>
  <c r="E360" i="26"/>
  <c r="F360" i="26" s="1"/>
  <c r="R360" i="26"/>
  <c r="S360" i="26"/>
  <c r="T360" i="26"/>
  <c r="U360" i="26"/>
  <c r="V360" i="26"/>
  <c r="Y360" i="26"/>
  <c r="E361" i="26"/>
  <c r="F361" i="26" s="1"/>
  <c r="R361" i="26"/>
  <c r="S361" i="26"/>
  <c r="T361" i="26"/>
  <c r="V361" i="26"/>
  <c r="Y361" i="26"/>
  <c r="E362" i="26"/>
  <c r="F362" i="26" s="1"/>
  <c r="R362" i="26"/>
  <c r="U362" i="26" s="1"/>
  <c r="S362" i="26"/>
  <c r="T362" i="26"/>
  <c r="E363" i="26"/>
  <c r="F363" i="26"/>
  <c r="R363" i="26"/>
  <c r="S363" i="26"/>
  <c r="T363" i="26"/>
  <c r="V363" i="26"/>
  <c r="Y363" i="26"/>
  <c r="AC363" i="26"/>
  <c r="E364" i="26"/>
  <c r="F364" i="26" s="1"/>
  <c r="R364" i="26"/>
  <c r="S364" i="26"/>
  <c r="T364" i="26"/>
  <c r="V364" i="26"/>
  <c r="Y364" i="26"/>
  <c r="AC364" i="26"/>
  <c r="F365" i="26"/>
  <c r="R365" i="26"/>
  <c r="S365" i="26"/>
  <c r="T365" i="26"/>
  <c r="V365" i="26"/>
  <c r="Y365" i="26"/>
  <c r="AC365" i="26"/>
  <c r="E366" i="26"/>
  <c r="F366" i="26" s="1"/>
  <c r="R366" i="26"/>
  <c r="S366" i="26"/>
  <c r="T366" i="26"/>
  <c r="V366" i="26"/>
  <c r="Y366" i="26"/>
  <c r="AC366" i="26"/>
  <c r="E367" i="26"/>
  <c r="F367" i="26" s="1"/>
  <c r="R367" i="26"/>
  <c r="S367" i="26"/>
  <c r="T367" i="26"/>
  <c r="V367" i="26"/>
  <c r="Y367" i="26"/>
  <c r="AC367" i="26"/>
  <c r="E368" i="26"/>
  <c r="F368" i="26" s="1"/>
  <c r="R368" i="26"/>
  <c r="S368" i="26"/>
  <c r="T368" i="26"/>
  <c r="V368" i="26"/>
  <c r="Y368" i="26"/>
  <c r="AC368" i="26"/>
  <c r="E369" i="26"/>
  <c r="F369" i="26" s="1"/>
  <c r="R369" i="26"/>
  <c r="S369" i="26"/>
  <c r="T369" i="26"/>
  <c r="V369" i="26"/>
  <c r="Y369" i="26"/>
  <c r="AC369" i="26"/>
  <c r="E370" i="26"/>
  <c r="F370" i="26" s="1"/>
  <c r="R370" i="26"/>
  <c r="S370" i="26"/>
  <c r="T370" i="26"/>
  <c r="V370" i="26"/>
  <c r="Y370" i="26"/>
  <c r="E371" i="26"/>
  <c r="F371" i="26"/>
  <c r="R371" i="26"/>
  <c r="S371" i="26"/>
  <c r="T371" i="26"/>
  <c r="V371" i="26"/>
  <c r="Y371" i="26"/>
  <c r="E372" i="26"/>
  <c r="F372" i="26" s="1"/>
  <c r="R372" i="26"/>
  <c r="S372" i="26"/>
  <c r="T372" i="26"/>
  <c r="V372" i="26"/>
  <c r="Y372" i="26"/>
  <c r="AC372" i="26"/>
  <c r="E373" i="26"/>
  <c r="F373" i="26" s="1"/>
  <c r="R373" i="26"/>
  <c r="S373" i="26"/>
  <c r="T373" i="26"/>
  <c r="V373" i="26"/>
  <c r="Y373" i="26"/>
  <c r="AC373" i="26"/>
  <c r="E374" i="26"/>
  <c r="F374" i="26" s="1"/>
  <c r="R374" i="26"/>
  <c r="S374" i="26"/>
  <c r="T374" i="26"/>
  <c r="V374" i="26"/>
  <c r="Y374" i="26"/>
  <c r="AC374" i="26"/>
  <c r="E375" i="26"/>
  <c r="F375" i="26" s="1"/>
  <c r="R375" i="26"/>
  <c r="S375" i="26"/>
  <c r="T375" i="26"/>
  <c r="V375" i="26"/>
  <c r="Y375" i="26"/>
  <c r="AC375" i="26"/>
  <c r="E376" i="26"/>
  <c r="F376" i="26" s="1"/>
  <c r="R376" i="26"/>
  <c r="S376" i="26"/>
  <c r="T376" i="26"/>
  <c r="V376" i="26"/>
  <c r="Y376" i="26"/>
  <c r="AC376" i="26"/>
  <c r="F377" i="26"/>
  <c r="R377" i="26"/>
  <c r="S377" i="26"/>
  <c r="T377" i="26"/>
  <c r="V377" i="26"/>
  <c r="Y377" i="26"/>
  <c r="AC377" i="26"/>
  <c r="E378" i="26"/>
  <c r="F378" i="26" s="1"/>
  <c r="R378" i="26"/>
  <c r="S378" i="26"/>
  <c r="T378" i="26"/>
  <c r="V378" i="26"/>
  <c r="Y378" i="26"/>
  <c r="E379" i="26"/>
  <c r="F379" i="26" s="1"/>
  <c r="R379" i="26"/>
  <c r="S379" i="26"/>
  <c r="T379" i="26"/>
  <c r="V379" i="26"/>
  <c r="Y379" i="26"/>
  <c r="AC379" i="26"/>
  <c r="E380" i="26"/>
  <c r="F380" i="26" s="1"/>
  <c r="R380" i="26"/>
  <c r="S380" i="26"/>
  <c r="T380" i="26"/>
  <c r="V380" i="26"/>
  <c r="Y380" i="26"/>
  <c r="AC380" i="26"/>
  <c r="E381" i="26"/>
  <c r="F381" i="26" s="1"/>
  <c r="R381" i="26"/>
  <c r="S381" i="26"/>
  <c r="T381" i="26"/>
  <c r="V381" i="26"/>
  <c r="Y381" i="26"/>
  <c r="AC381" i="26"/>
  <c r="E382" i="26"/>
  <c r="F382" i="26" s="1"/>
  <c r="R382" i="26"/>
  <c r="S382" i="26"/>
  <c r="T382" i="26"/>
  <c r="V382" i="26"/>
  <c r="Y382" i="26"/>
  <c r="AC382" i="26"/>
  <c r="E383" i="26"/>
  <c r="F383" i="26" s="1"/>
  <c r="R383" i="26"/>
  <c r="S383" i="26"/>
  <c r="T383" i="26"/>
  <c r="V383" i="26"/>
  <c r="Y383" i="26"/>
  <c r="AC383" i="26"/>
  <c r="E384" i="26"/>
  <c r="F384" i="26" s="1"/>
  <c r="R384" i="26"/>
  <c r="U384" i="26" s="1"/>
  <c r="S384" i="26"/>
  <c r="T384" i="26"/>
  <c r="V384" i="26"/>
  <c r="Y384" i="26"/>
  <c r="AC384" i="26"/>
  <c r="E385" i="26"/>
  <c r="F385" i="26" s="1"/>
  <c r="R385" i="26"/>
  <c r="U385" i="26" s="1"/>
  <c r="S385" i="26"/>
  <c r="T385" i="26"/>
  <c r="V385" i="26"/>
  <c r="Y385" i="26"/>
  <c r="AC385" i="26"/>
  <c r="E386" i="26"/>
  <c r="F386" i="26" s="1"/>
  <c r="R386" i="26"/>
  <c r="U386" i="26" s="1"/>
  <c r="S386" i="26"/>
  <c r="T386" i="26"/>
  <c r="E387" i="26"/>
  <c r="F387" i="26" s="1"/>
  <c r="R387" i="26"/>
  <c r="S387" i="26"/>
  <c r="T387" i="26"/>
  <c r="F388" i="26"/>
  <c r="R388" i="26"/>
  <c r="S388" i="26"/>
  <c r="T388" i="26"/>
  <c r="V388" i="26"/>
  <c r="Y388" i="26"/>
  <c r="AC388" i="26"/>
  <c r="E389" i="26"/>
  <c r="F389" i="26"/>
  <c r="R389" i="26"/>
  <c r="S389" i="26"/>
  <c r="T389" i="26"/>
  <c r="V389" i="26"/>
  <c r="Y389" i="26"/>
  <c r="AC389" i="26"/>
  <c r="E390" i="26"/>
  <c r="F390" i="26" s="1"/>
  <c r="R390" i="26"/>
  <c r="U390" i="26" s="1"/>
  <c r="S390" i="26"/>
  <c r="T390" i="26"/>
  <c r="V390" i="26"/>
  <c r="Y390" i="26"/>
  <c r="AC390" i="26"/>
  <c r="E391" i="26"/>
  <c r="F391" i="26"/>
  <c r="R391" i="26"/>
  <c r="U391" i="26" s="1"/>
  <c r="S391" i="26"/>
  <c r="T391" i="26"/>
  <c r="V391" i="26"/>
  <c r="Y391" i="26"/>
  <c r="AC391" i="26"/>
  <c r="E392" i="26"/>
  <c r="F392" i="26"/>
  <c r="R392" i="26"/>
  <c r="S392" i="26"/>
  <c r="T392" i="26"/>
  <c r="V392" i="26"/>
  <c r="Y392" i="26"/>
  <c r="AC392" i="26"/>
  <c r="E393" i="26"/>
  <c r="F393" i="26" s="1"/>
  <c r="R393" i="26"/>
  <c r="S393" i="26"/>
  <c r="T393" i="26"/>
  <c r="V393" i="26"/>
  <c r="Y393" i="26"/>
  <c r="AC393" i="26"/>
  <c r="E394" i="26"/>
  <c r="F394" i="26"/>
  <c r="R394" i="26"/>
  <c r="S394" i="26"/>
  <c r="T394" i="26"/>
  <c r="V394" i="26"/>
  <c r="Y394" i="26"/>
  <c r="AC394" i="26"/>
  <c r="E395" i="26"/>
  <c r="F395" i="26"/>
  <c r="R395" i="26"/>
  <c r="S395" i="26"/>
  <c r="T395" i="26"/>
  <c r="V395" i="26"/>
  <c r="Y395" i="26"/>
  <c r="AC395" i="26"/>
  <c r="E396" i="26"/>
  <c r="F396" i="26"/>
  <c r="R396" i="26"/>
  <c r="S396" i="26"/>
  <c r="T396" i="26"/>
  <c r="V396" i="26"/>
  <c r="Y396" i="26"/>
  <c r="AC396" i="26"/>
  <c r="E397" i="26"/>
  <c r="F397" i="26"/>
  <c r="R397" i="26"/>
  <c r="S397" i="26"/>
  <c r="T397" i="26"/>
  <c r="V397" i="26"/>
  <c r="Y397" i="26"/>
  <c r="E398" i="26"/>
  <c r="F398" i="26" s="1"/>
  <c r="R398" i="26"/>
  <c r="S398" i="26"/>
  <c r="T398" i="26"/>
  <c r="V398" i="26"/>
  <c r="Y398" i="26"/>
  <c r="U380" i="26" l="1"/>
  <c r="U373" i="26"/>
  <c r="U288" i="26"/>
  <c r="U279" i="26"/>
  <c r="U267" i="26"/>
  <c r="U260" i="26"/>
  <c r="U198" i="26"/>
  <c r="U177" i="26"/>
  <c r="U153" i="26"/>
  <c r="U245" i="26"/>
  <c r="U154" i="26"/>
  <c r="U323" i="26"/>
  <c r="U156" i="26"/>
  <c r="U128" i="26"/>
  <c r="U119" i="26"/>
  <c r="U233" i="26"/>
  <c r="U171" i="26"/>
  <c r="U162" i="26"/>
  <c r="U98" i="26"/>
  <c r="U89" i="26"/>
  <c r="U78" i="26"/>
  <c r="U67" i="26"/>
  <c r="U55" i="26"/>
  <c r="U299" i="26"/>
  <c r="U163" i="26"/>
  <c r="U120" i="26"/>
  <c r="U80" i="26"/>
  <c r="U68" i="26"/>
  <c r="U41" i="26"/>
  <c r="U36" i="26"/>
  <c r="U27" i="26"/>
  <c r="U320" i="26"/>
  <c r="U300" i="26"/>
  <c r="U144" i="26"/>
  <c r="U113" i="26"/>
  <c r="U83" i="26"/>
  <c r="U26" i="26"/>
  <c r="U377" i="26"/>
  <c r="U354" i="26"/>
  <c r="U317" i="26"/>
  <c r="U304" i="26"/>
  <c r="U295" i="26"/>
  <c r="U286" i="26"/>
  <c r="U228" i="26"/>
  <c r="U221" i="26"/>
  <c r="U189" i="26"/>
  <c r="U12" i="26"/>
  <c r="U11" i="26"/>
  <c r="U9" i="26"/>
  <c r="U387" i="26"/>
  <c r="U370" i="26"/>
  <c r="U355" i="26"/>
  <c r="U345" i="26"/>
  <c r="U325" i="26"/>
  <c r="U318" i="26"/>
  <c r="U305" i="26"/>
  <c r="U296" i="26"/>
  <c r="U287" i="26"/>
  <c r="U256" i="26"/>
  <c r="U227" i="26"/>
  <c r="U223" i="26"/>
  <c r="U167" i="26"/>
  <c r="U161" i="26"/>
  <c r="U99" i="26"/>
  <c r="U88" i="26"/>
  <c r="U66" i="26"/>
  <c r="U42" i="26"/>
  <c r="U358" i="26"/>
  <c r="U357" i="26"/>
  <c r="U346" i="26"/>
  <c r="U319" i="26"/>
  <c r="U312" i="26"/>
  <c r="U265" i="26"/>
  <c r="U257" i="26"/>
  <c r="U197" i="26"/>
  <c r="U180" i="26"/>
  <c r="U54" i="26"/>
  <c r="U43" i="26"/>
  <c r="U235" i="26"/>
  <c r="U220" i="26"/>
  <c r="U209" i="26"/>
  <c r="U200" i="26"/>
  <c r="U69" i="26"/>
  <c r="U60" i="26"/>
  <c r="U30" i="26"/>
  <c r="U314" i="26"/>
  <c r="U270" i="26"/>
  <c r="U268" i="26"/>
  <c r="U255" i="26"/>
  <c r="U73" i="26"/>
  <c r="U25" i="26"/>
  <c r="U24" i="26"/>
  <c r="U339" i="26"/>
  <c r="U366" i="26"/>
  <c r="U261" i="26"/>
  <c r="U239" i="26"/>
  <c r="U218" i="26"/>
  <c r="U172" i="26"/>
  <c r="U142" i="26"/>
  <c r="U129" i="26"/>
  <c r="U127" i="26"/>
  <c r="U95" i="26"/>
  <c r="U79" i="26"/>
  <c r="U74" i="26"/>
  <c r="U19" i="26"/>
  <c r="U14" i="26"/>
  <c r="U375" i="26"/>
  <c r="U340" i="26"/>
  <c r="U321" i="26"/>
  <c r="U315" i="26"/>
  <c r="U376" i="26"/>
  <c r="U368" i="26"/>
  <c r="U361" i="26"/>
  <c r="U344" i="26"/>
  <c r="U322" i="26"/>
  <c r="U310" i="26"/>
  <c r="U303" i="26"/>
  <c r="U294" i="26"/>
  <c r="U262" i="26"/>
  <c r="U246" i="26"/>
  <c r="U240" i="26"/>
  <c r="U143" i="26"/>
  <c r="U96" i="26"/>
  <c r="U16" i="26"/>
  <c r="U342" i="26"/>
  <c r="U187" i="26"/>
  <c r="U379" i="26"/>
  <c r="U372" i="26"/>
  <c r="U364" i="26"/>
  <c r="U332" i="26"/>
  <c r="U328" i="26"/>
  <c r="U392" i="26"/>
  <c r="U397" i="26"/>
  <c r="U396" i="26"/>
  <c r="U395" i="26"/>
  <c r="U394" i="26"/>
  <c r="U393" i="26"/>
  <c r="U389" i="26"/>
  <c r="U388" i="26"/>
  <c r="U398" i="26"/>
  <c r="U383" i="26"/>
  <c r="U374" i="26"/>
  <c r="U365" i="26"/>
  <c r="U329" i="26"/>
  <c r="U308" i="26"/>
  <c r="U266" i="26"/>
  <c r="U225" i="26"/>
  <c r="U369" i="26"/>
  <c r="U230" i="26"/>
  <c r="U306" i="26"/>
  <c r="U258" i="26"/>
  <c r="U382" i="26"/>
  <c r="U381" i="26"/>
  <c r="U343" i="26"/>
  <c r="U341" i="26"/>
  <c r="U338" i="26"/>
  <c r="U337" i="26"/>
  <c r="U324" i="26"/>
  <c r="U316" i="26"/>
  <c r="U307" i="26"/>
  <c r="U302" i="26"/>
  <c r="U301" i="26"/>
  <c r="U277" i="26"/>
  <c r="U259" i="26"/>
  <c r="U242" i="26"/>
  <c r="U217" i="26"/>
  <c r="U194" i="26"/>
  <c r="U188" i="26"/>
  <c r="U184" i="26"/>
  <c r="U183" i="26"/>
  <c r="U146" i="26"/>
  <c r="U141" i="26"/>
  <c r="U140" i="26"/>
  <c r="U134" i="26"/>
  <c r="U133" i="26"/>
  <c r="U101" i="26"/>
  <c r="U94" i="26"/>
  <c r="U93" i="26"/>
  <c r="U72" i="26"/>
  <c r="U71" i="26"/>
  <c r="U70" i="26"/>
  <c r="U58" i="26"/>
  <c r="U44" i="26"/>
  <c r="U29" i="26"/>
  <c r="U28" i="26"/>
  <c r="U23" i="26"/>
  <c r="U5" i="26"/>
  <c r="U4" i="26"/>
  <c r="U3" i="26"/>
  <c r="U363" i="26"/>
  <c r="U349" i="26"/>
  <c r="U333" i="26"/>
  <c r="U327" i="26"/>
  <c r="U326" i="26"/>
  <c r="U309" i="26"/>
  <c r="U282" i="26"/>
  <c r="U280" i="26"/>
  <c r="U263" i="26"/>
  <c r="U254" i="26"/>
  <c r="U219" i="26"/>
  <c r="U205" i="26"/>
  <c r="U199" i="26"/>
  <c r="U165" i="26"/>
  <c r="U164" i="26"/>
  <c r="U158" i="26"/>
  <c r="U155" i="26"/>
  <c r="U148" i="26"/>
  <c r="U136" i="26"/>
  <c r="U112" i="26"/>
  <c r="U102" i="26"/>
  <c r="U75" i="26"/>
  <c r="U40" i="26"/>
  <c r="U39" i="26"/>
  <c r="U38" i="26"/>
  <c r="U281" i="26"/>
  <c r="U264" i="26"/>
  <c r="U231" i="26"/>
  <c r="U226" i="26"/>
  <c r="U224" i="26"/>
  <c r="U210" i="26"/>
  <c r="U191" i="26"/>
  <c r="U190" i="26"/>
  <c r="U150" i="26"/>
  <c r="U149" i="26"/>
  <c r="U123" i="26"/>
  <c r="U115" i="26"/>
  <c r="U114" i="26"/>
  <c r="U81" i="26"/>
  <c r="U76" i="26"/>
  <c r="U37" i="26"/>
  <c r="U367" i="26"/>
  <c r="U351" i="26"/>
  <c r="U347" i="26"/>
  <c r="U335" i="26"/>
  <c r="U334" i="26"/>
  <c r="U311" i="26"/>
  <c r="U289" i="26"/>
  <c r="U283" i="26"/>
  <c r="U275" i="26"/>
  <c r="U243" i="26"/>
  <c r="U234" i="26"/>
  <c r="U232" i="26"/>
  <c r="U212" i="26"/>
  <c r="U206" i="26"/>
  <c r="U195" i="26"/>
  <c r="U192" i="26"/>
  <c r="U179" i="26"/>
  <c r="U174" i="26"/>
  <c r="U173" i="26"/>
  <c r="U160" i="26"/>
  <c r="U159" i="26"/>
  <c r="U157" i="26"/>
  <c r="U152" i="26"/>
  <c r="U151" i="26"/>
  <c r="U116" i="26"/>
  <c r="U110" i="26"/>
  <c r="U104" i="26"/>
  <c r="U103" i="26"/>
  <c r="U82" i="26"/>
  <c r="U77" i="26"/>
  <c r="U49" i="26"/>
  <c r="U34" i="26"/>
  <c r="U32" i="26"/>
  <c r="U18" i="26"/>
  <c r="U17" i="26"/>
  <c r="U8" i="26"/>
  <c r="U297" i="26"/>
  <c r="U291" i="26"/>
  <c r="U290" i="26"/>
  <c r="U285" i="26"/>
  <c r="U284" i="26"/>
  <c r="U244" i="26"/>
  <c r="U201" i="26"/>
  <c r="U176" i="26"/>
  <c r="U175" i="26"/>
  <c r="U137" i="26"/>
  <c r="U130" i="26"/>
  <c r="U125" i="26"/>
  <c r="U124" i="26"/>
  <c r="U118" i="26"/>
  <c r="U117" i="26"/>
  <c r="U109" i="26"/>
  <c r="U106" i="26"/>
  <c r="U105" i="26"/>
  <c r="U91" i="26"/>
  <c r="U85" i="26"/>
  <c r="U84" i="26"/>
  <c r="U62" i="26"/>
  <c r="U48" i="26"/>
  <c r="U33" i="26"/>
  <c r="U356" i="26"/>
  <c r="U378" i="26"/>
  <c r="U371" i="26"/>
  <c r="U359" i="26"/>
  <c r="U353" i="26"/>
  <c r="U352" i="26"/>
  <c r="U348" i="26"/>
  <c r="U336" i="26"/>
  <c r="U313" i="26"/>
  <c r="U298" i="26"/>
  <c r="U293" i="26"/>
  <c r="U292" i="26"/>
  <c r="U276" i="26"/>
  <c r="U272" i="26"/>
  <c r="U271" i="26"/>
  <c r="U269" i="26"/>
  <c r="U229" i="26"/>
  <c r="U207" i="26"/>
  <c r="U203" i="26"/>
  <c r="U196" i="26"/>
  <c r="U193" i="26"/>
  <c r="U185" i="26"/>
  <c r="U170" i="26"/>
  <c r="U169" i="26"/>
  <c r="U139" i="26"/>
  <c r="U138" i="26"/>
  <c r="U135" i="26"/>
  <c r="U126" i="26"/>
  <c r="U122" i="26"/>
  <c r="U111" i="26"/>
  <c r="U90" i="26"/>
  <c r="U87" i="26"/>
  <c r="U86" i="26"/>
  <c r="U64" i="26"/>
  <c r="U63" i="26"/>
  <c r="U61" i="26"/>
  <c r="U57" i="26"/>
  <c r="U51" i="26"/>
  <c r="U50" i="26"/>
  <c r="U46" i="26"/>
  <c r="U22" i="26"/>
  <c r="U20" i="26"/>
  <c r="U222" i="26"/>
  <c r="U186" i="26"/>
  <c r="U182" i="26"/>
  <c r="U181" i="26"/>
  <c r="U145" i="26"/>
  <c r="U132" i="26"/>
  <c r="U131" i="26"/>
  <c r="U97" i="26"/>
  <c r="U92" i="26"/>
  <c r="U59" i="26"/>
  <c r="U56" i="26"/>
  <c r="U52" i="26"/>
  <c r="U45" i="26"/>
  <c r="U21" i="26"/>
  <c r="U15" i="26"/>
  <c r="U252" i="26"/>
  <c r="U211" i="26"/>
  <c r="U208" i="26"/>
  <c r="U253" i="26"/>
  <c r="U237" i="26"/>
  <c r="U236" i="26"/>
  <c r="U216" i="26"/>
  <c r="U202" i="26"/>
  <c r="X399" i="1"/>
  <c r="U278" i="26"/>
  <c r="U251" i="26"/>
  <c r="U204" i="26"/>
  <c r="X357" i="1"/>
  <c r="X280" i="1"/>
  <c r="X328" i="1"/>
  <c r="X270" i="1"/>
  <c r="X263" i="1"/>
  <c r="X251" i="1"/>
  <c r="X373" i="1"/>
  <c r="X322" i="1"/>
  <c r="X268" i="1"/>
  <c r="X252" i="1"/>
  <c r="X323" i="1"/>
  <c r="X342" i="1"/>
  <c r="X317" i="1"/>
  <c r="X305" i="1"/>
  <c r="X301" i="1"/>
  <c r="X244" i="1"/>
  <c r="X298" i="1"/>
  <c r="X296" i="1"/>
  <c r="X292" i="1"/>
  <c r="X287" i="1"/>
  <c r="X238" i="1"/>
  <c r="X402" i="1" l="1"/>
  <c r="X403" i="1"/>
  <c r="X400" i="1"/>
  <c r="X401" i="1"/>
  <c r="AG120" i="1"/>
  <c r="AC120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I16" authorId="0" shapeId="0" xr:uid="{5CB110BD-9DDB-43D7-ABFC-1DB33DD93FB1}">
      <text>
        <r>
          <rPr>
            <b/>
            <sz val="9"/>
            <color indexed="81"/>
            <rFont val="Tahoma"/>
            <family val="2"/>
            <charset val="163"/>
          </rPr>
          <t>pc:</t>
        </r>
        <r>
          <rPr>
            <sz val="9"/>
            <color indexed="81"/>
            <rFont val="Tahoma"/>
            <family val="2"/>
            <charset val="163"/>
          </rPr>
          <t xml:space="preserve">
Cử nhân Kinh tế kế toán
</t>
        </r>
      </text>
    </comment>
    <comment ref="H342" authorId="0" shapeId="0" xr:uid="{FEDE6AE8-05CC-46B8-AC94-C98A18522604}">
      <text>
        <r>
          <rPr>
            <b/>
            <sz val="9"/>
            <color indexed="81"/>
            <rFont val="Tahoma"/>
            <family val="2"/>
            <charset val="163"/>
          </rPr>
          <t>pc:</t>
        </r>
        <r>
          <rPr>
            <sz val="9"/>
            <color indexed="81"/>
            <rFont val="Tahoma"/>
            <family val="2"/>
            <charset val="163"/>
          </rPr>
          <t xml:space="preserve">
có qua tgian bộ đội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</author>
  </authors>
  <commentList>
    <comment ref="C1" authorId="0" shapeId="0" xr:uid="{5597BCD2-78EA-499E-B43D-03B5DCD219FD}">
      <text>
        <r>
          <rPr>
            <b/>
            <sz val="9"/>
            <color indexed="81"/>
            <rFont val="Tahoma"/>
            <family val="2"/>
          </rPr>
          <t>Liên kết Vùng để lấy thông tin Lương Tối Thiểu vùng</t>
        </r>
        <r>
          <rPr>
            <sz val="9"/>
            <color indexed="81"/>
            <rFont val="Tahoma"/>
            <family val="2"/>
          </rPr>
          <t xml:space="preserve">
(Sẽ áp dụng cho toàn bộ Nhân sự Lao động thuộc Đơn Vị Bộ Phận)</t>
        </r>
      </text>
    </comment>
    <comment ref="D1" authorId="0" shapeId="0" xr:uid="{ACDD3F66-BF3C-4F2C-807A-C0E968FA0BA5}">
      <text>
        <r>
          <rPr>
            <b/>
            <sz val="9"/>
            <color indexed="81"/>
            <rFont val="Tahoma"/>
            <family val="2"/>
          </rPr>
          <t>Điều chỉnh Hệ số Phụ cấp khu vực cho từng Đơn vị Bộ phận.
(Sẽ áp dụng cho từng Nhân sự Lao động trong Đơn vị Bộ phận tương ứng)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M16" authorId="0" shapeId="0" xr:uid="{5607D919-7F39-4A1B-9927-62EBDDD9272B}">
      <text>
        <r>
          <rPr>
            <b/>
            <sz val="9"/>
            <color indexed="81"/>
            <rFont val="Tahoma"/>
            <family val="2"/>
            <charset val="163"/>
          </rPr>
          <t>pc:</t>
        </r>
        <r>
          <rPr>
            <sz val="9"/>
            <color indexed="81"/>
            <rFont val="Tahoma"/>
            <family val="2"/>
            <charset val="163"/>
          </rPr>
          <t xml:space="preserve">
Cử nhân Kinh tế kế toán
</t>
        </r>
      </text>
    </comment>
    <comment ref="K342" authorId="0" shapeId="0" xr:uid="{B04902CE-9C1D-47F0-9672-06F7F697E6CC}">
      <text>
        <r>
          <rPr>
            <b/>
            <sz val="9"/>
            <color indexed="81"/>
            <rFont val="Tahoma"/>
            <family val="2"/>
            <charset val="163"/>
          </rPr>
          <t>pc:</t>
        </r>
        <r>
          <rPr>
            <sz val="9"/>
            <color indexed="81"/>
            <rFont val="Tahoma"/>
            <family val="2"/>
            <charset val="163"/>
          </rPr>
          <t xml:space="preserve">
có qua tgian bộ đội
</t>
        </r>
      </text>
    </comment>
  </commentList>
</comments>
</file>

<file path=xl/sharedStrings.xml><?xml version="1.0" encoding="utf-8"?>
<sst xmlns="http://schemas.openxmlformats.org/spreadsheetml/2006/main" count="14782" uniqueCount="3683">
  <si>
    <t>Chức danh</t>
  </si>
  <si>
    <t>Đơn vị</t>
  </si>
  <si>
    <t>Phân loại
lao động</t>
  </si>
  <si>
    <t>Bậc</t>
  </si>
  <si>
    <t>Nơi đăng ký KCB</t>
  </si>
  <si>
    <t>Nơi sinh
giấy KS</t>
  </si>
  <si>
    <t>Dương Ngọc Thắng</t>
  </si>
  <si>
    <t>Uông Nhật Phương</t>
  </si>
  <si>
    <t>Ngô Thị Loan</t>
  </si>
  <si>
    <t>Trần Anh Tuấn</t>
  </si>
  <si>
    <t>Trần Anh Văn</t>
  </si>
  <si>
    <t>Hà Trung Hiếu</t>
  </si>
  <si>
    <t>Nguyễn Hoàng Long</t>
  </si>
  <si>
    <t>Đoàn Duy Khang</t>
  </si>
  <si>
    <t>Đào Xuân Đông</t>
  </si>
  <si>
    <t>Huỳnh Trọng Hiệp</t>
  </si>
  <si>
    <t>Trần Đức Cường</t>
  </si>
  <si>
    <t>Bùi Duy Giáp</t>
  </si>
  <si>
    <t>Nguyễn Văn Dũng</t>
  </si>
  <si>
    <t>Đào Hải Duyên</t>
  </si>
  <si>
    <t>Nguyễn Xuân Hùng</t>
  </si>
  <si>
    <t>Đinh Thị Hằng</t>
  </si>
  <si>
    <t>Vũ Văn Thảo</t>
  </si>
  <si>
    <t>Phạm Công Thành</t>
  </si>
  <si>
    <t>Lương Lê Duy Vũ</t>
  </si>
  <si>
    <t>Vũ Quang Sáp</t>
  </si>
  <si>
    <t>Phòng TCHC</t>
  </si>
  <si>
    <t>Phòng kinh doanh</t>
  </si>
  <si>
    <t>Phòng TCKT</t>
  </si>
  <si>
    <t>Phòng KHVT</t>
  </si>
  <si>
    <t>Giám đốc</t>
  </si>
  <si>
    <t>Phó giám đốc</t>
  </si>
  <si>
    <t>Trưởng ban</t>
  </si>
  <si>
    <t>Phó phòng</t>
  </si>
  <si>
    <t>Chuyên viên</t>
  </si>
  <si>
    <t>Trưởng phòng</t>
  </si>
  <si>
    <t>Nhân viên</t>
  </si>
  <si>
    <t>Tổ trưởng</t>
  </si>
  <si>
    <t>Nhân viên lái xe</t>
  </si>
  <si>
    <t xml:space="preserve"> Bảo Vệ</t>
  </si>
  <si>
    <t>Kế toán</t>
  </si>
  <si>
    <t>Gián tiếp</t>
  </si>
  <si>
    <t>NQL</t>
  </si>
  <si>
    <t>Bổ trợ</t>
  </si>
  <si>
    <t>22/10/1986</t>
  </si>
  <si>
    <t>31/10/1976</t>
  </si>
  <si>
    <t>07/07/1965</t>
  </si>
  <si>
    <t>30/10/1974</t>
  </si>
  <si>
    <t>05/01/1979</t>
  </si>
  <si>
    <t>24/09/1983</t>
  </si>
  <si>
    <t>01/09/1982</t>
  </si>
  <si>
    <t>24/05/1986</t>
  </si>
  <si>
    <t>03/11/1983</t>
  </si>
  <si>
    <t>12/12/1981</t>
  </si>
  <si>
    <t>20/02/1982</t>
  </si>
  <si>
    <t>10/02/1966</t>
  </si>
  <si>
    <t>25/08/1979</t>
  </si>
  <si>
    <t>25/07/1973</t>
  </si>
  <si>
    <t>07/03/1970</t>
  </si>
  <si>
    <t>17/11/1976</t>
  </si>
  <si>
    <t>10/10/1985</t>
  </si>
  <si>
    <t>17/02/1974</t>
  </si>
  <si>
    <t>15/01/1978</t>
  </si>
  <si>
    <t>21/09/1976</t>
  </si>
  <si>
    <t>02/11/1983</t>
  </si>
  <si>
    <t>19/04/1975</t>
  </si>
  <si>
    <t>04/08/1975</t>
  </si>
  <si>
    <t>30/01/1979</t>
  </si>
  <si>
    <t>26/09/1981</t>
  </si>
  <si>
    <t>11/07/1968</t>
  </si>
  <si>
    <t>2/2</t>
  </si>
  <si>
    <t>3/5</t>
  </si>
  <si>
    <t>2/5</t>
  </si>
  <si>
    <t>1/5</t>
  </si>
  <si>
    <t>5/5</t>
  </si>
  <si>
    <t>4/4</t>
  </si>
  <si>
    <t>4/5</t>
  </si>
  <si>
    <t>6/6</t>
  </si>
  <si>
    <t>Giấy phép lái xe</t>
  </si>
  <si>
    <t>Kỹ sư thông tin</t>
  </si>
  <si>
    <t>Cử nhân kinh tế kế toán</t>
  </si>
  <si>
    <t>Kỹ sư kỹ thuật thông tin</t>
  </si>
  <si>
    <t>Kỹ sư viễn thông</t>
  </si>
  <si>
    <t>Đại học</t>
  </si>
  <si>
    <t>Trên ĐH</t>
  </si>
  <si>
    <t>Cao đẳng</t>
  </si>
  <si>
    <t>Trung cấp</t>
  </si>
  <si>
    <t>Sơ cấp - CNKT</t>
  </si>
  <si>
    <t>Kỹ sư tín hiệu giao thông</t>
  </si>
  <si>
    <t>Kỹ sư công nghệ thông tin</t>
  </si>
  <si>
    <t>Cử nhân kinh tế</t>
  </si>
  <si>
    <t>Cử nhân cao đẳng tin học</t>
  </si>
  <si>
    <t>Cử nhân Luật</t>
  </si>
  <si>
    <t>Thông tin tín hiệu</t>
  </si>
  <si>
    <t>Công nhân kỹ thuật cơ khí hàn tiện</t>
  </si>
  <si>
    <t>Kỹ sư kỹ thuật điện tử</t>
  </si>
  <si>
    <t>Cử nhân Quản trị kinh doanh</t>
  </si>
  <si>
    <t>Kỹ sư kỹ thuật viễn thông</t>
  </si>
  <si>
    <t>Phan Thái Mạnh</t>
  </si>
  <si>
    <t>Nguyễn Hồng Anh</t>
  </si>
  <si>
    <t>Đỗ Thành Kông</t>
  </si>
  <si>
    <t>Trần Văn Chương</t>
  </si>
  <si>
    <t>Phùng Minh Tùng</t>
  </si>
  <si>
    <t>Trần Văn Hiếu</t>
  </si>
  <si>
    <t>Nguyễn Ngọc Tưởng</t>
  </si>
  <si>
    <t>Trần Văn Duy</t>
  </si>
  <si>
    <t>Phạm Văn Tài</t>
  </si>
  <si>
    <t>Lê Khắc Vũ</t>
  </si>
  <si>
    <t>Nguyễn Tài Phú</t>
  </si>
  <si>
    <t>Nguyễn Hoàng Bảo Chí</t>
  </si>
  <si>
    <t>Nguyễn Hải Long</t>
  </si>
  <si>
    <t>Trần Thị Kim Hoa</t>
  </si>
  <si>
    <t>Đoàn Thế Thanh Lộc</t>
  </si>
  <si>
    <t>Tạ Quang Lục</t>
  </si>
  <si>
    <t>Trương Việt Tiến</t>
  </si>
  <si>
    <t>Nguyễn Tú Long</t>
  </si>
  <si>
    <t>Đỗ Văn Lâm</t>
  </si>
  <si>
    <t>Nguyễn Thanh Hải</t>
  </si>
  <si>
    <t>Lê Thanh Tịnh</t>
  </si>
  <si>
    <t>Đinh Thị Hà</t>
  </si>
  <si>
    <t>Nguyễn Thị Tài</t>
  </si>
  <si>
    <t>Trịnh Thế Anh</t>
  </si>
  <si>
    <t>Uông Nhật Sáng</t>
  </si>
  <si>
    <t>Nguyễn Thị Phúc Hạnh</t>
  </si>
  <si>
    <t>Nguyễn Văn Bản</t>
  </si>
  <si>
    <t>Phạm Hà Lan Viên</t>
  </si>
  <si>
    <t>Trương Thị Kim Anh</t>
  </si>
  <si>
    <t>Vũ Văn Tuân</t>
  </si>
  <si>
    <t>Nguyễn Văn Minh</t>
  </si>
  <si>
    <t>Dương Ngọc Tú</t>
  </si>
  <si>
    <t>Phạm Đình Quốc</t>
  </si>
  <si>
    <t>Nguyễn Minh Hải</t>
  </si>
  <si>
    <t>Bùi Văn Khương</t>
  </si>
  <si>
    <t>Nguyễn Gia Văn</t>
  </si>
  <si>
    <t>Trần Trọng Hùng</t>
  </si>
  <si>
    <t>Bùi Công Mạnh</t>
  </si>
  <si>
    <t>Nguyễn Du</t>
  </si>
  <si>
    <t>Nguyễn Hoàng Anh</t>
  </si>
  <si>
    <t>Lê Quang Vinh</t>
  </si>
  <si>
    <t>Vũ Đình Lâm</t>
  </si>
  <si>
    <t>Nguyễn Văn An</t>
  </si>
  <si>
    <t>Lê Đồng</t>
  </si>
  <si>
    <t>Khương Văn Toàn</t>
  </si>
  <si>
    <t>Trịnh Quang Huy</t>
  </si>
  <si>
    <t>Phan Văn Phái</t>
  </si>
  <si>
    <t>Phạm Văn Huyên</t>
  </si>
  <si>
    <t>Phan Xuân Thìn</t>
  </si>
  <si>
    <t>Bùi Nhật Thành</t>
  </si>
  <si>
    <t>Nguyễn Doãn Sơn</t>
  </si>
  <si>
    <t>Trần Văn Đoàn</t>
  </si>
  <si>
    <t>Đỗ Bá Cường</t>
  </si>
  <si>
    <t>Nguyễn Hoàng Việt</t>
  </si>
  <si>
    <t>15/12/1974</t>
  </si>
  <si>
    <t>20/10/1983</t>
  </si>
  <si>
    <t>12/10/1988</t>
  </si>
  <si>
    <t>10/06/1976</t>
  </si>
  <si>
    <t>27/07/1981</t>
  </si>
  <si>
    <t>25/06/1987</t>
  </si>
  <si>
    <t>01/10/1973</t>
  </si>
  <si>
    <t>26/01/1976</t>
  </si>
  <si>
    <t>Đậu Trường Thành</t>
  </si>
  <si>
    <t>Phạm Tương Long Bảo</t>
  </si>
  <si>
    <t>Lê Lương Hoàng</t>
  </si>
  <si>
    <t>Nguyễn Quốc Chiến</t>
  </si>
  <si>
    <t>Lê Thị Hồng Huệ</t>
  </si>
  <si>
    <t>Phạm Trung Kết</t>
  </si>
  <si>
    <t>Trần Quang Nghiêm</t>
  </si>
  <si>
    <t>Nguyễn Quốc Thắng</t>
  </si>
  <si>
    <t>Lê Quang Tùng</t>
  </si>
  <si>
    <t>Bùi Hồng Phương</t>
  </si>
  <si>
    <t>Nguyễn Thị Tuyết Trinh</t>
  </si>
  <si>
    <t>Nguyễn Thanh Tiến</t>
  </si>
  <si>
    <t>Vũ Mạnh Hùng</t>
  </si>
  <si>
    <t>Phan Quốc Mạnh</t>
  </si>
  <si>
    <t>Phạm Văn Đính</t>
  </si>
  <si>
    <t>Nguyễn Đăng An</t>
  </si>
  <si>
    <t>Vũ Xuân Toán</t>
  </si>
  <si>
    <t>Đồng Thành Đoàn</t>
  </si>
  <si>
    <t>Đinh Văn Tỉnh</t>
  </si>
  <si>
    <t>Nguyễn Thị Thu Vân</t>
  </si>
  <si>
    <t>Lê Thị Mỹ Vân</t>
  </si>
  <si>
    <t>Lương Quốc Dũng</t>
  </si>
  <si>
    <t>Lý Tiến Sỹ</t>
  </si>
  <si>
    <t>Trần Văn Nguyên</t>
  </si>
  <si>
    <t>Phan Quý Mạnh</t>
  </si>
  <si>
    <t>Nguyễn Xuân Thế</t>
  </si>
  <si>
    <t>Ngô Cự Sang</t>
  </si>
  <si>
    <t>Đặng Đức Hùng</t>
  </si>
  <si>
    <t>Nguyễn Trọng Nhân</t>
  </si>
  <si>
    <t>Nguyễn Thanh Hào</t>
  </si>
  <si>
    <t>Nguyễn Thanh Tú</t>
  </si>
  <si>
    <t>Phạm Tiến Mạnh</t>
  </si>
  <si>
    <t>Nguyễn Chí Tánh</t>
  </si>
  <si>
    <t>Lưu Công Luân</t>
  </si>
  <si>
    <t>Hoàng Kim Rạng</t>
  </si>
  <si>
    <t>Trần Văn Nghị</t>
  </si>
  <si>
    <t>Dương Anh Nam</t>
  </si>
  <si>
    <t>Nguyễn Đăng Nghĩa</t>
  </si>
  <si>
    <t>Đỗ Xuân Ninh</t>
  </si>
  <si>
    <t>Võ Ngọc Trai</t>
  </si>
  <si>
    <t>Đỗ Chí Cường</t>
  </si>
  <si>
    <t>Trần Ngọc Nam</t>
  </si>
  <si>
    <t>Mai Xuân Thức</t>
  </si>
  <si>
    <t>Nguyễn Hoàng Duy</t>
  </si>
  <si>
    <t>Phương Hoài</t>
  </si>
  <si>
    <t>Phạm Huy Hoàng</t>
  </si>
  <si>
    <t>Đặng Xuân Thư</t>
  </si>
  <si>
    <t>Nguyễn Thế Mạnh</t>
  </si>
  <si>
    <t>Lê Ngọc Dũng</t>
  </si>
  <si>
    <t>Võ Thành Công</t>
  </si>
  <si>
    <t>Đặng Bá Lâm</t>
  </si>
  <si>
    <t>Võ Công Tương</t>
  </si>
  <si>
    <t>Phan Đình Long</t>
  </si>
  <si>
    <t>Mai Thành Long</t>
  </si>
  <si>
    <t>Phạm Minh Duy</t>
  </si>
  <si>
    <t>Đỗ Cao Mầu</t>
  </si>
  <si>
    <t>Thái Hoàng Huy</t>
  </si>
  <si>
    <t>Bùi Đình Thăng</t>
  </si>
  <si>
    <t>Phan Đình Tuấn</t>
  </si>
  <si>
    <t>Lò Văn Tứ</t>
  </si>
  <si>
    <t>Phùng Minh Thanh</t>
  </si>
  <si>
    <t>Nguyễn Trung Lương</t>
  </si>
  <si>
    <t>Trương Quang Hải</t>
  </si>
  <si>
    <t>Trần Dự Sang</t>
  </si>
  <si>
    <t>Lưu Đức Thắng</t>
  </si>
  <si>
    <t>Nguyễn Linh Chi</t>
  </si>
  <si>
    <t>Nguyễn Văn Bình</t>
  </si>
  <si>
    <t>Lưu Bích Hồng</t>
  </si>
  <si>
    <t>Trần Thị Diệu Hòa</t>
  </si>
  <si>
    <t>Võ Văn Hiển</t>
  </si>
  <si>
    <t>Mai Văn Hiệp</t>
  </si>
  <si>
    <t>Nguyễn Khải Thuận</t>
  </si>
  <si>
    <t>Hồ Thị Kiều Vy</t>
  </si>
  <si>
    <t>Phạm Thị Hường</t>
  </si>
  <si>
    <t>Nguyễn Đức Vũ</t>
  </si>
  <si>
    <t>Bùi Nguyễn Trúc Linh</t>
  </si>
  <si>
    <t>Lê Thị Ngọc Mai</t>
  </si>
  <si>
    <t>Lê Thị Mộng Thu</t>
  </si>
  <si>
    <t>Nguyễn Huỳnh Hữu Hậu</t>
  </si>
  <si>
    <t>Nguyễn Trọng Bảy</t>
  </si>
  <si>
    <t>Võ Văn Vận</t>
  </si>
  <si>
    <t>Dương Bình Thi</t>
  </si>
  <si>
    <t>Nguyễn Văn Hoàng</t>
  </si>
  <si>
    <t>Lê Hồng Vinh</t>
  </si>
  <si>
    <t>Nguyễn Trọng Vương</t>
  </si>
  <si>
    <t>Phạm Minh Thơ</t>
  </si>
  <si>
    <t>Nguyễn Thành Niên</t>
  </si>
  <si>
    <t>Võ Thanh Đồng</t>
  </si>
  <si>
    <t>Võ Quang Thịnh</t>
  </si>
  <si>
    <t>Nguyễn Xuân Quang</t>
  </si>
  <si>
    <t>Lương Công Tín</t>
  </si>
  <si>
    <t>Nguyễn Thanh Trí</t>
  </si>
  <si>
    <t>Lê Huy Tường</t>
  </si>
  <si>
    <t>Lê Trung Thắng</t>
  </si>
  <si>
    <t>Nguyễn Công Sơn</t>
  </si>
  <si>
    <t>Nguyễn Văn Tươi</t>
  </si>
  <si>
    <t>Nguyễn Vĩnh Phúc</t>
  </si>
  <si>
    <t>Dương Tấn Bảo</t>
  </si>
  <si>
    <t>Đinh Văn Thanh</t>
  </si>
  <si>
    <t>Trần Đình Phi</t>
  </si>
  <si>
    <t>Nguyễn Công Sanh</t>
  </si>
  <si>
    <t>Nguyễn Thanh Nhân</t>
  </si>
  <si>
    <t>Trần Văn Đức</t>
  </si>
  <si>
    <t>Trần Quốc Dũng</t>
  </si>
  <si>
    <t>Nguyễn Hà Kim Long</t>
  </si>
  <si>
    <t>Nguyễn Anh Tú</t>
  </si>
  <si>
    <t>Mai Văn Thống</t>
  </si>
  <si>
    <t>Huỳnh Tiên Tri</t>
  </si>
  <si>
    <t>Vương Tứ Hậu</t>
  </si>
  <si>
    <t>Phạm Ngọc Tuyền</t>
  </si>
  <si>
    <t>Dương Tuấn Mỹ</t>
  </si>
  <si>
    <t>Dương Tùng Lâm</t>
  </si>
  <si>
    <t>Tô Việt Thông</t>
  </si>
  <si>
    <t>Lê Nguyên Lộc</t>
  </si>
  <si>
    <t>Nguyễn Đức Khoa</t>
  </si>
  <si>
    <t>Nguyễn Quang Thuấn</t>
  </si>
  <si>
    <t>Nguyễn Dương Chí Hoàng</t>
  </si>
  <si>
    <t>Trạm Kiểm tu NT</t>
  </si>
  <si>
    <t>PGĐ kiêm GSKT</t>
  </si>
  <si>
    <t>GSKT</t>
  </si>
  <si>
    <t>TKê,VT,Tkho</t>
  </si>
  <si>
    <t>Công nhân</t>
  </si>
  <si>
    <t>Trạm trưởng</t>
  </si>
  <si>
    <t>Trạm phó</t>
  </si>
  <si>
    <t>Cung Trưởng</t>
  </si>
  <si>
    <t>Cung phó</t>
  </si>
  <si>
    <t>Cung trưởng</t>
  </si>
  <si>
    <t>Trực tiếp</t>
  </si>
  <si>
    <t>Lái xe</t>
  </si>
  <si>
    <t>Tạ Văn Yạch</t>
  </si>
  <si>
    <t>Trần Thụy Diễm Hằng</t>
  </si>
  <si>
    <t>Đàm Ngọc Mẫn</t>
  </si>
  <si>
    <t>Nguyễn Mai Phương</t>
  </si>
  <si>
    <t>Nguyễn Minh Phương</t>
  </si>
  <si>
    <t>Đoàn Ngọc Phước</t>
  </si>
  <si>
    <t>Cao Hòa Thanh</t>
  </si>
  <si>
    <t>Ngô Quang Khởi</t>
  </si>
  <si>
    <t>26/04/1988</t>
  </si>
  <si>
    <t>30/08/1976</t>
  </si>
  <si>
    <t>08/06/1986</t>
  </si>
  <si>
    <t>03/01/1985</t>
  </si>
  <si>
    <t>30/04/1984</t>
  </si>
  <si>
    <t>27/03/1985</t>
  </si>
  <si>
    <t>30/10/1978</t>
  </si>
  <si>
    <t>23/09/1978</t>
  </si>
  <si>
    <t>11/11/1982</t>
  </si>
  <si>
    <t>22/05/1983</t>
  </si>
  <si>
    <t>13/08/1974</t>
  </si>
  <si>
    <t>11/04/1984</t>
  </si>
  <si>
    <t>16/11/1979</t>
  </si>
  <si>
    <t>06/05/1983</t>
  </si>
  <si>
    <t>21/05/1989</t>
  </si>
  <si>
    <t>28/07/1984</t>
  </si>
  <si>
    <t>30/09/1985</t>
  </si>
  <si>
    <t>14/01/1982</t>
  </si>
  <si>
    <t>03/04/1972</t>
  </si>
  <si>
    <t>20/01/1970</t>
  </si>
  <si>
    <t>06/06/1974</t>
  </si>
  <si>
    <t>13/06/1988</t>
  </si>
  <si>
    <t>21/09/1986</t>
  </si>
  <si>
    <t>08/09/1987</t>
  </si>
  <si>
    <t>16/03/1967</t>
  </si>
  <si>
    <t>08/02/1980</t>
  </si>
  <si>
    <t>22/04/1982</t>
  </si>
  <si>
    <t>12/03/1971</t>
  </si>
  <si>
    <t>30/03/1974</t>
  </si>
  <si>
    <t>05/04/1973</t>
  </si>
  <si>
    <t>23/10/1985</t>
  </si>
  <si>
    <t>03/02/1988</t>
  </si>
  <si>
    <t>24/01/1974</t>
  </si>
  <si>
    <t>17/08/1973</t>
  </si>
  <si>
    <t>11/12/1986</t>
  </si>
  <si>
    <t>18/04/1974</t>
  </si>
  <si>
    <t>12/03/1976</t>
  </si>
  <si>
    <t>10/09/1984</t>
  </si>
  <si>
    <t>15/01/1973</t>
  </si>
  <si>
    <t>10/10/1977</t>
  </si>
  <si>
    <t>06/02/1976</t>
  </si>
  <si>
    <t>10/02/1971</t>
  </si>
  <si>
    <t>20/01/1981</t>
  </si>
  <si>
    <t>07/09/1976</t>
  </si>
  <si>
    <t>20/09/1970</t>
  </si>
  <si>
    <t>02/07/1981</t>
  </si>
  <si>
    <t>01/05/1993</t>
  </si>
  <si>
    <t>10/09/1993</t>
  </si>
  <si>
    <t>17/05/1981</t>
  </si>
  <si>
    <t>15/08/1971</t>
  </si>
  <si>
    <t>06/03/1972</t>
  </si>
  <si>
    <t>08/10/1970</t>
  </si>
  <si>
    <t>10/06/1972</t>
  </si>
  <si>
    <t>22/09/1984</t>
  </si>
  <si>
    <t>31/08/1988</t>
  </si>
  <si>
    <t>26/10/1993</t>
  </si>
  <si>
    <t>07/10/1980</t>
  </si>
  <si>
    <t>25/08/1970</t>
  </si>
  <si>
    <t>10/03/1989</t>
  </si>
  <si>
    <t>12/03/1972</t>
  </si>
  <si>
    <t>06/12/1975</t>
  </si>
  <si>
    <t>26/03/1972</t>
  </si>
  <si>
    <t>17/03/1971</t>
  </si>
  <si>
    <t>10/11/1973</t>
  </si>
  <si>
    <t>23/06/1976</t>
  </si>
  <si>
    <t>07/10/1978</t>
  </si>
  <si>
    <t>21/07/1990</t>
  </si>
  <si>
    <t>08/06/1971</t>
  </si>
  <si>
    <t>20/07/1985</t>
  </si>
  <si>
    <t>07/07/1986</t>
  </si>
  <si>
    <t>14/07/1967</t>
  </si>
  <si>
    <t>03/05/1981</t>
  </si>
  <si>
    <t>26/10/1975</t>
  </si>
  <si>
    <t>05/08/1982</t>
  </si>
  <si>
    <t>01/05/1979</t>
  </si>
  <si>
    <t>21/12/1972</t>
  </si>
  <si>
    <t>02/06/1974</t>
  </si>
  <si>
    <t>05/11/1984</t>
  </si>
  <si>
    <t>24/08/1986</t>
  </si>
  <si>
    <t>10/10/1988</t>
  </si>
  <si>
    <t>11/09/1974</t>
  </si>
  <si>
    <t>18/10/1972</t>
  </si>
  <si>
    <t>05/09/1972</t>
  </si>
  <si>
    <t>15/12/1972</t>
  </si>
  <si>
    <t>16/02/1978</t>
  </si>
  <si>
    <t>26/12/1972</t>
  </si>
  <si>
    <t>18/05/1988</t>
  </si>
  <si>
    <t>07/01/1972</t>
  </si>
  <si>
    <t>26/03/1975</t>
  </si>
  <si>
    <t>31/10/1971</t>
  </si>
  <si>
    <t>22/12/1982</t>
  </si>
  <si>
    <t>30/09/1984</t>
  </si>
  <si>
    <t>01/01/1994</t>
  </si>
  <si>
    <t>21/10/1977</t>
  </si>
  <si>
    <t>15/10/1972</t>
  </si>
  <si>
    <t>20/11/1993</t>
  </si>
  <si>
    <t>11/06/1970</t>
  </si>
  <si>
    <t>19/07/1987</t>
  </si>
  <si>
    <t>04/04/1976</t>
  </si>
  <si>
    <t>18/04/1973</t>
  </si>
  <si>
    <t>12/07/1982</t>
  </si>
  <si>
    <t>08/01/1987</t>
  </si>
  <si>
    <t>28/02/1990</t>
  </si>
  <si>
    <t>11/07/1976</t>
  </si>
  <si>
    <t>10/10/1973</t>
  </si>
  <si>
    <t>27/01/1975</t>
  </si>
  <si>
    <t>27/03/1983</t>
  </si>
  <si>
    <t>06/10/1971</t>
  </si>
  <si>
    <t>20/12/1975</t>
  </si>
  <si>
    <t>18/12/1974</t>
  </si>
  <si>
    <t>18/08/1971</t>
  </si>
  <si>
    <t>30/12/1982</t>
  </si>
  <si>
    <t>15/06/1981</t>
  </si>
  <si>
    <t>30/06/1994</t>
  </si>
  <si>
    <t>28/12/1994</t>
  </si>
  <si>
    <t>10/07/1975</t>
  </si>
  <si>
    <t>02/06/1975</t>
  </si>
  <si>
    <t>17/02/1978</t>
  </si>
  <si>
    <t>27/10/1984</t>
  </si>
  <si>
    <t>12/05/1988</t>
  </si>
  <si>
    <t>04/08/1994</t>
  </si>
  <si>
    <t>30/10/1972</t>
  </si>
  <si>
    <t>26/09/1987</t>
  </si>
  <si>
    <t>29/03/1989</t>
  </si>
  <si>
    <t>11/05/1988</t>
  </si>
  <si>
    <t>24/08/1989</t>
  </si>
  <si>
    <t>10/04/1971</t>
  </si>
  <si>
    <t>15/12/1970</t>
  </si>
  <si>
    <t>24/07/1976</t>
  </si>
  <si>
    <t>09/09/1993</t>
  </si>
  <si>
    <t>21/08/1974</t>
  </si>
  <si>
    <t>06/01/1977</t>
  </si>
  <si>
    <t>08/11/1968</t>
  </si>
  <si>
    <t>20/01/1971</t>
  </si>
  <si>
    <t>09/11/1978</t>
  </si>
  <si>
    <t>23/05/1984</t>
  </si>
  <si>
    <t>02/09/1980</t>
  </si>
  <si>
    <t>22/01/1988</t>
  </si>
  <si>
    <t>07/10/1979</t>
  </si>
  <si>
    <t>02/02/1982</t>
  </si>
  <si>
    <t>09/07/1985</t>
  </si>
  <si>
    <t>04/11/1974</t>
  </si>
  <si>
    <t>22/08/1971</t>
  </si>
  <si>
    <t>10/08/1981</t>
  </si>
  <si>
    <t>10/04/1983</t>
  </si>
  <si>
    <t>02/06/1976</t>
  </si>
  <si>
    <t>15/12/1981</t>
  </si>
  <si>
    <t>10/10/1972</t>
  </si>
  <si>
    <t>14/04/1980</t>
  </si>
  <si>
    <t>19/10/1981</t>
  </si>
  <si>
    <t>02/01/1975</t>
  </si>
  <si>
    <t>04/04/1986</t>
  </si>
  <si>
    <t>20/06/1984</t>
  </si>
  <si>
    <t>16/03/1985</t>
  </si>
  <si>
    <t>01/01/1978</t>
  </si>
  <si>
    <t>02/05/1987</t>
  </si>
  <si>
    <t>21/10/1986</t>
  </si>
  <si>
    <t>01/07/1983</t>
  </si>
  <si>
    <t>22/11/1972</t>
  </si>
  <si>
    <t>19/05/1973</t>
  </si>
  <si>
    <t>10/11/1986</t>
  </si>
  <si>
    <t>01/08/1992</t>
  </si>
  <si>
    <t>02/05/1970</t>
  </si>
  <si>
    <t>11/06/1973</t>
  </si>
  <si>
    <t>01/02/1971</t>
  </si>
  <si>
    <t>02/10/1970</t>
  </si>
  <si>
    <t>22/01/1991</t>
  </si>
  <si>
    <t>03/03/1994</t>
  </si>
  <si>
    <t>07/07/1970</t>
  </si>
  <si>
    <t>10/12/1977</t>
  </si>
  <si>
    <t>29/01/1979</t>
  </si>
  <si>
    <t>12/04/1989</t>
  </si>
  <si>
    <t>26/11/1976</t>
  </si>
  <si>
    <t>20/02/1986</t>
  </si>
  <si>
    <t>13/10/1975</t>
  </si>
  <si>
    <t>20/02/1978</t>
  </si>
  <si>
    <t>22/11/1973</t>
  </si>
  <si>
    <t>20/10/1991</t>
  </si>
  <si>
    <t>18/09/1988</t>
  </si>
  <si>
    <t>11/08/1975</t>
  </si>
  <si>
    <t>28/12/1974</t>
  </si>
  <si>
    <t>20/06/1987</t>
  </si>
  <si>
    <t>20/02/1991</t>
  </si>
  <si>
    <t>15/12/1994</t>
  </si>
  <si>
    <t>23/12/1972</t>
  </si>
  <si>
    <t>17/05/1977</t>
  </si>
  <si>
    <t>10/03/1970</t>
  </si>
  <si>
    <t>10/09/1988</t>
  </si>
  <si>
    <t>25/11/1994</t>
  </si>
  <si>
    <t>16/03/1994</t>
  </si>
  <si>
    <t>15/01/1987</t>
  </si>
  <si>
    <t>19/09/1977</t>
  </si>
  <si>
    <t>01/10/1972</t>
  </si>
  <si>
    <t>12/11/1977</t>
  </si>
  <si>
    <t>22/08/1970</t>
  </si>
  <si>
    <t>23/09/1988</t>
  </si>
  <si>
    <t>01/06/1988</t>
  </si>
  <si>
    <t>17/12/1969</t>
  </si>
  <si>
    <t>04/02/1972</t>
  </si>
  <si>
    <t>30/08/1973</t>
  </si>
  <si>
    <t>20/10/1973</t>
  </si>
  <si>
    <t>26/07/1986</t>
  </si>
  <si>
    <t>15/02/1992</t>
  </si>
  <si>
    <t>Trạm Thông tin SG</t>
  </si>
  <si>
    <t>Trần Thị Ái Phương</t>
  </si>
  <si>
    <t>Kỹ sư điều khiển học giao thông vận tải</t>
  </si>
  <si>
    <t>CA. Ninh Thuận</t>
  </si>
  <si>
    <t>Trung cấp Thông tin tín hiệu</t>
  </si>
  <si>
    <t>Kỹ sư điện tử viễn thông</t>
  </si>
  <si>
    <t>175 Ngô Gia Tự, TP. Phan Rang, Tháp Chàm, Ninh Thuận</t>
  </si>
  <si>
    <t>Kỹ sư tin học ứng dụng</t>
  </si>
  <si>
    <t>29/03/2017</t>
  </si>
  <si>
    <t>24/04/2017</t>
  </si>
  <si>
    <t>Phổ thông trung học</t>
  </si>
  <si>
    <t>Công nhân kỹ thuật thông tin tín hiệu</t>
  </si>
  <si>
    <t>Cử nhân Công nghệ thông tin</t>
  </si>
  <si>
    <t>16/4/2013</t>
  </si>
  <si>
    <t>Cử nhân cao đẳng phần mềm máy tính</t>
  </si>
  <si>
    <t>CA. Bình Thuận</t>
  </si>
  <si>
    <t>27/4/2010</t>
  </si>
  <si>
    <t>CA Bình Thuận</t>
  </si>
  <si>
    <t>Trung cấp điện</t>
  </si>
  <si>
    <t>CA. Đồng Nai</t>
  </si>
  <si>
    <t xml:space="preserve">CA. Bình Thuận </t>
  </si>
  <si>
    <t>Trung cấp Công nghệ thông tin</t>
  </si>
  <si>
    <t>Chứng chỉ nghề lễ tân khách sạn</t>
  </si>
  <si>
    <t>1/7/2011</t>
  </si>
  <si>
    <t>Sơ cấp Thông tin tín hiệu</t>
  </si>
  <si>
    <t>70/15 Thạch Hà, Quảng Sơn, Ninh Sơn, Ninh Thuận</t>
  </si>
  <si>
    <t>phường Bảo An, TP Phan Rang, Tháp Chàm, Ninh Thuận</t>
  </si>
  <si>
    <t>Kỹ sư điện kỹ thuật</t>
  </si>
  <si>
    <t>19/07/2016</t>
  </si>
  <si>
    <t>20/06/2017</t>
  </si>
  <si>
    <t>25/12/2015</t>
  </si>
  <si>
    <t>Tuy Tịnh 1, Phong Phú, Tuy Phong, Bình Thuận</t>
  </si>
  <si>
    <t xml:space="preserve">Công nhân kỹ thuật thông tin tín hiệu </t>
  </si>
  <si>
    <t xml:space="preserve">Trung cấp Thông tin tín hiệu </t>
  </si>
  <si>
    <t>261348046</t>
  </si>
  <si>
    <t>07/09/2010</t>
  </si>
  <si>
    <t>Thôn Hòa Bình, xã Sông Lũy, Bắc Bình, Bình Thuận</t>
  </si>
  <si>
    <t>Thôn Long Hải, Xã Thạch Kim, Huyện Lộc Hà, Hà Tĩnh</t>
  </si>
  <si>
    <t>Chứng chỉ nghề điện</t>
  </si>
  <si>
    <t>02/01/1972</t>
  </si>
  <si>
    <t>260692388</t>
  </si>
  <si>
    <t>09/09/2016</t>
  </si>
  <si>
    <t>Sông Phan, Hàm Tân, Bình Thuận</t>
  </si>
  <si>
    <t>x</t>
  </si>
  <si>
    <t>27/12/1996</t>
  </si>
  <si>
    <t>264500513</t>
  </si>
  <si>
    <t>07/03/2014</t>
  </si>
  <si>
    <t>Khu phố 5, phường Đô Vinh, TP Phan Rang, Tháp Chàm, Ninh Thuận</t>
  </si>
  <si>
    <t>Đô Vinh, Phan Rang Tháp Chàm, Ninh Thuận</t>
  </si>
  <si>
    <t>Cao đẳng nghề Điện công nghiệp</t>
  </si>
  <si>
    <t>06/03/1991</t>
  </si>
  <si>
    <t>Cử nhân kế toán</t>
  </si>
  <si>
    <t>Cao đẳng điện</t>
  </si>
  <si>
    <t>Trung cấp Kỹ thuật cơ khí</t>
  </si>
  <si>
    <t>Trung cấp điện tử viễn thông</t>
  </si>
  <si>
    <t>Cử nhân chỉ huy kỹ thuật điện tử viễn thông</t>
  </si>
  <si>
    <t>Kỹ sư điện công nghiệp và dân dụng</t>
  </si>
  <si>
    <t>Kỹ sư hệ thống thông tin</t>
  </si>
  <si>
    <t>Kỹ sư công nghệ kỹ thuật điện</t>
  </si>
  <si>
    <t>Cao đẳng điện - điện tử</t>
  </si>
  <si>
    <t>Cử nhân ngoại ngữ Anh</t>
  </si>
  <si>
    <t>Cử nhân Tài chính ngân hàng</t>
  </si>
  <si>
    <t>Cao đẳng điện công nghiệp</t>
  </si>
  <si>
    <t>Trung cấp Công nghệ Nhiệt lạnh</t>
  </si>
  <si>
    <t>Trung cấp Điện công nghiệp</t>
  </si>
  <si>
    <t>Cử nhân Toán tin học</t>
  </si>
  <si>
    <t>Trung cấp Điện tử - viễn thông</t>
  </si>
  <si>
    <t xml:space="preserve">Chứng chỉ nghề điện </t>
  </si>
  <si>
    <t>Trung cấp Kế toán</t>
  </si>
  <si>
    <t>Chứng chỉ nghề vô tuyến điện</t>
  </si>
  <si>
    <t>Bằng nghề kỹ thuật nguồn</t>
  </si>
  <si>
    <t>Kỹ sư điện công nghiệp</t>
  </si>
  <si>
    <t>Trung cấp Điện dân dụng</t>
  </si>
  <si>
    <t>Trung cấp hành chính</t>
  </si>
  <si>
    <t>Trung cấp điện công nghiệp</t>
  </si>
  <si>
    <t>Trung cấp thông tin tín hiệu</t>
  </si>
  <si>
    <t>Trung cấp Điện công nghiệp và dân dụng</t>
  </si>
  <si>
    <t>Kỹ sư công nghệ điện tự động</t>
  </si>
  <si>
    <t>Trung cấp Hệ thống điện</t>
  </si>
  <si>
    <t>CA. Bình Dương</t>
  </si>
  <si>
    <t>Lê Đức Ánh</t>
  </si>
  <si>
    <t>Thân Trọng Thảo Vy</t>
  </si>
  <si>
    <t>Thái Công Lộc</t>
  </si>
  <si>
    <t>BKS</t>
  </si>
  <si>
    <t>Phòng KTAT</t>
  </si>
  <si>
    <t>Trần Thị Ánh Hoa</t>
  </si>
  <si>
    <t>Nguyễn Hữu Tính</t>
  </si>
  <si>
    <t>Phạm Mạnh Hùng</t>
  </si>
  <si>
    <t>Cao đẳng điện tử công nghiệp</t>
  </si>
  <si>
    <t>Nguyễn Vinh Quan</t>
  </si>
  <si>
    <t>Huỳnh Phát Đạt</t>
  </si>
  <si>
    <t>Nguyễn Thành Phú</t>
  </si>
  <si>
    <t>Bệnh viện 175</t>
  </si>
  <si>
    <t>22/01/1984</t>
  </si>
  <si>
    <t>25/12/1992</t>
  </si>
  <si>
    <t>Bệnh Viện đa khoa huyện Xuân Lộc</t>
  </si>
  <si>
    <t>272152207</t>
  </si>
  <si>
    <t>31 đường Thành Công, xã Xuân Trường, huyện Xuân Lộc, Đồng Nai</t>
  </si>
  <si>
    <t>Cao đẳng công nghệ kỹ thuật điện - điện tử</t>
  </si>
  <si>
    <t>CA. Tp. Hồ Chí Minh</t>
  </si>
  <si>
    <t>11/12/1996</t>
  </si>
  <si>
    <t>39 Nguyễn Chí Thanh Tổ 6 KP4 Xuân Thanh, Thị xã Long Khánh</t>
  </si>
  <si>
    <t>272558065</t>
  </si>
  <si>
    <t>03/12/1987</t>
  </si>
  <si>
    <t>Bệnh viện giao thông vận tải Tháp Chàm</t>
  </si>
  <si>
    <t>Bệnh viện đa khoa huyện Xuân Lộc</t>
  </si>
  <si>
    <t>Tổng cục cảnh sát</t>
  </si>
  <si>
    <t>Khu phố 3, Đông Vinh, Phan Rang, Tháp Chàm</t>
  </si>
  <si>
    <t>Bệnh viện đa khoa thành phố Phan Thiết</t>
  </si>
  <si>
    <t>Bệnh viện đa khoa huyện Tánh Linh</t>
  </si>
  <si>
    <t>CA. Bình Định</t>
  </si>
  <si>
    <t>17/07/1994</t>
  </si>
  <si>
    <t>Bệnh viện đa khoa huyện Tuy An</t>
  </si>
  <si>
    <t>221366738</t>
  </si>
  <si>
    <t>25/10/2011</t>
  </si>
  <si>
    <t>CA. Phú Yên</t>
  </si>
  <si>
    <t>Thôn Liên Trì 1, Bình Kiến, TP. Tuy Hòa, Phú Yên</t>
  </si>
  <si>
    <t>07/03/1984</t>
  </si>
  <si>
    <t>Trung tâm y tế huyện Vạn Ninh</t>
  </si>
  <si>
    <t>225303574</t>
  </si>
  <si>
    <t>CA. Khánh Hòa</t>
  </si>
  <si>
    <t>15/03/1994</t>
  </si>
  <si>
    <t>215248603</t>
  </si>
  <si>
    <t>03/01/2009</t>
  </si>
  <si>
    <t>Xóm 1, Tăng Lợi, Canh Vinh, Vân Canh, Bình Định</t>
  </si>
  <si>
    <t>01/05/1995</t>
  </si>
  <si>
    <t>01/10/2002</t>
  </si>
  <si>
    <t>01/08/2012</t>
  </si>
  <si>
    <t>01/04/2014</t>
  </si>
  <si>
    <t>01/07/2017</t>
  </si>
  <si>
    <t>STT_Cty</t>
  </si>
  <si>
    <t>STT_XN</t>
  </si>
  <si>
    <t>STT_Bộ phận</t>
  </si>
  <si>
    <t>Họ tên</t>
  </si>
  <si>
    <t>NS_Text</t>
  </si>
  <si>
    <t>NS_Date</t>
  </si>
  <si>
    <t>23/01/1989</t>
  </si>
  <si>
    <t>Thôn Ân Phú Nam 2, Diên An, Diên Khánh, Khánh Hòa</t>
  </si>
  <si>
    <t>31/07/1994</t>
  </si>
  <si>
    <t>29/05/2008</t>
  </si>
  <si>
    <t>225480924</t>
  </si>
  <si>
    <t>Suối Cát, Cam Hiệp Nam, Cam Lâm, Nha Trang, Khánh Hòa</t>
  </si>
  <si>
    <t>09/08/1995</t>
  </si>
  <si>
    <t>Trần Đức Hoàng</t>
  </si>
  <si>
    <t>221350313</t>
  </si>
  <si>
    <t>27/07/2010</t>
  </si>
  <si>
    <t>20/03/1992</t>
  </si>
  <si>
    <t>221329464</t>
  </si>
  <si>
    <t>08/07/2011</t>
  </si>
  <si>
    <t>221345253</t>
  </si>
  <si>
    <t>09/09/2013</t>
  </si>
  <si>
    <t>Long Phụng, Hòa Trị, Phú Hòa, Phú Yên</t>
  </si>
  <si>
    <t>24/07/2014</t>
  </si>
  <si>
    <t>11/08/1994</t>
  </si>
  <si>
    <t>Trần Kỳ Vĩ</t>
  </si>
  <si>
    <t>261359207</t>
  </si>
  <si>
    <t>29/03/2011</t>
  </si>
  <si>
    <t>261238245</t>
  </si>
  <si>
    <t>10/08/2017</t>
  </si>
  <si>
    <t>Đức Thuận, Tánh Linh, Bình Thuận</t>
  </si>
  <si>
    <t>05/02/1987</t>
  </si>
  <si>
    <t>225319098</t>
  </si>
  <si>
    <t>02 đường 2/4 Vĩnh Hải, Nha Trang, Khánh Hòa</t>
  </si>
  <si>
    <t>20/12/2012</t>
  </si>
  <si>
    <t>31/07/2007</t>
  </si>
  <si>
    <t>24/07/1994</t>
  </si>
  <si>
    <t>Trạm y tế xã Ninh Quang</t>
  </si>
  <si>
    <t>221392760</t>
  </si>
  <si>
    <t>27/12/2017</t>
  </si>
  <si>
    <t>Bệnh viện đa khoa Tâm Trí Nha Trang</t>
  </si>
  <si>
    <t>Trung cấp điện công nghiệp và dân dụng</t>
  </si>
  <si>
    <t>Lê Hoàng Anh</t>
  </si>
  <si>
    <t>Cam Hiệp Nam, Cam Lâm, Khánh Hòa</t>
  </si>
  <si>
    <t>225388540</t>
  </si>
  <si>
    <t>Cam Linh, Cam Ranh, Khánh Hòa</t>
  </si>
  <si>
    <t>13/11/1986</t>
  </si>
  <si>
    <t>225318510</t>
  </si>
  <si>
    <t>23/12/2011</t>
  </si>
  <si>
    <t>Vĩnh Trung, Nha Trang, Khánh Hòa</t>
  </si>
  <si>
    <t>Tổ 12 thôn Vĩnh Điềm Thượng, xã Vĩnh Hiệp, Nha Trang, Khánh Hòa</t>
  </si>
  <si>
    <t>Trần Đình Tụ</t>
  </si>
  <si>
    <t>Đinh Kim Hùng</t>
  </si>
  <si>
    <t>Trung tâm y tế huyện Vân Canh</t>
  </si>
  <si>
    <t>An Định, Tuy An, Phú Yên</t>
  </si>
  <si>
    <t>Định Trung 2, An Định, Tuy An, Phú Yên</t>
  </si>
  <si>
    <t>Nguyễn Ngọc Quang</t>
  </si>
  <si>
    <t>Lê Hoài Vũ</t>
  </si>
  <si>
    <t>Hòa Kiến, Tuy Hòa, Phú Yên</t>
  </si>
  <si>
    <t>Ngô Thanh Hoàng</t>
  </si>
  <si>
    <t>Trần Ngọc Mạnh</t>
  </si>
  <si>
    <t>Đặng Ngọc Hùng</t>
  </si>
  <si>
    <t>Đặng Văn Long</t>
  </si>
  <si>
    <t>Phạm Hồng Sơn</t>
  </si>
  <si>
    <t>Nguyễn Đức Dũng</t>
  </si>
  <si>
    <t>Phùng Văn Thiêm</t>
  </si>
  <si>
    <t>Nguyễn Trung Khoa</t>
  </si>
  <si>
    <t>Bệnh viện Hoàn Mỹ Sài Gòn</t>
  </si>
  <si>
    <t>Năm nghỉ hưu</t>
  </si>
  <si>
    <t>Ngày vào ĐS_Date</t>
  </si>
  <si>
    <t>Giữ bậc_năm</t>
  </si>
  <si>
    <t>Giữ bậc_Next</t>
  </si>
  <si>
    <t>HS_Lương</t>
  </si>
  <si>
    <t>HS_PCCV</t>
  </si>
  <si>
    <t>HS_PCKV</t>
  </si>
  <si>
    <t>Đồng_PCCV</t>
  </si>
  <si>
    <t>Đồng_PCKV</t>
  </si>
  <si>
    <t>Đồng_SUM</t>
  </si>
  <si>
    <t>Sổ BHXH</t>
  </si>
  <si>
    <t>CMND_Ngày cấp</t>
  </si>
  <si>
    <t>CMND_Nơi cấp</t>
  </si>
  <si>
    <t>Địa chỉ</t>
  </si>
  <si>
    <t>HĐLĐ_Thử việc</t>
  </si>
  <si>
    <t>HĐLĐ_6 tháng</t>
  </si>
  <si>
    <t>HĐLĐ_12 tháng</t>
  </si>
  <si>
    <t>HĐLĐ_KXĐ</t>
  </si>
  <si>
    <t>Văn phòng XNSG</t>
  </si>
  <si>
    <t>Cung  Sài Gòn</t>
  </si>
  <si>
    <t>Cung Sóng Thần</t>
  </si>
  <si>
    <t>Cung Trảng Bom</t>
  </si>
  <si>
    <t>Cung Gia Ray</t>
  </si>
  <si>
    <t>Cung Long Khánh</t>
  </si>
  <si>
    <t>Cung Cà Ná</t>
  </si>
  <si>
    <t>Cung Sông Mao</t>
  </si>
  <si>
    <t>Cung Ma Lâm</t>
  </si>
  <si>
    <t>Cung Bình Thuận</t>
  </si>
  <si>
    <t>Cung Sông Dinh</t>
  </si>
  <si>
    <t>Cung Giã</t>
  </si>
  <si>
    <t>Cung Ninh Hòa</t>
  </si>
  <si>
    <t>Cung Nha Trang</t>
  </si>
  <si>
    <t>Cung Tuy Hòa</t>
  </si>
  <si>
    <t>Văn phòng XNTH</t>
  </si>
  <si>
    <t>Trạm TTNĐ Tháp Chàm</t>
  </si>
  <si>
    <t>Cung Tháp Chàm</t>
  </si>
  <si>
    <t>Văn phòng XNPK</t>
  </si>
  <si>
    <t>Trạm TTNĐ Nha Trang</t>
  </si>
  <si>
    <t>Trạm TTNĐ Tuy Hòa</t>
  </si>
  <si>
    <t>Phòng TCHC_Txe</t>
  </si>
  <si>
    <t>Phòng TCHC_Bve</t>
  </si>
  <si>
    <t>Bệnh Viện Thống Nhất</t>
  </si>
  <si>
    <t>Thanh Thủy, Thanh Hà, Hải Dương</t>
  </si>
  <si>
    <t>Bệnh viện giao thông vận tải TP. Hồ Chí Minh</t>
  </si>
  <si>
    <t>025667545</t>
  </si>
  <si>
    <t>575/11/5 CMT8, phường 15, quận 10, Tp. Hồ Chí Minh</t>
  </si>
  <si>
    <t>Phòng khám ĐK Phước An cơ sở 3</t>
  </si>
  <si>
    <t>025689282</t>
  </si>
  <si>
    <t>31 Đông Hưng Thuận 12, phường Đông Hưng Thuận, quận 12, Tp. Hồ Chí Minh</t>
  </si>
  <si>
    <t>Hưng Lộc, Vinh, Nghệ An</t>
  </si>
  <si>
    <t>Hải Phong, Hải Hậu, Nam Định</t>
  </si>
  <si>
    <t>BV Đa khoa Hồng Đức CNIII</t>
  </si>
  <si>
    <t>Căn hộ 103C3 Chung cư Khang Gia, P14, quận Gò Vấp, Tp. Hồ Chí Minh</t>
  </si>
  <si>
    <t>Xuân An, Tx Long Khánh, Đồng Nai</t>
  </si>
  <si>
    <t>Phòng khám ĐK Phước An CNIII</t>
  </si>
  <si>
    <t>Bệnh viện quận Bình Thạnh</t>
  </si>
  <si>
    <t>30/01/2008</t>
  </si>
  <si>
    <t>CA. Nghệ An</t>
  </si>
  <si>
    <t>Phường Cửa Nam, Vinh, Nghệ An</t>
  </si>
  <si>
    <t>Bệnh Viện Nguyễn Trãi</t>
  </si>
  <si>
    <t>271499752</t>
  </si>
  <si>
    <t>20/10/2011</t>
  </si>
  <si>
    <t>33 đường 18, Khu phố 5, phường Linh Trung, quận Thủ Đức, Tp. Hồ Chí Minh</t>
  </si>
  <si>
    <t>An Mỹ, Quỳnh Phụ, Thái Bình</t>
  </si>
  <si>
    <t>186307086</t>
  </si>
  <si>
    <t>519 Kha Vạn Cân, phường Hiệp Bình Chánh, quận Thủ Đức, Tp Hồ Chí Minh</t>
  </si>
  <si>
    <t>Kim Liên, Nam Đàn, Nghệ An</t>
  </si>
  <si>
    <t>Phòng khám đa khoa phước an cơ sở 3</t>
  </si>
  <si>
    <t>079083001237</t>
  </si>
  <si>
    <t>268 Nguyễn Oanh, phường 17, quận Gò Vấp, Tp. Hồ Chí Minh</t>
  </si>
  <si>
    <t>Phường 17, Gò Vấp, Tp. Hồ Chí Minh</t>
  </si>
  <si>
    <t>134 Lê Thị Hồng, phường 17, quận Gò Vấp, Tp. Hồ Chí Minh</t>
  </si>
  <si>
    <t>Dị Sử, Mỹ Hào, Hải Dương</t>
  </si>
  <si>
    <t>Phòng khám TTYK Kỳ Hòa</t>
  </si>
  <si>
    <t>022788073</t>
  </si>
  <si>
    <t>28/12/2007</t>
  </si>
  <si>
    <t>243/1 Hồng Bàng, phường 11, quận 5, Tp. Hồ Chí Minh</t>
  </si>
  <si>
    <t>Bệnh viện nhân dân 115</t>
  </si>
  <si>
    <t>037066001028</t>
  </si>
  <si>
    <t>02/06/2017</t>
  </si>
  <si>
    <t>632/13/13 Lê Văn Thọ, phường 13, quận Gò Vấp, Tp. Hồ Chí Minh</t>
  </si>
  <si>
    <t>Trường Yên, Hoa Lư, Ninh Bình</t>
  </si>
  <si>
    <t>35/10 Đinh Bộ Lĩnh, phường 24, quận Bình Thạnh, Tp. Hồ Chí Minh.</t>
  </si>
  <si>
    <t>Tân Phú Trung, Sa Đéc, Đồng Tháp</t>
  </si>
  <si>
    <t>024859836</t>
  </si>
  <si>
    <t>15/01/2008</t>
  </si>
  <si>
    <t xml:space="preserve">7A đường TA 10,  phường Thới An, quận 12, Tp. Hồ Chí Minh </t>
  </si>
  <si>
    <t>Thới An, Quận 12, Tp. Hồ Chí Minh</t>
  </si>
  <si>
    <t>Phường 1, Quận 3, Tp. Hồ Chí Minh</t>
  </si>
  <si>
    <t>Bệnh viện Cấp Cứu Trưng Vương</t>
  </si>
  <si>
    <t>Bv 115</t>
  </si>
  <si>
    <t>022308711</t>
  </si>
  <si>
    <t>11/06/2004</t>
  </si>
  <si>
    <t>02 Dương Văn Cam, phường Linh Tây, Thủ Đức, Tp. Hồ Chí Minh</t>
  </si>
  <si>
    <t>11/12/2014</t>
  </si>
  <si>
    <t>031067079</t>
  </si>
  <si>
    <t>26/03/2007</t>
  </si>
  <si>
    <t>CA. Hải Phòng</t>
  </si>
  <si>
    <t>30/17B Ấp Trung Đông 2, Xã Thới Tam Thôn, Huyện Hóc Môn, Tp. Hồ Chí Minh</t>
  </si>
  <si>
    <t>Ngũ Lão, Thủy Nguyên, Hải Phòng</t>
  </si>
  <si>
    <t>05/01/2011</t>
  </si>
  <si>
    <t>Bệnh Viện 175</t>
  </si>
  <si>
    <t>Bệnh Viện ĐK Fortis Hoàn Mỹ SG</t>
  </si>
  <si>
    <t>30/07/2015</t>
  </si>
  <si>
    <t>CA. Lâm Đồng</t>
  </si>
  <si>
    <t>Phi Nôm, Hiệp Thạnh, Đức Trọng, Lâm Đồng</t>
  </si>
  <si>
    <t>Liên Nghĩa, Đức Trọng, Lâm Đồng</t>
  </si>
  <si>
    <t>151137404</t>
  </si>
  <si>
    <t>08/02/2010</t>
  </si>
  <si>
    <t>CA. Thái Bình</t>
  </si>
  <si>
    <t>301 Lô F, Chung cư Sơn Kỳ, phường Sơn Kỳ, quận Tân Phú, Tp. Hồ Chí Minh</t>
  </si>
  <si>
    <t>Đông La,Đông Hưng, Thái Bình</t>
  </si>
  <si>
    <t>037082002899</t>
  </si>
  <si>
    <t>18/07/2017</t>
  </si>
  <si>
    <t>280/46/12, đường TX25, KP2, phường Thạnh Xuân, quận 12, Tp. Hồ Chí Minh</t>
  </si>
  <si>
    <t>Trung Sơn, Tam Điệp, Ninh Bình</t>
  </si>
  <si>
    <t>Bệnh viện Thống Nhất</t>
  </si>
  <si>
    <t>040086000524</t>
  </si>
  <si>
    <t>25/09/2017</t>
  </si>
  <si>
    <t>Nghĩa Phúc, Tân Kỳ, Nghệ An</t>
  </si>
  <si>
    <t>Phòng KĐK Phước An cơ sở 3</t>
  </si>
  <si>
    <t>962/7 An Dương Vương, P13, quận 6, Tp. Hồ Chí Minh</t>
  </si>
  <si>
    <t>Nguyễn Phích, U Minh, Cà Mau</t>
  </si>
  <si>
    <t>Bệnh viện đa khoa Vạn Hạnh</t>
  </si>
  <si>
    <t>025646920</t>
  </si>
  <si>
    <t>09/07/2012</t>
  </si>
  <si>
    <t>C5/25T ấp 3, Tân Kiên, Bình Chánh, Tp. Hồ Chí Minh</t>
  </si>
  <si>
    <t>Tân Kiên, Bình Chánh, Tp. Hồ Chí Minh</t>
  </si>
  <si>
    <t>BV Giao Thông Vận Tải TP.HCM</t>
  </si>
  <si>
    <t>034179002591</t>
  </si>
  <si>
    <t>15/01/2016</t>
  </si>
  <si>
    <t>185/9/16 Nguyễn Phúc Chu, phường 15, quận Tân Bình, Tp. Hồ Chí Minh</t>
  </si>
  <si>
    <t>Thái Tân, Thái Thụy, Thái Bình</t>
  </si>
  <si>
    <t>bệnh viện thống nhất</t>
  </si>
  <si>
    <t>99/2 Nguyễn Văn Lạc, P9, quận Bình Thạnh, Tp. Hồ Chí Minh</t>
  </si>
  <si>
    <t>Tân Quy, Quận 7, Tp. Hồ Chí Minh</t>
  </si>
  <si>
    <t>022933754</t>
  </si>
  <si>
    <t>23/11/2010</t>
  </si>
  <si>
    <t>10/5 Nguyễn Cảnh Dị, phường 4, quận Tân Bình, Tp. Hồ Chí Minh</t>
  </si>
  <si>
    <t>Phường 4, Tân Bình, Tp. Hồ Chí Minh</t>
  </si>
  <si>
    <t>024714003</t>
  </si>
  <si>
    <t>13/10/2008</t>
  </si>
  <si>
    <t>Hải Quang, Hải Hậu, Nam Định</t>
  </si>
  <si>
    <t>06/03/2008</t>
  </si>
  <si>
    <t>183 Nguyễn Văn Công, phường 03, quận Gò Vấp, TP Hồ Chí Minh</t>
  </si>
  <si>
    <t>Phòng khám đa khoa Phước An 3</t>
  </si>
  <si>
    <t>025438396</t>
  </si>
  <si>
    <t>26/01/2011</t>
  </si>
  <si>
    <t>409 Lô B Chung cư Sơn Kỳ, phường Sơn Kỳ, quận Tân Phú Tp Hồ Chí Minh</t>
  </si>
  <si>
    <t>264122137</t>
  </si>
  <si>
    <t>22/05/2015</t>
  </si>
  <si>
    <t>Khu phố 4, Đô Vinh, Tháp Chàm, Ninh Thuận</t>
  </si>
  <si>
    <t>23/06/2004</t>
  </si>
  <si>
    <t>Hiệp Bình Chánh, Thủ Đức, Tp. HCM</t>
  </si>
  <si>
    <t>31/03/2015</t>
  </si>
  <si>
    <t>A23 Khu Văn Thánh 2, Phú Tài, Phan Thiết, Bình Thuận</t>
  </si>
  <si>
    <t>Phú Tài, Phan Thiết, Bình Thuận</t>
  </si>
  <si>
    <t>036068002785</t>
  </si>
  <si>
    <t xml:space="preserve">519 Phạm Văn Hai, phường 3, quận Tân Bình, Tp Hồ Chí Minh </t>
  </si>
  <si>
    <t>Hải Toàn, Hải Hậu, Nam Định</t>
  </si>
  <si>
    <t>Bệnh viện đa khoa vạn hạnh</t>
  </si>
  <si>
    <t>Đào Mỹ, Lạng Giang, Bắc Giang</t>
  </si>
  <si>
    <t>Bv Đa Khoa Khu Vực Thủ Đức</t>
  </si>
  <si>
    <t>264418886</t>
  </si>
  <si>
    <t>21/12/2009</t>
  </si>
  <si>
    <t>43/24B, Khu phố Đông Chiêu, phường Tân Đông Hiệp, Thị xã Dĩ An, Bình Dương</t>
  </si>
  <si>
    <t>Thanh Giang, Thanh Chương, Nghệ An</t>
  </si>
  <si>
    <t>CN1-Cty TNHH PKĐK Hoàn Hảo</t>
  </si>
  <si>
    <t>162414035</t>
  </si>
  <si>
    <t>25/12/2009</t>
  </si>
  <si>
    <t>CA. Nam Định</t>
  </si>
  <si>
    <t>Tồ 12, phường Bình Hoà, Thị xã Thuận An, Bình Dương</t>
  </si>
  <si>
    <t>079187006269</t>
  </si>
  <si>
    <t>05/04/2017</t>
  </si>
  <si>
    <t>Phường 26, Bình Thạnh, Tp. Hồ Chí Minh</t>
  </si>
  <si>
    <t>Bv quận Thủ Đức</t>
  </si>
  <si>
    <t>025073000269</t>
  </si>
  <si>
    <t>06/03/2017</t>
  </si>
  <si>
    <t>27/5 đường số3, Bình Hưng Hòa, Bình Tân, Tp. Hồ Chí Minh</t>
  </si>
  <si>
    <t>Linh Tây, Thủ Đức, Tp. Hồ Chí Minh</t>
  </si>
  <si>
    <t>271693610</t>
  </si>
  <si>
    <t>11/07/2014</t>
  </si>
  <si>
    <t>33, đường 18, Khu phố 5, phường Linh Trung, quận Thủ Đức, Tp. Hồ Chí Minh</t>
  </si>
  <si>
    <t>Bệnh viện quận 12</t>
  </si>
  <si>
    <t>16/11 TA05, Thới An, Quận 12, Tp. Hồ Chí Minh</t>
  </si>
  <si>
    <t>025836080</t>
  </si>
  <si>
    <t>26/10/2013</t>
  </si>
  <si>
    <t>19/1 đường 10, KP4, phường Tam Bình, quận Thủ Đức, Tp. Hồ Chí Minh</t>
  </si>
  <si>
    <t>Thọ Sơn, Đoan Hùng, Phú Thọ</t>
  </si>
  <si>
    <t>162819107</t>
  </si>
  <si>
    <t>12/02/2008</t>
  </si>
  <si>
    <t>122/4 đường số 2, KP 9, phường Trường Thọ, quận Thủ Đức, Tp. Hồ Chí Minh</t>
  </si>
  <si>
    <t>Đại Thắng, Vụ Bản, Nam Định</t>
  </si>
  <si>
    <t>Bệnh viện quận 1</t>
  </si>
  <si>
    <t>162797013</t>
  </si>
  <si>
    <t>04/02/2013</t>
  </si>
  <si>
    <t>44/13/20/5 đường số 9, Tổ 11, KP 5, phường Linh Xuân, quận Thủ Đức, Tp. Hồ Chí Minh</t>
  </si>
  <si>
    <t>Trực Tuấn, Trực Ninh, Nam Định</t>
  </si>
  <si>
    <t>321159542</t>
  </si>
  <si>
    <t>18/05/2015</t>
  </si>
  <si>
    <t>CA. Bến Tre</t>
  </si>
  <si>
    <t>An Phước, Châu Thành, Bến Tre</t>
  </si>
  <si>
    <t>Bệnh viện giao thông vận tải tháp chàm</t>
  </si>
  <si>
    <t>27/03/2003</t>
  </si>
  <si>
    <t>Phú Trinh, Phan Thiết, Bình Thuận</t>
  </si>
  <si>
    <t>012272684</t>
  </si>
  <si>
    <t>15/03/2014</t>
  </si>
  <si>
    <t>CA. Hà Nội</t>
  </si>
  <si>
    <t>Tổ 10 Thạch Bàn, Long Biên, Hà Nội</t>
  </si>
  <si>
    <t>Ngọc Thụy, Long Biên, Hà Nội</t>
  </si>
  <si>
    <t>031178002543</t>
  </si>
  <si>
    <t>19/09/2016</t>
  </si>
  <si>
    <t>49/32/11 đường 19, Hiệp Bình Chánh, Thủ Đức, Tp. Hồ Chí Minh</t>
  </si>
  <si>
    <t>Bàng La, Đồ Sơn, Hải Phòng</t>
  </si>
  <si>
    <t>023424511</t>
  </si>
  <si>
    <t>17/07/2012</t>
  </si>
  <si>
    <t>268/1C đường Lý Thái Tổ, phường 1, quận 3, Tp. Hồ Chí Minh</t>
  </si>
  <si>
    <t>Bệnh viện nguyễn trãi</t>
  </si>
  <si>
    <t>264232686</t>
  </si>
  <si>
    <t>64/34 Âu Dương Lân, phường 3, quận 8, Tp. Hồ Chí Minh</t>
  </si>
  <si>
    <t>Phước Mỹ, Phan Rang Tháp Chàm, Ninh Thuận</t>
  </si>
  <si>
    <t>Bệnh viện quận 115</t>
  </si>
  <si>
    <t>079083004052</t>
  </si>
  <si>
    <t>23/09/2016</t>
  </si>
  <si>
    <t>343/22B2 Tô Hiến Thành, phường 12, quận 10, Tp. Hồ Chí Minh</t>
  </si>
  <si>
    <t>Phường 12, Quận 10, Tp. Hồ Chí Minh</t>
  </si>
  <si>
    <t>27/08/2015</t>
  </si>
  <si>
    <t>024610266</t>
  </si>
  <si>
    <t>1C-10 Sky Graden 1, KP6, phường Tân Phong, quận 7, Tp. Hồ Chí Minh</t>
  </si>
  <si>
    <t>Tân Phong, Quận 7, Quận 7, Tp. Hồ Chí Min</t>
  </si>
  <si>
    <t>079184001574</t>
  </si>
  <si>
    <t>23/03/2016</t>
  </si>
  <si>
    <t>197/9A cao Đạt, phường 1, quận 5, Tp. Hồ Chí Minh</t>
  </si>
  <si>
    <t>Phường 1, Quận 5, Tp. Hồ Chí Minh</t>
  </si>
  <si>
    <t>264040985</t>
  </si>
  <si>
    <t>16/04/2008</t>
  </si>
  <si>
    <t>6/2 Hoàng Văn Thụ, Phường 4, Quận Tân Bình, Tp. Hồ Chí Minh</t>
  </si>
  <si>
    <t>Bệnh viện Quận Thủ Đức</t>
  </si>
  <si>
    <t>164124491</t>
  </si>
  <si>
    <t>24/02/2011</t>
  </si>
  <si>
    <t>CA. Ninh Bình</t>
  </si>
  <si>
    <t>45/6/30 đường 11, phường Linh Xuân, Quận Thủ Đức, Tp. Hồ Chí Minh</t>
  </si>
  <si>
    <t>Yên Thái, Yên Mô, Ninh Bình</t>
  </si>
  <si>
    <t>CA. Hà Nam</t>
  </si>
  <si>
    <t>Đinh Xá, Phủ Lý, Hà Nam</t>
  </si>
  <si>
    <t>Bệnh viện đa khoa khu vực thủ đức</t>
  </si>
  <si>
    <t>15/05/2017</t>
  </si>
  <si>
    <t>97/1A Chùa Ba Na, KP Đông Tân, phường Dĩ An, TX Dĩ An, Tỉnh Bình Dương</t>
  </si>
  <si>
    <t>Phường Dĩ An, Tx Dĩ An, Bình Dương</t>
  </si>
  <si>
    <t>24/10/2017</t>
  </si>
  <si>
    <t>Xã Trung Đông, huyện Trực Ninh, tỉnh Nam Định</t>
  </si>
  <si>
    <t>Trung Đông, Trực Ninh, Nam Định</t>
  </si>
  <si>
    <t>22/02/2013</t>
  </si>
  <si>
    <t>CA. Quảng Ninh</t>
  </si>
  <si>
    <t>Tổ 1, Cầu Sến, Phương Đông, Uông Bí, Quảng Ninh</t>
  </si>
  <si>
    <t>Phương Đông, Uông Bí, Quảng Ninh</t>
  </si>
  <si>
    <t>01/02/2005</t>
  </si>
  <si>
    <t>Bảo Vinh, Long Khánh, Đồng Nai</t>
  </si>
  <si>
    <t>025662110</t>
  </si>
  <si>
    <t>20/07/2012</t>
  </si>
  <si>
    <t>65/13 KP Tây A, phường Đông Hòa, TX Dĩ An, Tỉnh Bình Dương</t>
  </si>
  <si>
    <t>Đức Yên, Đức Thọ, Hà Tĩnh</t>
  </si>
  <si>
    <t>119/1/1A đường Đỗ Tấn Phong, Khu phố Đông Thành, Phường Tân Đông Hiệp, Thị xã Dĩ An, Bình Dương</t>
  </si>
  <si>
    <t>Phúc Trạch, Hương Khê, Hà Tĩnh</t>
  </si>
  <si>
    <t>TT. Dĩ An , phường, Dĩ An ,tỉnh Bình Dương</t>
  </si>
  <si>
    <t>Vinh Xuân, Phú Vang, Huế</t>
  </si>
  <si>
    <t>026188001664</t>
  </si>
  <si>
    <t>08/12/2016</t>
  </si>
  <si>
    <t>37A/3B khu phố Thống Nhất 1, Thị xã Dĩ An, Tỉnh Bình Dương</t>
  </si>
  <si>
    <t>Hoàng Lâu, Tam Dương, Vĩnh Phúc</t>
  </si>
  <si>
    <t>31/10/2016</t>
  </si>
  <si>
    <t>Thôn Hữu Thượng, Xã Yên Mỹ, Huyện Ý Yên, Nam Định</t>
  </si>
  <si>
    <t>Yên Mỹ, Ý Yên, Nam Định</t>
  </si>
  <si>
    <t>Bệnh viện Quân dân Miền Đông</t>
  </si>
  <si>
    <t>025523611</t>
  </si>
  <si>
    <t>08/09/2011</t>
  </si>
  <si>
    <t>117/80/16 Nguyễn Hữu Cảnh  phường 22, quận Bình Thạnh, Tp. Hồ Chí Minh</t>
  </si>
  <si>
    <t>Đức Hóa, Tuyên Hóa, Quảng Bình</t>
  </si>
  <si>
    <t>186280677</t>
  </si>
  <si>
    <t>36 tổ 7,8 khu phố Thắng Lợi 2  phường Dĩ An, Thị xã Dĩ An, Tỉnh Bình Dương</t>
  </si>
  <si>
    <t>Bệnh viện đa khoa Hồng Đức III</t>
  </si>
  <si>
    <t>044187001091</t>
  </si>
  <si>
    <t>280/46/12 đường TX25, khu phố 2 phường Thạnh Xuân, quận 12, Tp. Hồ Chí Minh</t>
  </si>
  <si>
    <t>Quảng Thanh, Quảng Trạch, Quảng Bình</t>
  </si>
  <si>
    <t>Bệnh viện Quận Bình Thạnh</t>
  </si>
  <si>
    <t>036067000964</t>
  </si>
  <si>
    <t>13/05/2016</t>
  </si>
  <si>
    <t>29/22 đường số 4, KP 2, phường Hiệp Bình Chánh, quận Thủ Đức, Tp. Hồ Chí Minh</t>
  </si>
  <si>
    <t>023475476</t>
  </si>
  <si>
    <t>14/08/2010</t>
  </si>
  <si>
    <t>21/10 đường số 4, KP2, phường Hiệp Bình Chánh, quận Thủ Đức, Tp. Hồ Chí Minh</t>
  </si>
  <si>
    <t>168088320</t>
  </si>
  <si>
    <t>15/02/2000</t>
  </si>
  <si>
    <t>7A, KP2, F Hiệp Bình Chánh, quận Thủ Đức, Tp. Hồ Chí Minh</t>
  </si>
  <si>
    <t>Đinh Xá, Bình Lục, Hà Nam</t>
  </si>
  <si>
    <t>Bệnh Viện Nhân Dân Gia Định</t>
  </si>
  <si>
    <t>211335536</t>
  </si>
  <si>
    <t>09/10/2010</t>
  </si>
  <si>
    <t>Tam Quan, Bình Định</t>
  </si>
  <si>
    <t>Bình Ngọc, Tuy Hòa, Phú Yên</t>
  </si>
  <si>
    <t>025242856</t>
  </si>
  <si>
    <t>09/03/2010</t>
  </si>
  <si>
    <t>Hải Hậu, Nam Định</t>
  </si>
  <si>
    <t>025387802</t>
  </si>
  <si>
    <t>25/03/2011</t>
  </si>
  <si>
    <t>Số 5 Kha Vạn Cân, Hiệp Bình Chánh, Thủ Đức, Tp. Hồ Chí Minh</t>
  </si>
  <si>
    <t>Quang Khải, Tứ Lộc, Hải Dương</t>
  </si>
  <si>
    <t>024080198</t>
  </si>
  <si>
    <t>02/01/2003</t>
  </si>
  <si>
    <t>C18/1Bis, KP2, Tổ 9, Tăng Nhơn Phú A, quận 9, Tp. Hồ Chí Minh</t>
  </si>
  <si>
    <t>12/04/2012</t>
  </si>
  <si>
    <t>CA. Thừa Thiên Huế</t>
  </si>
  <si>
    <t>Thôn 4, xã Vinh Hà, Huyện Phú Vang, Thừa Thiên Huế</t>
  </si>
  <si>
    <t>Vinh Hà, Phú Vang, Huế</t>
  </si>
  <si>
    <t>025199735</t>
  </si>
  <si>
    <t>16/10/2009</t>
  </si>
  <si>
    <t>74/10/2 đường 36, KP8, P.Linh Đông, Thủ Đức, Tp. Hồ Chí Minh</t>
  </si>
  <si>
    <t>Nam Hồng, Nam Trực, Nam Định</t>
  </si>
  <si>
    <t>015073000059</t>
  </si>
  <si>
    <t>28/06/2016</t>
  </si>
  <si>
    <t>62/15/9 Nhất Chi Mai, P13, Tân Bình, Tp. Hồ Chí Minh</t>
  </si>
  <si>
    <t>Phường 13, Tân Bình, Tp. Hồ Chí Minh</t>
  </si>
  <si>
    <t>Bệnh viện quận Gò Vấp</t>
  </si>
  <si>
    <t>21/08/2006</t>
  </si>
  <si>
    <t>CA. Quảng Trị</t>
  </si>
  <si>
    <t>Vình Long, Vĩnh Linh, Quảng Trị</t>
  </si>
  <si>
    <t>Vĩnh Long, Vĩnh Linh, Quảng Trị</t>
  </si>
  <si>
    <t>022713264</t>
  </si>
  <si>
    <t>10/07/2010</t>
  </si>
  <si>
    <t>12/59 Lê Thị Riêng, Bến Thành, quận 1, Tp. Hồ Chí Minh</t>
  </si>
  <si>
    <t>22/04/2008</t>
  </si>
  <si>
    <t>CA. Thanh Hóa</t>
  </si>
  <si>
    <t>128/90 đường 25, P18, quận Tân Bình, Tp. Hồ Chí Minh</t>
  </si>
  <si>
    <t>Phú Thọ Hòa, Tân Phú, Tp. Hồ Chí Minh</t>
  </si>
  <si>
    <t>15/05/2012</t>
  </si>
  <si>
    <t>11/02 Tổ 10, KP2, đường Tân Thới Hiệp 10, phườngTân Thới Hiệp, quận 12, Tp. Hồ Chí Minh</t>
  </si>
  <si>
    <t>22/05/2010</t>
  </si>
  <si>
    <t>111/10 Khu phố Đông An phường Tân đông hiệp Thị xã Dĩ An Bình Dương</t>
  </si>
  <si>
    <t>Ngọc Châu, Tp.Hải Dương, Hải Dương</t>
  </si>
  <si>
    <t>BVĐK TP Biên Hòa</t>
  </si>
  <si>
    <t>09/04/2008</t>
  </si>
  <si>
    <t>24/3 Lộc Hoà, Tây Hoà, Thống Nhất</t>
  </si>
  <si>
    <t>Thanh Xá, Thanh Hà, Hải Dương</t>
  </si>
  <si>
    <t>Phòng khám đa khoa Ai Nghĩa Đồng Khởi</t>
  </si>
  <si>
    <t>27/05/2009</t>
  </si>
  <si>
    <t>Khu phố 5 phường Trảng Dài Biên Hòa Đồng Nai</t>
  </si>
  <si>
    <t>Bình Minh, Tĩnh Gia, Thanh Hóa</t>
  </si>
  <si>
    <t>Bv Đa Khoa TP Biên Hòa</t>
  </si>
  <si>
    <t>12/03/2003</t>
  </si>
  <si>
    <t>Tây Ninh, Tiền Hải, Thái Bình</t>
  </si>
  <si>
    <t>162410205</t>
  </si>
  <si>
    <t>07/02/2014</t>
  </si>
  <si>
    <t>Xóm 6 Giao Hải, Giao Thủy, Nam Định</t>
  </si>
  <si>
    <t>Giao Hải, Giao Thủy, Nam Định</t>
  </si>
  <si>
    <t>Phòng khám ĐK Y Đức</t>
  </si>
  <si>
    <t>17/07/2001</t>
  </si>
  <si>
    <t>23B1/1 Tổ 6 Khu phố 3 phường Tân Hiệp Biên Hòa Đồng Nai</t>
  </si>
  <si>
    <t>Vinh Tân, Tp. Vinh, Nghệ An</t>
  </si>
  <si>
    <t>036070001934</t>
  </si>
  <si>
    <t>18/08/2016</t>
  </si>
  <si>
    <t>44/13/20/5 đường số 9 khu phố 5 phường Linh Xuân, quận Thủ Đức, Tp. Hồ Chí Minh</t>
  </si>
  <si>
    <t>03/03/2015</t>
  </si>
  <si>
    <t>Ninh Giang, Hoa Lö, Ninh Bình</t>
  </si>
  <si>
    <t>Ninh Giang, Hoa Lư, Ninh Bình</t>
  </si>
  <si>
    <t>03/02/2011</t>
  </si>
  <si>
    <t>CA. Thanh Hoá</t>
  </si>
  <si>
    <t>Thị xã Dĩ An, Tỉnh Bình Dương</t>
  </si>
  <si>
    <t>Thiệu Tâm, Thiệu Hóa, Thanh Hóa</t>
  </si>
  <si>
    <t>173796145</t>
  </si>
  <si>
    <t>19/10/2010</t>
  </si>
  <si>
    <t>Số 1A Lê Lai, P3, Gò Vấp, Tp. Hồ Chí Minh</t>
  </si>
  <si>
    <t>15/10/2007</t>
  </si>
  <si>
    <t>4/2 Khu phố Thống Nhất, Phường Dĩ An, Thị xã Dĩ An, Bình Dương</t>
  </si>
  <si>
    <t>Quảng Hòa, Quảng Xương, Thanh Hóa</t>
  </si>
  <si>
    <t>Bệnh viện đa khoa huyện trảng bom</t>
  </si>
  <si>
    <t>03/08/2013</t>
  </si>
  <si>
    <t>Ga Trảng Bom, Ấp Quảng Phát, Quảng Tiến, Trảng Bom, Đồng Nai</t>
  </si>
  <si>
    <t>Bàu Hàm 2, Thống Nhất, Đồng Nai</t>
  </si>
  <si>
    <t>06/06/2014</t>
  </si>
  <si>
    <t>Tổ 21 Ấp Vườn Dừa, Xã Phước Tân, Biên Hòa, Đồng Nai</t>
  </si>
  <si>
    <t>Phước Tân, Biên Hòa, Đồng Nai</t>
  </si>
  <si>
    <t>02/07/1997</t>
  </si>
  <si>
    <t>Quảng Tiến, Trảng Bom, Đồng Nai</t>
  </si>
  <si>
    <t>Bệnh viện đa khoa huyện Trảng bom</t>
  </si>
  <si>
    <t>04/01/2008</t>
  </si>
  <si>
    <t>250 đường 3 Quảng Phát, Quảng Tiến, Trảng Bom, Đồng Nai</t>
  </si>
  <si>
    <t>Bệnh viện ĐK Dầu Giây</t>
  </si>
  <si>
    <t>14/07/2016</t>
  </si>
  <si>
    <t>23 Trần Phú, Xuân An, Long Khánh, Đồng Nai</t>
  </si>
  <si>
    <t>Bệnh viện đa khoa Dầu Giây</t>
  </si>
  <si>
    <t>Ga Dầu Giây, Ấp Phan Bội Châu, Bầu Hàm 2, Thống Nhất, Đồng Nai</t>
  </si>
  <si>
    <t>Bệnh viện đa khoa huyện Trảng Bom</t>
  </si>
  <si>
    <t>07/09/2008</t>
  </si>
  <si>
    <t>CA. Hưng Yên</t>
  </si>
  <si>
    <t>Ga Trảng Bom Ấp Quảng Phát, Quảng Tiến, Trảng Bom, Đồng Nai</t>
  </si>
  <si>
    <t>BVĐK huyện Trảng Bom</t>
  </si>
  <si>
    <t>01/11/2014</t>
  </si>
  <si>
    <t>Ấp Phú Sơn, Xã Bắc Sơn, Huyện Trảng Bom, Tỉnh Đồng Nai</t>
  </si>
  <si>
    <t>Bắc Sơn, Trảng Bom, Đồng Nai</t>
  </si>
  <si>
    <t>Trung tâm y tế Dầu Giây</t>
  </si>
  <si>
    <t>17/10/2015</t>
  </si>
  <si>
    <t>Xã Xuân Thạnh, Huyện Thống Nhất, Tỉnh Đồng Nai</t>
  </si>
  <si>
    <t>Xuân Thạnh, Thống Nhất, Đồng Nai</t>
  </si>
  <si>
    <t>Bệnh viện đa khoa KV bắc bình thuận</t>
  </si>
  <si>
    <t>20/03/2007</t>
  </si>
  <si>
    <t>Định Tiến, Yên Định, Thanh Hóa</t>
  </si>
  <si>
    <t>29/01/2010</t>
  </si>
  <si>
    <t>54/1, Ấp Phượng Vỹ, xã Suối Cao, Xuân Lộc , Đồng Nai</t>
  </si>
  <si>
    <t>An Lão, Bình Lục, Hà Nam</t>
  </si>
  <si>
    <t>BV Đa khoa huyện Xuân Lộc , Đ/Nai</t>
  </si>
  <si>
    <t>10/10/2014</t>
  </si>
  <si>
    <t>Nhà tập thể T3H Gia Ray, Ấp Trung Nghĩa, xã Xuân Trường, Xuân Lộc , Đồng Nai</t>
  </si>
  <si>
    <t>Xuân Dục, Mỹ Hào, Hưng Yên</t>
  </si>
  <si>
    <t>02/10/2015</t>
  </si>
  <si>
    <t>Nghi Liên, Nghi Lộc, Nghệ An</t>
  </si>
  <si>
    <t>272786618</t>
  </si>
  <si>
    <t>23/10/2015</t>
  </si>
  <si>
    <t>Hải An, Hải Lăng, Quảng Trị</t>
  </si>
  <si>
    <t>16/11/2007</t>
  </si>
  <si>
    <t>Đức Lạng, Đức Thọ, Hà Tĩnh</t>
  </si>
  <si>
    <t>22/10/2010</t>
  </si>
  <si>
    <t>Số 3 tổ 2 Ấp Gia Tỵ. Xã Suối Cao, Xuân Lộc, Đồng Nai</t>
  </si>
  <si>
    <t>Thái Học, Chí Linh, Hải Dương</t>
  </si>
  <si>
    <t>30/06/2011</t>
  </si>
  <si>
    <t>Hưng Đạo, Hưng Nguyên, Nghệ An</t>
  </si>
  <si>
    <t>Bệnh viện đa khoa khu vực Xuân Lộc</t>
  </si>
  <si>
    <t>30/09/2011</t>
  </si>
  <si>
    <t>Xã Xuân Trường, Xuân Lộc, Đồng Nai</t>
  </si>
  <si>
    <t>Sông Ray, Cẩm Mỹ, Đồng Nai</t>
  </si>
  <si>
    <t>Phòng khám đa khoa Ái Nghĩa</t>
  </si>
  <si>
    <t>223-TQĐ, KP6, P Xuân An, Thị xã Long Khánh, Tỉnh Đồng Nai</t>
  </si>
  <si>
    <t>Hà Kỳ, Tứ Kỳ, Hải Dương</t>
  </si>
  <si>
    <t>16/08/2014</t>
  </si>
  <si>
    <t>Thị xã Long Khánh, Đồng Nai</t>
  </si>
  <si>
    <t>Phòng khám đa khoa ái Nghĩa</t>
  </si>
  <si>
    <t>25/05/2006</t>
  </si>
  <si>
    <t>88 Thích Quảng Đức, KP2, Xuân An, Long Khánh, Đồng Nai</t>
  </si>
  <si>
    <t>06/08/2012</t>
  </si>
  <si>
    <t>55 Huỳnh Thúc Kháng, phường Phước Mỹ, TP Phan Rang, Tháp Chàm, Ninh Thuận</t>
  </si>
  <si>
    <t>Đặng Sơn, Đô Lương, Nghệ An</t>
  </si>
  <si>
    <t>Khu phố 5, Phường Bảo An, TP Phan Rang, Tháp Chàm, Tỉnh Ninh Thuận</t>
  </si>
  <si>
    <t>Bảo An, Phan Rang Tháp Chàm, Ninh Thuận</t>
  </si>
  <si>
    <t>24/03/2011</t>
  </si>
  <si>
    <t>Khu phố 3, phường Đô Vinh, TP Phan Rang, Tháp Chàm, Ninh Thuận</t>
  </si>
  <si>
    <t>Khu phố 5, Phường Phước Mỹ, TP Phan Rang, Tháp Chàm, Tỉnh Ninh Thuận</t>
  </si>
  <si>
    <t>05/10/2009</t>
  </si>
  <si>
    <t>Khu phố 3, phường Đô Vinh, TP Phan Rang, Tháp Chàm, Tỉnh Ninh Thuận</t>
  </si>
  <si>
    <t>Dran, Đơn Dương, Lâm Đồng</t>
  </si>
  <si>
    <t>18/09/2013</t>
  </si>
  <si>
    <t>Liên Minh, Vụ Bản, Nam Định</t>
  </si>
  <si>
    <t>27/05/2010</t>
  </si>
  <si>
    <t>1/37_Nguyễn Cư Trinh, TP Phan Rang, Tháp Chàm, Tỉnh Ninh Thuận</t>
  </si>
  <si>
    <t>Khu Phố 9, phường Phước Mỹ, TP Phan Rang, Tháp Chàm, Ninh Thuận</t>
  </si>
  <si>
    <t>13/06/2003</t>
  </si>
  <si>
    <t>phường Đô Vinh, TP Phan Rang, Tháp Chàm, Ninh Thuận</t>
  </si>
  <si>
    <t>Ngô Quyền, Vĩnh Yên, Vĩnh Phúc</t>
  </si>
  <si>
    <t>Bệnh viện giao thông tháp chàm</t>
  </si>
  <si>
    <t>114/32/27 Bác Ái, Khu Phố 8, phường Đô Vinh, TP Phan Rang, Tháp Chàm, Ninh Thuận</t>
  </si>
  <si>
    <t>14/04/2011</t>
  </si>
  <si>
    <t>1/37 Nguyễn Cư Trinh, TP Phan Rang, Tháp Chàm, Tỉnh Ninh Thuận</t>
  </si>
  <si>
    <t>13/09/2013</t>
  </si>
  <si>
    <t>CA.Bình Thuận</t>
  </si>
  <si>
    <t>Khu phố 5, Phước Mỹ, TP Phan Rang, Tháp Chàm, Ninh Thuận</t>
  </si>
  <si>
    <t>Việt Trung, Bố Trạch, Quảng Bình</t>
  </si>
  <si>
    <t>CA.Ninh Thuân</t>
  </si>
  <si>
    <t>20/06/2013</t>
  </si>
  <si>
    <t>Khu 1, Thị trấn Phước Dân, Ninh Phước, Ninh Thuận</t>
  </si>
  <si>
    <t>Đức Bồng, Vũ Quang, Hà Tĩnh</t>
  </si>
  <si>
    <t>04/08/2004</t>
  </si>
  <si>
    <t>CA.Khánh Hòa</t>
  </si>
  <si>
    <t>Cam Đường, Tp. Lào Cai, Lào Cai</t>
  </si>
  <si>
    <t>Bệnh viện Đa khoa TP. Phan Thiết</t>
  </si>
  <si>
    <t>22/02/2011</t>
  </si>
  <si>
    <t>Khu phố 7, phường Đức Long, Phan Thiết, Bình Thuận</t>
  </si>
  <si>
    <t>Tùng Ảnh, Đức Thọ, Hà Tĩnh</t>
  </si>
  <si>
    <t>CA.Ninh Thuận</t>
  </si>
  <si>
    <t>Đằng Thành, Mương Mán, Hàm Thuận Nam, Bình Thuận</t>
  </si>
  <si>
    <t>Tuấn Hưng, Kim Thành, Hải Dương</t>
  </si>
  <si>
    <t>Bệnh viện đa khoa TP. Phan Thiết</t>
  </si>
  <si>
    <t>H36 khu 36 hecta, Phú Thủy, Phan Thiết, Bình Thuận</t>
  </si>
  <si>
    <t>PKĐK khu vực Hàm Cần</t>
  </si>
  <si>
    <t>Thôn Đằng Thành, Mương Mán, Hàm Thuận Nam, Bình Thuận</t>
  </si>
  <si>
    <t>Vĩnh Tuy, Bình Giang, Hải Dương</t>
  </si>
  <si>
    <t>Bệnh Viện Đk TP Phan Thiết</t>
  </si>
  <si>
    <t>08/05/2006</t>
  </si>
  <si>
    <t>Trung Nghĩa, Xuân Trường, Xuân Lộc, Đồng Nai</t>
  </si>
  <si>
    <t>08/04/2005</t>
  </si>
  <si>
    <t>Đức Thủy, Đức Thọ, Hà Tĩnh</t>
  </si>
  <si>
    <t>BVĐK TP Phan Thiết</t>
  </si>
  <si>
    <t>11/07/2002</t>
  </si>
  <si>
    <t>24A Cao Thắng, Bình Hưng, Phan Thiết, Bình Thuận</t>
  </si>
  <si>
    <t>Mương Mán, Hàm Thuận Nam, Bình Thuận</t>
  </si>
  <si>
    <t>Khu phố 3, phường Phú Trinh, Phan Thiết, Bình Thuận</t>
  </si>
  <si>
    <t>10/10/2008</t>
  </si>
  <si>
    <t>28/08/2008</t>
  </si>
  <si>
    <t>Thanh Sơn, Kim Bảng, Hà Nam</t>
  </si>
  <si>
    <t>11/02/2009</t>
  </si>
  <si>
    <t>05/10/2012</t>
  </si>
  <si>
    <t>Công Hải, Thuận Bắc, Ninh Thuận</t>
  </si>
  <si>
    <t>18/04/2002</t>
  </si>
  <si>
    <t>Hiệp Hòa, Phước Thuận, Ninh Thuận</t>
  </si>
  <si>
    <t>Quảng Sơn, Ninh Sơn, Ninh Thuận</t>
  </si>
  <si>
    <t>24/01/2011</t>
  </si>
  <si>
    <t>Lương Cang, Ninh Sơn, Ninh Thuận</t>
  </si>
  <si>
    <t>15/05/2007</t>
  </si>
  <si>
    <t>Thắng Nhất, Tp. Vũng Tàu, Vũng Tàu</t>
  </si>
  <si>
    <t>Trường Thọ, Phước Hậu, Ninh Phước</t>
  </si>
  <si>
    <t>Sông Lũy, Bắc Bình, Bình Thuận</t>
  </si>
  <si>
    <t>16/09/2004</t>
  </si>
  <si>
    <t>Khu phố 2, Thị trấn Tân Sơn, Ninh Sơn, Ninh Thuận</t>
  </si>
  <si>
    <t>Tân Sơn, Ninh Sơn, Ninh Thuận</t>
  </si>
  <si>
    <t>28/07/2005</t>
  </si>
  <si>
    <t>27/10/2011</t>
  </si>
  <si>
    <t>58/15 Minh Mạng, phường Đô Vinh, TP Phan Rang, Tháp Chàm, Ninh Thuận</t>
  </si>
  <si>
    <t>15/05/2014</t>
  </si>
  <si>
    <t>Xã Vĩnh Hảo, Tuy Phong, Bình Thuận</t>
  </si>
  <si>
    <t>Bình Lộc, Lộc Hà, Hà Tĩnh</t>
  </si>
  <si>
    <t>06/06/2015</t>
  </si>
  <si>
    <t>Thôn Long Bình 2, Xã An Hải, Ninh Phước, Ninh Thuận</t>
  </si>
  <si>
    <t>Vũ Đoài, Vũ Thư, Thái Bình</t>
  </si>
  <si>
    <t>Tân Hà, Hàm Tân, Bình Thuận</t>
  </si>
  <si>
    <t>Thành Sơn, Xuân Hải, Ninh Hải, Ninh Thuận</t>
  </si>
  <si>
    <t>Cam Hiếu, Cam Lộ, Quảng Trị</t>
  </si>
  <si>
    <t xml:space="preserve">Bệnh viện đa khoa khu vực Bắc Bình </t>
  </si>
  <si>
    <t>26/09/2005</t>
  </si>
  <si>
    <t>Hải Xuân, Hải Ninh, Bắc Bình, Bình Thuận</t>
  </si>
  <si>
    <t>Hoằng Trinh, Hoằng Hóa, Thanh Hóa</t>
  </si>
  <si>
    <t>04/01/2011</t>
  </si>
  <si>
    <t>Tượng Sơn, Thạch Hà, Hà Tĩnh</t>
  </si>
  <si>
    <t>Bệnh viện đa khoa Bắc Bình Thuận</t>
  </si>
  <si>
    <t>Phan Thanh, Bắc Bình, Bình Thuận</t>
  </si>
  <si>
    <t>Yên Trường, Yên Định, Thanh Hóa</t>
  </si>
  <si>
    <t>11/01/2007</t>
  </si>
  <si>
    <t>Tuy Tịnh, Phong Phú, Tuy Phong, Bình Thuận</t>
  </si>
  <si>
    <t>Nguyệt Ấn, Ngọc Lặc, Thanh Hóa</t>
  </si>
  <si>
    <t>Nghĩa Phương, Tư Nghĩa, Quảng Ngãi</t>
  </si>
  <si>
    <t>01/06/2013</t>
  </si>
  <si>
    <t>BVĐK khu vực Bắc Bình Thuận</t>
  </si>
  <si>
    <t>10/08/2010</t>
  </si>
  <si>
    <t>Xã Lộc An, TP Nam Định</t>
  </si>
  <si>
    <t>08/12/2014</t>
  </si>
  <si>
    <t>Mễ Thượng, Yên Khang, Ý Yên, Nam Định</t>
  </si>
  <si>
    <t>Yên Khang, Ý Yên, Nam Định</t>
  </si>
  <si>
    <t>Bệnh viện Huyện Hàm Thuận Bắc</t>
  </si>
  <si>
    <t>02/08/2014</t>
  </si>
  <si>
    <t>Thạch Xuân, Thạch Hà, Hà Tĩnh</t>
  </si>
  <si>
    <t>23/07/2013</t>
  </si>
  <si>
    <t>Thôn 3, Xã Hồng Sơn, Hàm Thuận Bắc, Bình Thuận</t>
  </si>
  <si>
    <t>Thạch Kim, Lộc Hà, Hà Tĩnh</t>
  </si>
  <si>
    <t>Bệnh viện đa khoa Huyện Hàm Thuận Bắc</t>
  </si>
  <si>
    <t>31/07/2014</t>
  </si>
  <si>
    <t>Thôn 2, Sông Lũy, Bắc Bình, Bình Thuận</t>
  </si>
  <si>
    <t>Bình Minh, Kiến Xương, Thái Bình</t>
  </si>
  <si>
    <t>13/04/2015</t>
  </si>
  <si>
    <t>Phú Thủy, Lệ Thủy, Quảng Bình</t>
  </si>
  <si>
    <t>27/04/2015</t>
  </si>
  <si>
    <t>Thôn 4, Xã Hồng Sơn, Hàm Thuận Bắc, Bình Thuận</t>
  </si>
  <si>
    <t>Hồng Sơn, hàm Thuận Bắc, Bình Thuận</t>
  </si>
  <si>
    <t>24/01/2014</t>
  </si>
  <si>
    <t>CA. Hà Tĩnh</t>
  </si>
  <si>
    <t>Bệnh viện đa khoa Hàm Thuận bắc</t>
  </si>
  <si>
    <t>Ma Lâm, Hàm Thuận Bắc, Bình Thuận</t>
  </si>
  <si>
    <t>07/09/2007</t>
  </si>
  <si>
    <t>Tân Xuân, Hàm Tân, Bình Thuận</t>
  </si>
  <si>
    <t>Bệnh viện thành phố Phan Thiết</t>
  </si>
  <si>
    <t>09/03/2007</t>
  </si>
  <si>
    <t>01/06/2004</t>
  </si>
  <si>
    <t>Thôn Bến Lợi, Xã Hàm Thắng, Hàm Thuận Bắc, Bình Thuận</t>
  </si>
  <si>
    <t>Phan Hiệp, Bắc Bình, Bình Thuận</t>
  </si>
  <si>
    <t>17/02/2009</t>
  </si>
  <si>
    <t>Thôn 3, Suối Kiết, Tánh Linh, Bình Thuận</t>
  </si>
  <si>
    <t>Suối kiết, Tánh Linh, Bình Thuận</t>
  </si>
  <si>
    <t>Bệnh Viện Đa khoa huyện Hàm Tân</t>
  </si>
  <si>
    <t>31/05/2012</t>
  </si>
  <si>
    <t>15/08/2015</t>
  </si>
  <si>
    <t>Bệnh Viện đa khoa huyện Hàm Tân</t>
  </si>
  <si>
    <t>22/08/2014</t>
  </si>
  <si>
    <t>Xích Thổ, Nho Quan, Ninh Bình</t>
  </si>
  <si>
    <t>Hàm Kiệm, Hàm Thuận Nam, Bình Thuận</t>
  </si>
  <si>
    <t>02/07/2016</t>
  </si>
  <si>
    <t>Khu phố 5, Xuân Bình,Thị xã Long Khánh, Đồng Nai</t>
  </si>
  <si>
    <t>Mỹ Thủy, Lệ Thủy, Quảng Bình</t>
  </si>
  <si>
    <t>28/10/2005</t>
  </si>
  <si>
    <t>Nghĩa Mai, Nghĩa Đàn, Nghệ An</t>
  </si>
  <si>
    <t>Bệnh viện đa khoa 22/12 Nha Trang</t>
  </si>
  <si>
    <t>Bệnh Viện Đk TP Tuy Hòa</t>
  </si>
  <si>
    <t xml:space="preserve">CA. Phú Yên </t>
  </si>
  <si>
    <t>Phường 2, Tuy Hòa, Phú Yên</t>
  </si>
  <si>
    <t>220909427</t>
  </si>
  <si>
    <t>04/09/2007</t>
  </si>
  <si>
    <t>Xã Vĩnh Lương, Nha Trang, Khánh Hòa</t>
  </si>
  <si>
    <t>Sơn Kim2, Hương Khê, Hà Tĩnh</t>
  </si>
  <si>
    <t>220771389</t>
  </si>
  <si>
    <t>26/05/2016</t>
  </si>
  <si>
    <t>phường Cam Phú, TP Cam Ranh, Khánh Hòa</t>
  </si>
  <si>
    <t>Phường 4, Tuy Hòa, Phú Yên</t>
  </si>
  <si>
    <t>30/05/2008</t>
  </si>
  <si>
    <t xml:space="preserve">70/25 đường 2/4 Nha Trang, Khánh Hòa </t>
  </si>
  <si>
    <t>Vạn Thạnh, Nha Trang, Khánh Hòa</t>
  </si>
  <si>
    <t>Bệnh Viện đa khoa Tp. Tuy Hòa</t>
  </si>
  <si>
    <t>CA.  Phú Yên</t>
  </si>
  <si>
    <t>87 Lê Trung Kiên, phường 2, Tuy Hoà, Phú Yên</t>
  </si>
  <si>
    <t>An Nghiệp, Tuy An, Phú Yên</t>
  </si>
  <si>
    <t>225234801</t>
  </si>
  <si>
    <t>07/03/2001</t>
  </si>
  <si>
    <t>11/5 Nguyễn Hồng Sơn, Nha Trang, Khánh Hoà</t>
  </si>
  <si>
    <t>Bệnh viện Quân y 87</t>
  </si>
  <si>
    <t>225129077</t>
  </si>
  <si>
    <t>26/09/2007</t>
  </si>
  <si>
    <t>51/7 sau ga, Phước Tân, Khánh Hoà</t>
  </si>
  <si>
    <t>Việt Thuận, Vũ Thư, Thái Bình</t>
  </si>
  <si>
    <t>225309769</t>
  </si>
  <si>
    <t xml:space="preserve">CA.  Khánh Hòa </t>
  </si>
  <si>
    <t>295 Lê Hồng Phong Nha Trang, Khánh Hòa</t>
  </si>
  <si>
    <t>Xương Huân, Nha Trang, Khánh Hòa</t>
  </si>
  <si>
    <t>225124352</t>
  </si>
  <si>
    <t>28/04/2016</t>
  </si>
  <si>
    <t>57B sau ga, Phước Tân, Nha Trang, Khánh Hoà</t>
  </si>
  <si>
    <t>Phước Tân, Nha Trang, Khánh Hòa</t>
  </si>
  <si>
    <t>Bệnh viện giao thông vận tải Nha Trang</t>
  </si>
  <si>
    <t>09/05/2017</t>
  </si>
  <si>
    <t>11/5 Nguyễn Hồng Sơn, Vạn Thạnh, Nha Trang, Khánh Hoà</t>
  </si>
  <si>
    <t>225249922</t>
  </si>
  <si>
    <t>23/07/2014</t>
  </si>
  <si>
    <t>9C1 Khu tập thể ĐS Bình Khê, Phước Tân, Nha Trang, Khánh Hòa</t>
  </si>
  <si>
    <t>225023941</t>
  </si>
  <si>
    <t>10/04/2012</t>
  </si>
  <si>
    <t>23E Thái Nguyên Phước Tân, Nha Trang, Khánh Hòa</t>
  </si>
  <si>
    <t>Tân Sơn, Tp. Thanh Hóa, Thanh Hóa</t>
  </si>
  <si>
    <t>220747111</t>
  </si>
  <si>
    <t>10/10/2007</t>
  </si>
  <si>
    <t>Thôn Đông 3 Diên Điền, Diên Khánh, Khánh Hòa</t>
  </si>
  <si>
    <t>Diên Điền, Diên Khánh, Khánh Hòa</t>
  </si>
  <si>
    <t>225581889</t>
  </si>
  <si>
    <t>10/07/2012</t>
  </si>
  <si>
    <t>404/17/34/8 Lê Hồng Phong, Phước Long, Nha Trang, Khánh Hòa</t>
  </si>
  <si>
    <t>Nga Lĩnh, Nga Sơn, Thanh Hóa</t>
  </si>
  <si>
    <t>Phòng khám đa khoa số 4 Nha trang</t>
  </si>
  <si>
    <t>225168881</t>
  </si>
  <si>
    <t>14/12/2013</t>
  </si>
  <si>
    <t>505/67 Lương Định Của, Xã Vĩnh Ngọc, Nha Trang, Khánh Hòa</t>
  </si>
  <si>
    <t>Ba Ngòi, Cam Ranh, Khánh Hòa</t>
  </si>
  <si>
    <t>Phòng khám đa khoa Đức Tín thuộc CN CTDP Đức tín</t>
  </si>
  <si>
    <t>21/02/2014</t>
  </si>
  <si>
    <t>15B Nguyễn Huệ, phường 2, Tuy Hoà, Phú Yên</t>
  </si>
  <si>
    <t>06/05/2016</t>
  </si>
  <si>
    <t>Khu phố 6, phường 2, Tuy Hòa, Phú Yên</t>
  </si>
  <si>
    <t>Phường 3, Tuy Hòa, Phú Yên</t>
  </si>
  <si>
    <t>25/05/2007</t>
  </si>
  <si>
    <t>151 Lê Trung Kiên, phường 2, Tuy Hoà, Phú Yên</t>
  </si>
  <si>
    <t>Hòa Đồng, Tây Hòa, Phú Yên</t>
  </si>
  <si>
    <t>07/07/2010</t>
  </si>
  <si>
    <t>164A Lê Trung Kiên, phường 2, Tuy Hoà, Phú yên</t>
  </si>
  <si>
    <t>08/03/2015</t>
  </si>
  <si>
    <t>87 Lê Trung Kiên, phường 2, Tuy Hoà, Phú yên</t>
  </si>
  <si>
    <t>Vĩnh Hiệp, Nha Trang, Khánh Hòa</t>
  </si>
  <si>
    <t>02/08/2010</t>
  </si>
  <si>
    <t>22/17 Lê Lợi, phường 5, Tuy Hoà, Phú Yên</t>
  </si>
  <si>
    <t>Phường 5, Tuy Hòa, Phú Yên</t>
  </si>
  <si>
    <t>03/02/2004</t>
  </si>
  <si>
    <t>phường 8, Tuy Hoà, Phú Yên</t>
  </si>
  <si>
    <t>16/10/2006</t>
  </si>
  <si>
    <t>Xuân Lộc, Sông Cầu, Phú Yên</t>
  </si>
  <si>
    <t>CA.  Khánh Hòa</t>
  </si>
  <si>
    <t>11/04/2016</t>
  </si>
  <si>
    <t>Xã Xuân Lãnh, Huyện Đồng Xuân, Phú Yên</t>
  </si>
  <si>
    <t>Xuân lãnh, đồng xuân, phú yên</t>
  </si>
  <si>
    <t>21/06/2011</t>
  </si>
  <si>
    <t>9A Thái Nguyên, Nha Trang, Khánh Hòa</t>
  </si>
  <si>
    <t>Phước Tiến, Nha Trang,Khánh Hòa</t>
  </si>
  <si>
    <t>01/12/2004</t>
  </si>
  <si>
    <t>A18 Nguyễn Phong Sắc, phường Vĩnh Hòa, Nha Trang, Khánh Hòa</t>
  </si>
  <si>
    <t>Lộc Thọ, Nha Trang,  Khánh Hòa</t>
  </si>
  <si>
    <t>18/05/2016</t>
  </si>
  <si>
    <t>27D/6 Thái Nguyên, phường Phước Tân, Nha Trang, Khánh Hòa</t>
  </si>
  <si>
    <t>Vũ Lãng, Tiền Hải, Thái Bình</t>
  </si>
  <si>
    <t>225223977</t>
  </si>
  <si>
    <t>12/10/2011</t>
  </si>
  <si>
    <t xml:space="preserve">28 Huỳnh Thúc Kháng, phường Phước Tiến, Nha Trang, Khánh Hòa </t>
  </si>
  <si>
    <t>Phương Sơn, Nha Trang, Khánh Hòa</t>
  </si>
  <si>
    <t>Ttyt Huyện Vạn Ninh</t>
  </si>
  <si>
    <t>13/12/2007</t>
  </si>
  <si>
    <t>Tổ 4 Vạn Giã, Vạn Ninh, Khánh Hòa</t>
  </si>
  <si>
    <t>Vạn Giã, Vạn Ninh, Khánh Hòa</t>
  </si>
  <si>
    <t>Tổ 10, Vạn Giã, Vạn Ninh, Khánh Hoà</t>
  </si>
  <si>
    <t>Thanh Lương, Thanh Chương, Nghệ An</t>
  </si>
  <si>
    <t>Vạn Long, Vạn Ninh, Khánh Hòa</t>
  </si>
  <si>
    <t>29/10/2008</t>
  </si>
  <si>
    <t>Khu phố Phú Hiệp 2, Hòa Hiệp Trung, Đông Hòa, Phú Yên</t>
  </si>
  <si>
    <t>Hòa Hiệp Trung, Đông Hòa, Phú Yên</t>
  </si>
  <si>
    <t>20/05/2008</t>
  </si>
  <si>
    <t>Tân Vinh, Xuân Sơn nam, Đồng Xuân, Phú Yên</t>
  </si>
  <si>
    <t>Xuân Sơn Nam, Đồng Xuân, Phú Yên</t>
  </si>
  <si>
    <t>Trạm y tế Phường Ninh Hiệp</t>
  </si>
  <si>
    <t>Ninh Quang, Ninh Hòa, Khánh Hòa</t>
  </si>
  <si>
    <t>Xã Ninh Quang, Thị xã Ninh Hòa, Khánh Hòa</t>
  </si>
  <si>
    <t>27/07/2012</t>
  </si>
  <si>
    <t>Hội Phú, Lệ Trung, Gia Lai</t>
  </si>
  <si>
    <t>phường Ninh Hiệp, Thị xã Ninh Hòa, Khánh Hòa</t>
  </si>
  <si>
    <t>04/07/2015.</t>
  </si>
  <si>
    <t>225551177</t>
  </si>
  <si>
    <t>09/09/2011</t>
  </si>
  <si>
    <t>26/10/2016</t>
  </si>
  <si>
    <t xml:space="preserve">54 Tổ 1 Xã Vĩnh Lương, Nha Trang, Khánh Hòa </t>
  </si>
  <si>
    <t>Vĩnh Lương, Nha Trang, Khánh Hòa</t>
  </si>
  <si>
    <t>225110668</t>
  </si>
  <si>
    <t>07/04/2013</t>
  </si>
  <si>
    <t>Vạn Phú, Vạn Ninh, Khánh Hòa</t>
  </si>
  <si>
    <t>Việt Hùng, Đông Anh, Hà Nội</t>
  </si>
  <si>
    <t>225100693</t>
  </si>
  <si>
    <t>08/01/2013</t>
  </si>
  <si>
    <t>Tổ 5, Vĩnh Điềm Trung, Vĩnh Hiệp, Nha Trang, Khánh Hòa</t>
  </si>
  <si>
    <t>225518687</t>
  </si>
  <si>
    <t>08/07/2009</t>
  </si>
  <si>
    <t>161/34 Tổ 23 Hà Ra, Vĩnh Phước, Nha Trang, Khánh Hòa</t>
  </si>
  <si>
    <t>Phổ Khánh, Đức Phổ, Quảng Ngãi</t>
  </si>
  <si>
    <t>225491854</t>
  </si>
  <si>
    <t>10/04/2014</t>
  </si>
  <si>
    <t>Thôn Khánh Thành Nam, Xã Suối Cát, Cam Lâm, Khánh Hòa</t>
  </si>
  <si>
    <t>Thọ Thanh, Thường Xuân, Thanh Hóa</t>
  </si>
  <si>
    <t>212292334</t>
  </si>
  <si>
    <t>27/05/2013</t>
  </si>
  <si>
    <t>CA. Quảng Ngãi</t>
  </si>
  <si>
    <t>Bình Thới, Bình Sơn, Quảng Ngãi</t>
  </si>
  <si>
    <t>19/02/2008</t>
  </si>
  <si>
    <t>Yên Giang, Quảng Yên, Quảng Ninh</t>
  </si>
  <si>
    <t>Cao Thắng, Hạ Long, Quảng Ninh</t>
  </si>
  <si>
    <t>Trạm y tế phường Cam Phúc Bắc</t>
  </si>
  <si>
    <t>225084223</t>
  </si>
  <si>
    <t>22/01/2003</t>
  </si>
  <si>
    <t>Nghĩa Quý, Cam Nghĩa, Cam Ranh, Khánh Hòa</t>
  </si>
  <si>
    <t>Trạm y tế Phường Cam Thuận</t>
  </si>
  <si>
    <t>225813337</t>
  </si>
  <si>
    <t>16/04/2014</t>
  </si>
  <si>
    <t>Thuận Thành, phường Cam Thuận, Cam Ranh, Khánh Hòa</t>
  </si>
  <si>
    <t>Diễn Yên, Diễn Châu, nghệ an</t>
  </si>
  <si>
    <t>10/02/2010</t>
  </si>
  <si>
    <t>KP Ninh Tịnh 2, phường 9, Tuy Hòa, Phú Yên</t>
  </si>
  <si>
    <t>Bình Kiện, Tuy Hòa, Phú Yên</t>
  </si>
  <si>
    <t>16/11/2011</t>
  </si>
  <si>
    <t>Phong Lành, An Lĩnh, Tuy An, Phú Yên</t>
  </si>
  <si>
    <t>An Lĩnh, Tuy An, Phú Yên</t>
  </si>
  <si>
    <t>225406904</t>
  </si>
  <si>
    <t>24/03/2007</t>
  </si>
  <si>
    <t>An Ninh, Diên An, Diên Khánh, Khánh Hòa</t>
  </si>
  <si>
    <t>Suối Tiên, Diên Khánh, Khánh Hòa</t>
  </si>
  <si>
    <t>Ttyt Huyện Vân Canh</t>
  </si>
  <si>
    <t>12/01/2013</t>
  </si>
  <si>
    <t>Đức Chánh, Mộ Đức, Quảng Ngãi</t>
  </si>
  <si>
    <t>03/07/2013</t>
  </si>
  <si>
    <t>Trung Lương, An Nghiệp, Tuy An, Phú Yên</t>
  </si>
  <si>
    <t>09/04/2012</t>
  </si>
  <si>
    <t>Phước Hưng, Tuy Phước, Bình Định</t>
  </si>
  <si>
    <t>Trung tâm y tế  huyện Tuy Phước, Bình Định</t>
  </si>
  <si>
    <t>07/08/2006</t>
  </si>
  <si>
    <t>An Sơn 1, Phước An, Tuy Phước, Bình Định</t>
  </si>
  <si>
    <t>Phước An, Tuy Phước, Bình Định</t>
  </si>
  <si>
    <t>Bệnh viện đa khoa Thành phố Tuy Hòa</t>
  </si>
  <si>
    <t>08/12/2010</t>
  </si>
  <si>
    <t>Hòa An, Phú Hòa, Phú Yên</t>
  </si>
  <si>
    <t>Hòa An, Tuy An, Phú Yên</t>
  </si>
  <si>
    <t>24/08/2015</t>
  </si>
  <si>
    <t>Xóm 4, Thịnh Văn 1, thị trấn Vân Canh, Bình Định</t>
  </si>
  <si>
    <t>Canh Thuận, Vân Canh, Bình Định</t>
  </si>
  <si>
    <t>Bệnh viện đa khoa Huyện Tuy An</t>
  </si>
  <si>
    <t>220980327</t>
  </si>
  <si>
    <t>An Ninh Tây, Tuy An, Phú Yên</t>
  </si>
  <si>
    <t>Bệnh viện đa khoa huyện Đồng Xuân</t>
  </si>
  <si>
    <t>Bình Khê, Đông Triều, Quảng Ninh</t>
  </si>
  <si>
    <t>220984500</t>
  </si>
  <si>
    <t>Quy Hậu, Hòa Trị, Phú Hòa, Phú Yên</t>
  </si>
  <si>
    <t>Xuân Quang 3, Đồng Xuân, Phú Yên</t>
  </si>
  <si>
    <t>220848294</t>
  </si>
  <si>
    <t>04/07/2011</t>
  </si>
  <si>
    <t>Chí Thạnh, Tuy An, Phú Yên</t>
  </si>
  <si>
    <t>Ttyt Huyện Tuy An</t>
  </si>
  <si>
    <t>221166627</t>
  </si>
  <si>
    <t>Định Phong, An Nghiệp, Tuy Hòa, Phú Yên</t>
  </si>
  <si>
    <t>221361749</t>
  </si>
  <si>
    <t>04/09/2015</t>
  </si>
  <si>
    <t>Phước Huệ, Xuân Quang 2, Đồng Xuân, Phú Yên</t>
  </si>
  <si>
    <t>Ninh Quang 2, Đồng Xuân, Phú Yên</t>
  </si>
  <si>
    <t>27/11/2015</t>
  </si>
  <si>
    <t>Thôn Định Phong, An Nghiệp, Tuy An, Phú Yên</t>
  </si>
  <si>
    <t>Khu phố Ninh Tịnh 5, Phường 9, Tuy Hòa, Phú Yên</t>
  </si>
  <si>
    <t>05/04/2007</t>
  </si>
  <si>
    <t>71 Nguyễn Thái Học, phường 3, Tuy Hoà, Phú Yên</t>
  </si>
  <si>
    <t>26/07/2017</t>
  </si>
  <si>
    <t>12/07/2010</t>
  </si>
  <si>
    <t>An Hiệp, Tuy An, Phú Yên</t>
  </si>
  <si>
    <t>Văn Tố, Tứ Kỳ, Hải Dương</t>
  </si>
  <si>
    <t>09/09/1995</t>
  </si>
  <si>
    <t>Đại Từ, Tp. Thái Nguyên, Thái Nguyên</t>
  </si>
  <si>
    <t>133 Lê Trung Kiên, phường 2, Tuy Hoà, Phú Yên</t>
  </si>
  <si>
    <t>Trạm y tế phường 9, Tp Tuy Hòa</t>
  </si>
  <si>
    <t>20/10/2006</t>
  </si>
  <si>
    <t>phường 7, Khu phố Bà Triệu, Tuy Hòa, Phú Yên</t>
  </si>
  <si>
    <t>Phường 6, Tuy Hòa, Phú yên</t>
  </si>
  <si>
    <t>Trạm y tế Phường 8, Tp. Tuy Hòa</t>
  </si>
  <si>
    <t>16/11/2012</t>
  </si>
  <si>
    <t>35 Trần Phú, phường 8, Tuy Hoà, Phú Yên</t>
  </si>
  <si>
    <t>Trạm y tế Phường 2, Tp. Tuy Hòa</t>
  </si>
  <si>
    <t>8/4 Nguyễn Tất Thành, Phường 2, Tuy Hoà, Phú Yên</t>
  </si>
  <si>
    <t>Phường 2, Tp. Tuy Hòa, Phú Yên</t>
  </si>
  <si>
    <t>13/04/2012</t>
  </si>
  <si>
    <t>Khu phố 3, Phường 2, Tuy Hòa, Phú Yên</t>
  </si>
  <si>
    <t>Đức Chính, Cẩm Giàng, Hải Dương</t>
  </si>
  <si>
    <t>26/01/2005</t>
  </si>
  <si>
    <t>Tây Bắc, Đại Lãnh, Vạn Ninh, Khánh Hoà</t>
  </si>
  <si>
    <t>Trạm y tế xã Đại Lãnh, Vạn Ninh, Khánh Hòa</t>
  </si>
  <si>
    <t>25/03/2010</t>
  </si>
  <si>
    <t>Xã Đại Lãnh, Vạn Ninh, Khánh Hòa</t>
  </si>
  <si>
    <t>Đại Lãnh, Vạn Ninh, Khánh Hòa</t>
  </si>
  <si>
    <t>28/10/2009</t>
  </si>
  <si>
    <t>Thạch Chẩm, Hòa Xuân Tây, Đông Hòa, Phú Yên</t>
  </si>
  <si>
    <t>Hòa Xuân Tây, Đông Hòa, Phú Yên</t>
  </si>
  <si>
    <t>STT</t>
  </si>
  <si>
    <t>01/01/2019</t>
  </si>
  <si>
    <t>01/01/2021</t>
  </si>
  <si>
    <t>01/03/2020</t>
  </si>
  <si>
    <t>XN TTTH Sài Gòn</t>
  </si>
  <si>
    <t>XN TTTH Thuận Hải</t>
  </si>
  <si>
    <t>XN TTTH Phú Khánh</t>
  </si>
  <si>
    <t>Thạc sỹ Quản lý khoa học và công nghệ</t>
  </si>
  <si>
    <t>Cao đẳng công nghệ kỹ thuật Điện - điện tử</t>
  </si>
  <si>
    <t>Tiến sỹ tự động hóa</t>
  </si>
  <si>
    <t>Thái Hòa, Hồng Thái, Bắc Bình, Bình Thuận</t>
  </si>
  <si>
    <t>Hải Triều, Vạn Long, Vạn Ninh, Khánh Hòa</t>
  </si>
  <si>
    <t>Phước Mỹ, Hòa Bình 1, Tây Hòa, Phú Yên</t>
  </si>
  <si>
    <t>30/01/1995</t>
  </si>
  <si>
    <t>261351772</t>
  </si>
  <si>
    <t>03/09/2015</t>
  </si>
  <si>
    <t>0200127091</t>
  </si>
  <si>
    <t>0296289345</t>
  </si>
  <si>
    <t>0204284992</t>
  </si>
  <si>
    <t>0206409282</t>
  </si>
  <si>
    <t>4707073996</t>
  </si>
  <si>
    <t>7912342692</t>
  </si>
  <si>
    <t>7908296771</t>
  </si>
  <si>
    <t>0296289483</t>
  </si>
  <si>
    <t>0298023612</t>
  </si>
  <si>
    <t>0202131685</t>
  </si>
  <si>
    <t>0298111763</t>
  </si>
  <si>
    <t>0296289146</t>
  </si>
  <si>
    <t>0299040736</t>
  </si>
  <si>
    <t>7910229533</t>
  </si>
  <si>
    <t>0297049246</t>
  </si>
  <si>
    <t>0206409284</t>
  </si>
  <si>
    <t>7911248152</t>
  </si>
  <si>
    <t>0202131689</t>
  </si>
  <si>
    <t>7908106922</t>
  </si>
  <si>
    <t>0202077336</t>
  </si>
  <si>
    <t>0298111767</t>
  </si>
  <si>
    <t>0202043272</t>
  </si>
  <si>
    <t>0296289480</t>
  </si>
  <si>
    <t>0296289360</t>
  </si>
  <si>
    <t>0299040746</t>
  </si>
  <si>
    <t>0205274494</t>
  </si>
  <si>
    <t>0203232846</t>
  </si>
  <si>
    <t>0296289443</t>
  </si>
  <si>
    <t>0298003075</t>
  </si>
  <si>
    <t>0200133756</t>
  </si>
  <si>
    <t>7911472422</t>
  </si>
  <si>
    <t>7915254769</t>
  </si>
  <si>
    <t>0201154321</t>
  </si>
  <si>
    <t>7914078489</t>
  </si>
  <si>
    <t>0203342926</t>
  </si>
  <si>
    <t>7508056985</t>
  </si>
  <si>
    <t>7912075364</t>
  </si>
  <si>
    <t>0205365145</t>
  </si>
  <si>
    <t>7911518295</t>
  </si>
  <si>
    <t>0207277163</t>
  </si>
  <si>
    <t>0204240924</t>
  </si>
  <si>
    <t>0205320646</t>
  </si>
  <si>
    <t>7909400276</t>
  </si>
  <si>
    <t>7914078490</t>
  </si>
  <si>
    <t>0298111766</t>
  </si>
  <si>
    <t>0203309823</t>
  </si>
  <si>
    <t>0202131690</t>
  </si>
  <si>
    <t>7914078495</t>
  </si>
  <si>
    <t>7915317416</t>
  </si>
  <si>
    <t>7908106919</t>
  </si>
  <si>
    <t>7912231758</t>
  </si>
  <si>
    <t>7911518296</t>
  </si>
  <si>
    <t>0297049254</t>
  </si>
  <si>
    <t>0296289296</t>
  </si>
  <si>
    <t>7910439716</t>
  </si>
  <si>
    <t>0298111762</t>
  </si>
  <si>
    <t>0205191572</t>
  </si>
  <si>
    <t>7909333964</t>
  </si>
  <si>
    <t>0207136928</t>
  </si>
  <si>
    <t>0205274495</t>
  </si>
  <si>
    <t>7908106905</t>
  </si>
  <si>
    <t>7910240511</t>
  </si>
  <si>
    <t>0296289161</t>
  </si>
  <si>
    <t>0204354518</t>
  </si>
  <si>
    <t>7910216152</t>
  </si>
  <si>
    <t>0296289439</t>
  </si>
  <si>
    <t>0296289481</t>
  </si>
  <si>
    <t>0296289496</t>
  </si>
  <si>
    <t>7909296592</t>
  </si>
  <si>
    <t>7909317152</t>
  </si>
  <si>
    <t>0296289473</t>
  </si>
  <si>
    <t>0296289413</t>
  </si>
  <si>
    <t>7914078491</t>
  </si>
  <si>
    <t>0298003064</t>
  </si>
  <si>
    <t>0298003063</t>
  </si>
  <si>
    <t>7914078497</t>
  </si>
  <si>
    <t>0299040737</t>
  </si>
  <si>
    <t>0298003071</t>
  </si>
  <si>
    <t>0298003067</t>
  </si>
  <si>
    <t>0296289482</t>
  </si>
  <si>
    <t>0203025076</t>
  </si>
  <si>
    <t>0296289498</t>
  </si>
  <si>
    <t>0297049256</t>
  </si>
  <si>
    <t>0102045033</t>
  </si>
  <si>
    <t>7914078492</t>
  </si>
  <si>
    <t>7914078493</t>
  </si>
  <si>
    <t>7908106901</t>
  </si>
  <si>
    <t>0296289478</t>
  </si>
  <si>
    <t>0298003066</t>
  </si>
  <si>
    <t>0296289489</t>
  </si>
  <si>
    <t>0296289257</t>
  </si>
  <si>
    <t>7908106916</t>
  </si>
  <si>
    <t>7914078494</t>
  </si>
  <si>
    <t>7914078496</t>
  </si>
  <si>
    <t>0203132462</t>
  </si>
  <si>
    <t>0296289479</t>
  </si>
  <si>
    <t>7911421775</t>
  </si>
  <si>
    <t>0296289269</t>
  </si>
  <si>
    <t>0200053639</t>
  </si>
  <si>
    <t>0296289272</t>
  </si>
  <si>
    <t>0297049252</t>
  </si>
  <si>
    <t>0296289280</t>
  </si>
  <si>
    <t>0296289279</t>
  </si>
  <si>
    <t>0202043275</t>
  </si>
  <si>
    <t>7524042614</t>
  </si>
  <si>
    <t>7914078499</t>
  </si>
  <si>
    <t>0298003069</t>
  </si>
  <si>
    <t>7908206108</t>
  </si>
  <si>
    <t>7914078498</t>
  </si>
  <si>
    <t>0296289386</t>
  </si>
  <si>
    <t>0204284991</t>
  </si>
  <si>
    <t>0296289488</t>
  </si>
  <si>
    <t>9104167227</t>
  </si>
  <si>
    <t>0202189234</t>
  </si>
  <si>
    <t>0298003079</t>
  </si>
  <si>
    <t>0296289442</t>
  </si>
  <si>
    <t>7911375317</t>
  </si>
  <si>
    <t>0207244785</t>
  </si>
  <si>
    <t>7911433258</t>
  </si>
  <si>
    <t>0298003080</t>
  </si>
  <si>
    <t>0297049257</t>
  </si>
  <si>
    <t>0299040742</t>
  </si>
  <si>
    <t>0296289504</t>
  </si>
  <si>
    <t>0200053640</t>
  </si>
  <si>
    <t>0298003072</t>
  </si>
  <si>
    <t>7912390189</t>
  </si>
  <si>
    <t>0297049264</t>
  </si>
  <si>
    <t>0296289270</t>
  </si>
  <si>
    <t>0299040738</t>
  </si>
  <si>
    <t>0207099197</t>
  </si>
  <si>
    <t>7908282412</t>
  </si>
  <si>
    <t>0298003073</t>
  </si>
  <si>
    <t>0296289390</t>
  </si>
  <si>
    <t>7914078501</t>
  </si>
  <si>
    <t>0296289388</t>
  </si>
  <si>
    <t>7908106918</t>
  </si>
  <si>
    <t>0299040749</t>
  </si>
  <si>
    <t>0296289505</t>
  </si>
  <si>
    <t>7908106903</t>
  </si>
  <si>
    <t>7908252471</t>
  </si>
  <si>
    <t>7914078505</t>
  </si>
  <si>
    <t>7908106908</t>
  </si>
  <si>
    <t>0298003074</t>
  </si>
  <si>
    <t>0298003076</t>
  </si>
  <si>
    <t>0200053638</t>
  </si>
  <si>
    <t>7908106902</t>
  </si>
  <si>
    <t>0297049251</t>
  </si>
  <si>
    <t>0299040747</t>
  </si>
  <si>
    <t>0298023614</t>
  </si>
  <si>
    <t>0296289373</t>
  </si>
  <si>
    <t>0207244786</t>
  </si>
  <si>
    <t>7911433260</t>
  </si>
  <si>
    <t>7914106053</t>
  </si>
  <si>
    <t>5815001629</t>
  </si>
  <si>
    <t>5820080388</t>
  </si>
  <si>
    <t>6021270791</t>
  </si>
  <si>
    <t>6020587555</t>
  </si>
  <si>
    <t>0298003077</t>
  </si>
  <si>
    <t>0297049267</t>
  </si>
  <si>
    <t>0299040743</t>
  </si>
  <si>
    <t>7910240512</t>
  </si>
  <si>
    <t>7911375316</t>
  </si>
  <si>
    <t>7915310058</t>
  </si>
  <si>
    <t>6021553945</t>
  </si>
  <si>
    <t>0297049245</t>
  </si>
  <si>
    <t>7914078500</t>
  </si>
  <si>
    <t>7913325640</t>
  </si>
  <si>
    <t>7911433259</t>
  </si>
  <si>
    <t>0296289475</t>
  </si>
  <si>
    <t>0296289277</t>
  </si>
  <si>
    <t>0298023615</t>
  </si>
  <si>
    <t>7512150032</t>
  </si>
  <si>
    <t>0298003070</t>
  </si>
  <si>
    <t>6020943037</t>
  </si>
  <si>
    <t>0299040762</t>
  </si>
  <si>
    <t>0296289179</t>
  </si>
  <si>
    <t>0296289210</t>
  </si>
  <si>
    <t>0200133753</t>
  </si>
  <si>
    <t>0205191570</t>
  </si>
  <si>
    <t>0204284993</t>
  </si>
  <si>
    <t>7912202107</t>
  </si>
  <si>
    <t>0200053635</t>
  </si>
  <si>
    <t>7909077812</t>
  </si>
  <si>
    <t>7909175800</t>
  </si>
  <si>
    <t>0298003096</t>
  </si>
  <si>
    <t>0296289494</t>
  </si>
  <si>
    <t>0207070504</t>
  </si>
  <si>
    <t>0207173267</t>
  </si>
  <si>
    <t>0203232847</t>
  </si>
  <si>
    <t>0204240923</t>
  </si>
  <si>
    <t>3996010346</t>
  </si>
  <si>
    <t>0203025077</t>
  </si>
  <si>
    <t>0200133755</t>
  </si>
  <si>
    <t>0298003090</t>
  </si>
  <si>
    <t>7911097076</t>
  </si>
  <si>
    <t>7912342693</t>
  </si>
  <si>
    <t>0207244784</t>
  </si>
  <si>
    <t>0202189233</t>
  </si>
  <si>
    <t>7914078510</t>
  </si>
  <si>
    <t>7908106911</t>
  </si>
  <si>
    <t>0299040759</t>
  </si>
  <si>
    <t>0297049249</t>
  </si>
  <si>
    <t>7908106913</t>
  </si>
  <si>
    <t>7915310061</t>
  </si>
  <si>
    <t>5420256816</t>
  </si>
  <si>
    <t>5221512807</t>
  </si>
  <si>
    <t>5616835032</t>
  </si>
  <si>
    <t>0297049262</t>
  </si>
  <si>
    <t>0296289485</t>
  </si>
  <si>
    <t>0296289224</t>
  </si>
  <si>
    <t>0296289444</t>
  </si>
  <si>
    <t>7914078508</t>
  </si>
  <si>
    <t>7914078513</t>
  </si>
  <si>
    <t>0200053636</t>
  </si>
  <si>
    <t>5420663881</t>
  </si>
  <si>
    <t>0297049260</t>
  </si>
  <si>
    <t>0299040761</t>
  </si>
  <si>
    <t>0202043273</t>
  </si>
  <si>
    <t>0298003081</t>
  </si>
  <si>
    <t>7911084384</t>
  </si>
  <si>
    <t>0298003082</t>
  </si>
  <si>
    <t>0299040757</t>
  </si>
  <si>
    <t>0201154322</t>
  </si>
  <si>
    <t>7915310057</t>
  </si>
  <si>
    <t>5420439084</t>
  </si>
  <si>
    <t>5614006670</t>
  </si>
  <si>
    <t>7914078511</t>
  </si>
  <si>
    <t>0299040750</t>
  </si>
  <si>
    <t>0297049247</t>
  </si>
  <si>
    <t>7910240513</t>
  </si>
  <si>
    <t>7914078522</t>
  </si>
  <si>
    <t>7916450944</t>
  </si>
  <si>
    <t>5421108411</t>
  </si>
  <si>
    <t>5416005197</t>
  </si>
  <si>
    <t>0298003094</t>
  </si>
  <si>
    <t>0299040751</t>
  </si>
  <si>
    <t>0298003084</t>
  </si>
  <si>
    <t>7910508292</t>
  </si>
  <si>
    <t>7914078519</t>
  </si>
  <si>
    <t>5421108410</t>
  </si>
  <si>
    <t>3907004303</t>
  </si>
  <si>
    <t>0299040753</t>
  </si>
  <si>
    <t>0298003089</t>
  </si>
  <si>
    <t>0299040752</t>
  </si>
  <si>
    <t>0296289317</t>
  </si>
  <si>
    <t>7914078518</t>
  </si>
  <si>
    <t>7910508293</t>
  </si>
  <si>
    <t>0296289316</t>
  </si>
  <si>
    <t>0298003085</t>
  </si>
  <si>
    <t>0298003092</t>
  </si>
  <si>
    <t>0298003093</t>
  </si>
  <si>
    <t>7908106915</t>
  </si>
  <si>
    <t>7914078516</t>
  </si>
  <si>
    <t>7526553032</t>
  </si>
  <si>
    <t>7914078507</t>
  </si>
  <si>
    <t>5610001038</t>
  </si>
  <si>
    <t>7416052018</t>
  </si>
  <si>
    <t>Chủ tịch Hội đồng quản trị</t>
  </si>
  <si>
    <t>Công nhân lắp đặt và đại tu thiết bị TTTH</t>
  </si>
  <si>
    <t>Giám đốc Công ty</t>
  </si>
  <si>
    <t>Phó giám đốc Công ty</t>
  </si>
  <si>
    <t>Trưởng ban kiểm soát</t>
  </si>
  <si>
    <t>Bảo vệ</t>
  </si>
  <si>
    <t>Phó Giám đốc Xí nghiệp</t>
  </si>
  <si>
    <t>Giám sát kỹ thuật</t>
  </si>
  <si>
    <t>Công nhân uốn hàn cấu kiện thông tin tín hiệu</t>
  </si>
  <si>
    <t>Công nhân vận hành thiết bị cáp quang</t>
  </si>
  <si>
    <t>Công nhân khai thác điện thoại</t>
  </si>
  <si>
    <t>Công nhân phóng nạp accu</t>
  </si>
  <si>
    <t>Giám đốc Xí nghiệp</t>
  </si>
  <si>
    <t>Chức danh đóng nộp BHXH</t>
  </si>
  <si>
    <t>BHYT 4.5%</t>
  </si>
  <si>
    <t>Bệnh viện thống nhất</t>
  </si>
  <si>
    <t>Bệnh viện đa khoa khu vực Thủ Đức</t>
  </si>
  <si>
    <t>Bệnh viện giao thông vận tải tp. Hồ Chí Minh</t>
  </si>
  <si>
    <t>Đồng _Lương</t>
  </si>
  <si>
    <t>Kỹ sư công nghệ kỹ thuật điện - điện tử</t>
  </si>
  <si>
    <t>Lê Anh Đức</t>
  </si>
  <si>
    <t>Võ Ngọc Tùng</t>
  </si>
  <si>
    <t>Nguyễn Văn Trường</t>
  </si>
  <si>
    <t>Vũ Bá Ngọc</t>
  </si>
  <si>
    <t>Phan Hà Nam</t>
  </si>
  <si>
    <t>Ngô Công Chính</t>
  </si>
  <si>
    <t>Vũ Đình Hợp</t>
  </si>
  <si>
    <t>Lê Xuân Định</t>
  </si>
  <si>
    <t>Nguyễn Quốc Hưng</t>
  </si>
  <si>
    <t>Phạm Viết Chung</t>
  </si>
  <si>
    <t>Tô Quang Toán</t>
  </si>
  <si>
    <t>Mai Văn Vĩnh</t>
  </si>
  <si>
    <t>Vũ Ngọc Toán</t>
  </si>
  <si>
    <t>Đỗ Văn Tuyến</t>
  </si>
  <si>
    <t>Nguyễn Xuân Quảng</t>
  </si>
  <si>
    <t>Nguyễn Vũ Tất Thắng</t>
  </si>
  <si>
    <t>Tống Công Thăng</t>
  </si>
  <si>
    <t>Trần Thế Phiệt</t>
  </si>
  <si>
    <t>Nguyễn Cao Cường</t>
  </si>
  <si>
    <t>225264579</t>
  </si>
  <si>
    <t>08/10/2016</t>
  </si>
  <si>
    <t>Quảng Đức, Cam Hiệp Nam, Cam Lâm, Khánh Hòa</t>
  </si>
  <si>
    <t>01/09/2021</t>
  </si>
  <si>
    <t>Trần Thanh Tùng</t>
  </si>
  <si>
    <t>Trần Đình Khải</t>
  </si>
  <si>
    <t>03/10/1997</t>
  </si>
  <si>
    <t>Cao đẳng Công nghệ kỹ thuật Điện - Điện tử</t>
  </si>
  <si>
    <t>261480450</t>
  </si>
  <si>
    <t>21/08/2012</t>
  </si>
  <si>
    <t>Thôn 1, Xã Hồng Sơn, Huyện Hàm Thuận Bắc, Tỉnh Bình Thuận</t>
  </si>
  <si>
    <t>Bệnh viện Nguyễn Trãi</t>
  </si>
  <si>
    <t>Gián tiếp SXKD</t>
  </si>
  <si>
    <t>Bổ trợ SXKD</t>
  </si>
  <si>
    <t>Trung Hưng, Sơn Tây, Hà Nội</t>
  </si>
  <si>
    <t>Liên Khê, Châu Giang, Hải Hưng</t>
  </si>
  <si>
    <t>Châu Sơn, Phủ Lý, Hà Nam</t>
  </si>
  <si>
    <t>264262751</t>
  </si>
  <si>
    <t>Nhị Hà, Ninh Phước, Ninh Thuận</t>
  </si>
  <si>
    <t>035089001433</t>
  </si>
  <si>
    <t>024074000335</t>
  </si>
  <si>
    <t>Đức Châu, Đức Thọ, Hà Tĩnh</t>
  </si>
  <si>
    <t>Thanh Lâm, Thanh Liêm, Nam Hà</t>
  </si>
  <si>
    <t>Đắp Cầu, Hà Bắc</t>
  </si>
  <si>
    <t>Khánh Thiện, Tam Điệp, Ninh Bình</t>
  </si>
  <si>
    <t>Phường 16, Quận 4, Tp. Hồ Chí Minh</t>
  </si>
  <si>
    <t>Phường Vĩnh Hải, Nha Trang, Khánh Hòa</t>
  </si>
  <si>
    <t>31/10/2017</t>
  </si>
  <si>
    <t>BV Thống Nhất</t>
  </si>
  <si>
    <t>Hồng Sơn, Hàm Thuận Bắc, Bình Thuận</t>
  </si>
  <si>
    <t>261203500</t>
  </si>
  <si>
    <t>26/11/2006</t>
  </si>
  <si>
    <t>Hải Ninh, Bắc Bình, Bình Thuận</t>
  </si>
  <si>
    <t>HĐLĐ_24 tháng</t>
  </si>
  <si>
    <t>CA. Quảng Bình</t>
  </si>
  <si>
    <t>Cung Vân Canh</t>
  </si>
  <si>
    <t>Khu phốChí Thạnh, Thị trấnChí Thạnh, Tuy An, Phú Yên</t>
  </si>
  <si>
    <t>Khu phố Long Bình,Chí Thạnh, Tuy An, Phú Yên</t>
  </si>
  <si>
    <t>Nguyễn Ngọc Tiến</t>
  </si>
  <si>
    <t>14/01/1996</t>
  </si>
  <si>
    <t>225755632</t>
  </si>
  <si>
    <t>27/06/2012</t>
  </si>
  <si>
    <t>Thôn Triệu Hải, Xã Cam An Bắc, Huyện Cam Lâm, Tỉnh Khánh Hòa</t>
  </si>
  <si>
    <t>Xã Cam An Bắc, Huyện Cam Lâm, Tỉnh Khánh Hòa</t>
  </si>
  <si>
    <t>Đoàn Văn Quang</t>
  </si>
  <si>
    <t>Phạm Văn Nhân</t>
  </si>
  <si>
    <t>Nguyễn Thị Phương</t>
  </si>
  <si>
    <t>Nguyễn Hồng Thắng</t>
  </si>
  <si>
    <t>Nguyễn Xuân Long</t>
  </si>
  <si>
    <t>Phạm Mạnh Dũng</t>
  </si>
  <si>
    <t>Nguyễn Văn Khoa</t>
  </si>
  <si>
    <t>Nguyễn Văn Thông</t>
  </si>
  <si>
    <t>Đỗ Thị Thanh Bình</t>
  </si>
  <si>
    <t>Trương Hồng Hà</t>
  </si>
  <si>
    <t>Nguyễn Thu Thanh</t>
  </si>
  <si>
    <t>Nguyễn Kim Tuấn</t>
  </si>
  <si>
    <t>Huỳnh Ngọc Huy</t>
  </si>
  <si>
    <t>Phạm Văn Đăng</t>
  </si>
  <si>
    <t>5620541381</t>
  </si>
  <si>
    <t>Cử nhân cao đẳng CNTT</t>
  </si>
  <si>
    <t>Đặng Bảo Trung</t>
  </si>
  <si>
    <t>194578412</t>
  </si>
  <si>
    <t>06/06/2011</t>
  </si>
  <si>
    <t>Thôn 7, Xã Hạ Trạch, Huyện Bố Trạch, Tỉnh Quảng Bình</t>
  </si>
  <si>
    <t>Nguyễn Văn Tình 1</t>
  </si>
  <si>
    <t>Hạ Trạch, Bố Trạch, Quảng Bình</t>
  </si>
  <si>
    <t>27/07/1996</t>
  </si>
  <si>
    <t>Đàm Văn Trí</t>
  </si>
  <si>
    <t>14/09/1992</t>
  </si>
  <si>
    <t>264377171</t>
  </si>
  <si>
    <t>24/06/2011</t>
  </si>
  <si>
    <t>Khu phố 6, Phường Đô Vinh, Phan Rang - Tháp Chàm, Ninh Thuận</t>
  </si>
  <si>
    <t>Nguyễn Quốc Trung</t>
  </si>
  <si>
    <t>27/10/1994</t>
  </si>
  <si>
    <t>225656932</t>
  </si>
  <si>
    <t>20/08/2011</t>
  </si>
  <si>
    <t>Vạn Hữu, Ninh Quang, Ninh Hòa, Khánh Hòa</t>
  </si>
  <si>
    <t>Trạm TTNĐ Sóng Thần</t>
  </si>
  <si>
    <t>Nguyễn Xuân Anh</t>
  </si>
  <si>
    <t>19/07/1995</t>
  </si>
  <si>
    <t>Trần Xuân Dậu</t>
  </si>
  <si>
    <t>03/04/1994</t>
  </si>
  <si>
    <t>221401098</t>
  </si>
  <si>
    <t>12/10/2018</t>
  </si>
  <si>
    <t>An Mỹ, Tuy An, Phú Yên</t>
  </si>
  <si>
    <t>Cao đẳng Hệ thống điện</t>
  </si>
  <si>
    <t>Thôn Hòa Sơn, Xã Cam Thạnh Đông, TP. Cam Ranh, Khánh Hòa</t>
  </si>
  <si>
    <t>Cao đẳng Điện công nghiệp</t>
  </si>
  <si>
    <t>BV đa khoa Quận Gò Vấp</t>
  </si>
  <si>
    <t>Võ Trung Nghĩa</t>
  </si>
  <si>
    <t>21/11/1993</t>
  </si>
  <si>
    <t>221285472</t>
  </si>
  <si>
    <t>12/04/2008</t>
  </si>
  <si>
    <t>Xã Phước Lương, Huyện An Cư, Thị xã Tuy An, tỉnh Phú Yên</t>
  </si>
  <si>
    <t>Cao đẳng Công nghệ kỹ thuật cơ điện tử</t>
  </si>
  <si>
    <t>Phạm Thế Mỹ</t>
  </si>
  <si>
    <t>30/12/1989</t>
  </si>
  <si>
    <t>7409331345</t>
  </si>
  <si>
    <t>221215324</t>
  </si>
  <si>
    <t>19/01/2006</t>
  </si>
  <si>
    <t>Trung cấp Kỹ thuật máy lạnh và điều hòa không khí</t>
  </si>
  <si>
    <t>Trần Hoàng Khuê</t>
  </si>
  <si>
    <t>10/04/1993</t>
  </si>
  <si>
    <t>215253500</t>
  </si>
  <si>
    <t>20/08/2008</t>
  </si>
  <si>
    <t>Xã Ngọc Thạnh II, Huyện Phước An, Tuy Phước, Bình Định</t>
  </si>
  <si>
    <t>Cao đẳng Công nghệ kỹ thuật điện, điện tử</t>
  </si>
  <si>
    <t>Xã Quỳnh Châu, Quỳnh Lưu, Nghệ An</t>
  </si>
  <si>
    <t>5820899176</t>
  </si>
  <si>
    <t>5621707740</t>
  </si>
  <si>
    <t>Nguyễn Trung Dũng</t>
  </si>
  <si>
    <t>20/10/1972</t>
  </si>
  <si>
    <t>025018695</t>
  </si>
  <si>
    <t>22/08/2008</t>
  </si>
  <si>
    <t>34/52 Đường TX 24 Phường Thạnh Xuân, Quận 12, Tp. Hồ Chí Minh</t>
  </si>
  <si>
    <t>Xã Bình Trung, Huyện Thăng Bình, Tỉnh Quảng Nam</t>
  </si>
  <si>
    <t>225806026</t>
  </si>
  <si>
    <t>27/02/2019</t>
  </si>
  <si>
    <t>Trần Nhật Minh</t>
  </si>
  <si>
    <t>Bùi Ngọc Nam</t>
  </si>
  <si>
    <t>Cam Thịnh Đông, Cam Ranh, Khánh Hòa</t>
  </si>
  <si>
    <t>10/05/1992</t>
  </si>
  <si>
    <t>264439864</t>
  </si>
  <si>
    <t>16/06/2011</t>
  </si>
  <si>
    <t>Khu phố 4, Phường Bảo An, Thành phố Phan Rang - Tháp Chàm, Ninh Thuận</t>
  </si>
  <si>
    <t>5621590974</t>
  </si>
  <si>
    <t>087179000336</t>
  </si>
  <si>
    <t>26/09/2018</t>
  </si>
  <si>
    <t>5820915754</t>
  </si>
  <si>
    <t>5421211760</t>
  </si>
  <si>
    <t>Trạm y tế xã Vạn Ninh</t>
  </si>
  <si>
    <t>5221421004</t>
  </si>
  <si>
    <t>5420360021</t>
  </si>
  <si>
    <t>5621722598</t>
  </si>
  <si>
    <t>Đinh Ngọc Tiên</t>
  </si>
  <si>
    <t>26/02/1990</t>
  </si>
  <si>
    <t>221270683</t>
  </si>
  <si>
    <t>5416002595</t>
  </si>
  <si>
    <t>0296289240</t>
  </si>
  <si>
    <t>Thạc Giám, Thành phố Đà Nẵng</t>
  </si>
  <si>
    <t>18/05/1999</t>
  </si>
  <si>
    <t>036099008983</t>
  </si>
  <si>
    <t>02/03/2017</t>
  </si>
  <si>
    <t>44/13/20 đường số 9, Phường Linh Xuân, Quận Thủ Đức, Tp Hồ Chí Minh</t>
  </si>
  <si>
    <t>09/07/2016</t>
  </si>
  <si>
    <t>7414156958</t>
  </si>
  <si>
    <t>75-012</t>
  </si>
  <si>
    <t>Nguyễn Mạnh Tường</t>
  </si>
  <si>
    <t>06/03/1997</t>
  </si>
  <si>
    <t>192055823</t>
  </si>
  <si>
    <t>22/07/2013</t>
  </si>
  <si>
    <t>Trung cấp kỹ thuật máy lạnh và điều hòa không khí</t>
  </si>
  <si>
    <t>3621198179</t>
  </si>
  <si>
    <t>4620575297</t>
  </si>
  <si>
    <t>BV đa khoa Hoàn Hảo</t>
  </si>
  <si>
    <t>Nguyễn Tiến Đạt</t>
  </si>
  <si>
    <t>18/08/2001</t>
  </si>
  <si>
    <t>264530231</t>
  </si>
  <si>
    <t>30/03/2018</t>
  </si>
  <si>
    <t>879/2 đường 21/8, KP2, Phường Đô Vinh, Thành phố Phan Rang - Tháp Chàm, Tỉnh Ninh Thuận</t>
  </si>
  <si>
    <t>22/12/1987</t>
  </si>
  <si>
    <t>261102835</t>
  </si>
  <si>
    <t>27/03/2019</t>
  </si>
  <si>
    <t>244 Đại Thành, Xã Mương Mán, Huyện Hàm Thuận Nam, Tỉnh Bình Thuận</t>
  </si>
  <si>
    <t xml:space="preserve">Xã Mương Mán, Huyện Hàm Thuận Nam, Tỉnh Bình Thuận </t>
  </si>
  <si>
    <t>Lê Văn Hùng</t>
  </si>
  <si>
    <t>16/05/1998</t>
  </si>
  <si>
    <t>7908477173</t>
  </si>
  <si>
    <t>7916525145</t>
  </si>
  <si>
    <t>5820706020</t>
  </si>
  <si>
    <t>Biện Huỳnh Vi Tính</t>
  </si>
  <si>
    <t>10/12/1994</t>
  </si>
  <si>
    <t>225483953</t>
  </si>
  <si>
    <t>11/10/2014</t>
  </si>
  <si>
    <t>Thôn Văn Thủy 1, Xã Cam Phước Tây, Huyện Cam Lâm, Tỉnh Khánh Hòa</t>
  </si>
  <si>
    <t>Cam Phước Tây, Cam Lâm, Khánh Hòa</t>
  </si>
  <si>
    <t>5620626851</t>
  </si>
  <si>
    <t>Đinh Văn Phú</t>
  </si>
  <si>
    <t>01/01/1991</t>
  </si>
  <si>
    <t>272152251</t>
  </si>
  <si>
    <t>24/10/2019</t>
  </si>
  <si>
    <t>Cao đẳng Công nghệ Kỹ thuật Điện</t>
  </si>
  <si>
    <t>Trần Hoài Nam</t>
  </si>
  <si>
    <t>21/02/1995</t>
  </si>
  <si>
    <t>034095006415</t>
  </si>
  <si>
    <t>17/12/2018</t>
  </si>
  <si>
    <t>49/14 đường số 8, Phường Bình An, Quận 2, Tp. Hồ Chí Minh</t>
  </si>
  <si>
    <t>ĐH chuyên ngành Kỹ thuật điện tử viễn thông</t>
  </si>
  <si>
    <t>Xã Châu Yên, Huyện Yên Sơn, Tỉnh Tuyên Quang</t>
  </si>
  <si>
    <t>Văn Miếu, Nam Định, Nam Định</t>
  </si>
  <si>
    <t>Nguyễn Ngọc Cường</t>
  </si>
  <si>
    <t>12/01/1993</t>
  </si>
  <si>
    <t>261286315</t>
  </si>
  <si>
    <t>Xã Hàm Chính, Huyện Hàm Thuận Tỉnh Bình Thuận</t>
  </si>
  <si>
    <t>036081006577</t>
  </si>
  <si>
    <t>25/11/2019</t>
  </si>
  <si>
    <t>Chủ tịch HĐQT</t>
  </si>
  <si>
    <t>Bùi Huy Hoàng</t>
  </si>
  <si>
    <t>14/07/1989</t>
  </si>
  <si>
    <t>261091071</t>
  </si>
  <si>
    <t>29/07/2008</t>
  </si>
  <si>
    <t>Khu phố 1, thị trấn Ma Lâm, Huyện Hàm Thuận Bắc, Tỉnh Bình Thuận</t>
  </si>
  <si>
    <t>Xã Phước Diêm, Huyện Ninh Phước, Tỉnh Thuận Hải</t>
  </si>
  <si>
    <t>Võ Thành Tân</t>
  </si>
  <si>
    <t>261396650</t>
  </si>
  <si>
    <t>21/05/2015</t>
  </si>
  <si>
    <t>Số 428, Thôn Phú Sơn, Xã Hàm Mỹ, Huyện Hàm Thuận Nam, Tỉnh Bình Thuận</t>
  </si>
  <si>
    <t>Xã Hàm Mỹ, Huyện Hàm Thuận Nam, Tỉnh Bình Thuận</t>
  </si>
  <si>
    <t>Phan Trung Thành</t>
  </si>
  <si>
    <t>23/06/1999</t>
  </si>
  <si>
    <t>272695181</t>
  </si>
  <si>
    <t>09/08/2014</t>
  </si>
  <si>
    <t>Thôn Quảng Phát, Xã Quảng Tiến, Huyện Trảng Bom, Tỉnh Đồng Nai</t>
  </si>
  <si>
    <t>09/10/1990</t>
  </si>
  <si>
    <t>7913102688</t>
  </si>
  <si>
    <t>261157922</t>
  </si>
  <si>
    <t>03/10/2005</t>
  </si>
  <si>
    <t>Thôn Hồng Liêm, Huyện Hàm Thuận Bắc, Tỉnh Bình Thuận</t>
  </si>
  <si>
    <t>Xã Hồng Liêm, Huyện Hàm Thuận Bắc, Tỉnh Thuận Hải</t>
  </si>
  <si>
    <t>Cao đẳng Công nghệ Kỹ thuật Nhiệt - Lạnh</t>
  </si>
  <si>
    <t>Kỹ sư điều khiển học
Cử nhân Quản trị kinh doanh</t>
  </si>
  <si>
    <t>Kỹ sư tín hiệu giao thông
Cử nhân Quản trị kinh doanh</t>
  </si>
  <si>
    <t>60-037</t>
  </si>
  <si>
    <t>15/10/1993</t>
  </si>
  <si>
    <t>Nguyễn Thanh Tuấn</t>
  </si>
  <si>
    <t>221278588</t>
  </si>
  <si>
    <t>Thôn Thế Hiên, Xã An Nghiệp, Huyện Tuy An, Tỉnh Phú Yên</t>
  </si>
  <si>
    <t>Cao đẳng công nghệ kỹ thuật Điện, Điện tử</t>
  </si>
  <si>
    <t>Võ Đình Phúc</t>
  </si>
  <si>
    <t>25/06/1990</t>
  </si>
  <si>
    <t>186904485</t>
  </si>
  <si>
    <t>04/07/2007</t>
  </si>
  <si>
    <t>01/04/2013</t>
  </si>
  <si>
    <t>Xóm Phượng Hoàng, Xã Long Xá, Huyện Hưng Nguyên, Tỉnh Nghệ An</t>
  </si>
  <si>
    <t>40-18049</t>
  </si>
  <si>
    <t>54-22132</t>
  </si>
  <si>
    <t>h phố Hồ Chí Minh, ngày 3\0/03/2020</t>
  </si>
  <si>
    <t>4025071327</t>
  </si>
  <si>
    <t>75-013</t>
  </si>
  <si>
    <t>5420332174</t>
  </si>
  <si>
    <t>52-008</t>
  </si>
  <si>
    <t>Nguyễn Quốc Tuấn</t>
  </si>
  <si>
    <t>29/11/1991</t>
  </si>
  <si>
    <t>261180643</t>
  </si>
  <si>
    <t>27/02/2014</t>
  </si>
  <si>
    <t>311 Thôn II xã Gia Huynh, Huyện Tánh Linh, Tỉnh Bình Thuận</t>
  </si>
  <si>
    <t>Võ Thiện Toàn</t>
  </si>
  <si>
    <t>06/04/1993</t>
  </si>
  <si>
    <t>7915259995</t>
  </si>
  <si>
    <t>225507635</t>
  </si>
  <si>
    <t>09/02/2012</t>
  </si>
  <si>
    <t>Tổ dân phố 6, thị trấn Vạn Giã, Vạn Ninh, Khánh Hòa</t>
  </si>
  <si>
    <t>Huỳnh Anh Quốc</t>
  </si>
  <si>
    <t>02/08/2013</t>
  </si>
  <si>
    <t>225670560</t>
  </si>
  <si>
    <t>Cao đẳng Công nghệ ô tô</t>
  </si>
  <si>
    <t>22/04/1996</t>
  </si>
  <si>
    <t>HĐLĐ_36 tháng</t>
  </si>
  <si>
    <t>Nguyễn Tấn Huy</t>
  </si>
  <si>
    <t>Đặng Nhật Đoàn</t>
  </si>
  <si>
    <t>20/03/1994</t>
  </si>
  <si>
    <t>225605771</t>
  </si>
  <si>
    <t>07/03/2013</t>
  </si>
  <si>
    <t>Thôn Long Hòa, Xã Vạn Long, Huyện Vạn Ninh, Tỉnh Khánh Hòa</t>
  </si>
  <si>
    <t>Trung cấp  Điện công nghiệp</t>
  </si>
  <si>
    <t>6020874884</t>
  </si>
  <si>
    <t>60-013</t>
  </si>
  <si>
    <t>Trần Ngọc Thắng</t>
  </si>
  <si>
    <t>13/04/1995</t>
  </si>
  <si>
    <t>272497360</t>
  </si>
  <si>
    <t>26/03/2015</t>
  </si>
  <si>
    <t>Tổ 1`0, Ấp Thọ Tân, Xã Xuân Thọ, Huyện Xuân Lộc, Tỉnh Đồng Nai</t>
  </si>
  <si>
    <t>197163710</t>
  </si>
  <si>
    <t>001088025295</t>
  </si>
  <si>
    <t>04/12/2018</t>
  </si>
  <si>
    <t>Thôn Đại Cát 1, Xã Ninh Phụng, Thị xã Ninh Hòa, Tỉnh Khánh Hòa</t>
  </si>
  <si>
    <t>Thôn Hòa Đa, Xã An Mỹ, Huyện Tuy An, Phú Yên</t>
  </si>
  <si>
    <t>Cung Đại Lãnh</t>
  </si>
  <si>
    <t>Cung Chí Thạnh</t>
  </si>
  <si>
    <t>189E Hưng Đạo Vương, Khu phố 2 phường Trung Dũng, Biên Hòa, Đồng Nai</t>
  </si>
  <si>
    <t>6020629549</t>
  </si>
  <si>
    <t>5620695755</t>
  </si>
  <si>
    <t>Ghi chú</t>
  </si>
  <si>
    <t>Huỳnh Phi Hoàng</t>
  </si>
  <si>
    <t>05/03/1990</t>
  </si>
  <si>
    <t>225481597</t>
  </si>
  <si>
    <t>06/11/2014</t>
  </si>
  <si>
    <t>Xã Vạn Long, Huyện Vạn Ninh, Tỉnh Khánh Hòa</t>
  </si>
  <si>
    <t>Lê Trung Kiên</t>
  </si>
  <si>
    <t>23/11/1997</t>
  </si>
  <si>
    <t>261480333</t>
  </si>
  <si>
    <t>10/08/2012</t>
  </si>
  <si>
    <t>Xã Hồng Sơn, Huyện Hàm Thuận Bắc, Tỉnh Bình Thuận</t>
  </si>
  <si>
    <t>Nguyễn Minh Tiến</t>
  </si>
  <si>
    <t>5616835630</t>
  </si>
  <si>
    <t>Nguyễn Anh Tuấn</t>
  </si>
  <si>
    <t>26/11/1991</t>
  </si>
  <si>
    <t>6020534347</t>
  </si>
  <si>
    <t>261203682</t>
  </si>
  <si>
    <t>12/12/2017</t>
  </si>
  <si>
    <t>23 Hẻm Chu Văn An, Thôn Hải Xuân, Xã Hải Ninh, Huyện Bắc Bình, Tỉnh Bình Thuận</t>
  </si>
  <si>
    <t>60-23020</t>
  </si>
  <si>
    <t>CMND _ số</t>
  </si>
  <si>
    <t>CMND_Text</t>
  </si>
  <si>
    <t>261394993</t>
  </si>
  <si>
    <t>Xã Suối Kiết, Huyện Tánh Linh, Tỉnh Bình Thuận</t>
  </si>
  <si>
    <t>14/02/2008</t>
  </si>
  <si>
    <t>7514051883</t>
  </si>
  <si>
    <t>Phan Trung Hậu</t>
  </si>
  <si>
    <t>163457697</t>
  </si>
  <si>
    <t>29/03/2015</t>
  </si>
  <si>
    <t>53 Tổ 15, Khu 3, Phường Phú Mỹ, TP Thủ Dầu Một, Tỉnh Bình Dương</t>
  </si>
  <si>
    <t>31/12/1997</t>
  </si>
  <si>
    <t>3621849073</t>
  </si>
  <si>
    <t>Xã Yên Trường, Huyện Yên Định, Tỉnh Thanh Hóa</t>
  </si>
  <si>
    <t>13/07/2015</t>
  </si>
  <si>
    <t>175040975</t>
  </si>
  <si>
    <t>79-404</t>
  </si>
  <si>
    <t>25/06/2014</t>
  </si>
  <si>
    <t>18/04/2017</t>
  </si>
  <si>
    <t>211987926</t>
  </si>
  <si>
    <t>215136105</t>
  </si>
  <si>
    <t>186013062</t>
  </si>
  <si>
    <t>221038746</t>
  </si>
  <si>
    <t>220935299</t>
  </si>
  <si>
    <t>Bệnh viện đa khoa Medic Bình Dương</t>
  </si>
  <si>
    <t>Số điện thoại</t>
  </si>
  <si>
    <t xml:space="preserve">Phạm Xuân Bình </t>
  </si>
  <si>
    <t xml:space="preserve">Nguyễn Văn Tình </t>
  </si>
  <si>
    <t>0919061885</t>
  </si>
  <si>
    <t>0984940667</t>
  </si>
  <si>
    <t>0933898381</t>
  </si>
  <si>
    <t>0908908499</t>
  </si>
  <si>
    <t>0911039924</t>
  </si>
  <si>
    <t>0935563447</t>
  </si>
  <si>
    <t>0938032149</t>
  </si>
  <si>
    <t>0976802858</t>
  </si>
  <si>
    <t>0933079239</t>
  </si>
  <si>
    <t>0978712586</t>
  </si>
  <si>
    <t>0979760265</t>
  </si>
  <si>
    <t>0947934512</t>
  </si>
  <si>
    <t>0986022554</t>
  </si>
  <si>
    <t>0906713868</t>
  </si>
  <si>
    <t>0943534744</t>
  </si>
  <si>
    <t>0908400444</t>
  </si>
  <si>
    <t>0908516778</t>
  </si>
  <si>
    <t>0977114455</t>
  </si>
  <si>
    <t>0909888780</t>
  </si>
  <si>
    <t>0977666903</t>
  </si>
  <si>
    <t>0988216966</t>
  </si>
  <si>
    <t>0915779955</t>
  </si>
  <si>
    <t>0365161472</t>
  </si>
  <si>
    <t>0948903612</t>
  </si>
  <si>
    <t>0919169069</t>
  </si>
  <si>
    <t>0919077389</t>
  </si>
  <si>
    <t>0986925190</t>
  </si>
  <si>
    <t>0913403472</t>
  </si>
  <si>
    <t>0909901905</t>
  </si>
  <si>
    <t>0915060674</t>
  </si>
  <si>
    <t>0869078667</t>
  </si>
  <si>
    <t>0974207464</t>
  </si>
  <si>
    <t>0902297579</t>
  </si>
  <si>
    <t>0979794426</t>
  </si>
  <si>
    <t>0988063184</t>
  </si>
  <si>
    <t>0385155772</t>
  </si>
  <si>
    <t>0907523145</t>
  </si>
  <si>
    <t>0903327223</t>
  </si>
  <si>
    <t>0773144797</t>
  </si>
  <si>
    <t>0972576597</t>
  </si>
  <si>
    <t>0389072377</t>
  </si>
  <si>
    <t>0935341879</t>
  </si>
  <si>
    <t>0987064829</t>
  </si>
  <si>
    <t>0376568834</t>
  </si>
  <si>
    <t>0908245836</t>
  </si>
  <si>
    <t>0908476939</t>
  </si>
  <si>
    <t>0383394192</t>
  </si>
  <si>
    <t>0942232396</t>
  </si>
  <si>
    <t>0916932814</t>
  </si>
  <si>
    <t>0369287529</t>
  </si>
  <si>
    <t>0976018307</t>
  </si>
  <si>
    <t>0368972648</t>
  </si>
  <si>
    <t>0919959491</t>
  </si>
  <si>
    <t>0917844790</t>
  </si>
  <si>
    <t>0978540898</t>
  </si>
  <si>
    <t>0916522665</t>
  </si>
  <si>
    <t>0908519097</t>
  </si>
  <si>
    <t>0977158779</t>
  </si>
  <si>
    <t>0983999414</t>
  </si>
  <si>
    <t>0977611467</t>
  </si>
  <si>
    <t>0962849308</t>
  </si>
  <si>
    <t>0941692639</t>
  </si>
  <si>
    <t>0919176981</t>
  </si>
  <si>
    <t>0832026127</t>
  </si>
  <si>
    <t>0767302886</t>
  </si>
  <si>
    <t>0386570225</t>
  </si>
  <si>
    <t>0989617862</t>
  </si>
  <si>
    <t>0908545843</t>
  </si>
  <si>
    <t>0985292882</t>
  </si>
  <si>
    <t>0948731102</t>
  </si>
  <si>
    <t>0777105551</t>
  </si>
  <si>
    <t>0939615919</t>
  </si>
  <si>
    <t>0377666508</t>
  </si>
  <si>
    <t>0972958070</t>
  </si>
  <si>
    <t>0938955647</t>
  </si>
  <si>
    <t>0385859468</t>
  </si>
  <si>
    <t>0983376302</t>
  </si>
  <si>
    <t>0984488609</t>
  </si>
  <si>
    <t>0974960725</t>
  </si>
  <si>
    <t>0933270137</t>
  </si>
  <si>
    <t>0919201224</t>
  </si>
  <si>
    <t>0977579929</t>
  </si>
  <si>
    <t>0966702600</t>
  </si>
  <si>
    <t>0764813237</t>
  </si>
  <si>
    <t>0919947777</t>
  </si>
  <si>
    <t>0982345565</t>
  </si>
  <si>
    <t>0918408668</t>
  </si>
  <si>
    <t>0916203355</t>
  </si>
  <si>
    <t>0947834429</t>
  </si>
  <si>
    <t>0946161866</t>
  </si>
  <si>
    <t>0913719525</t>
  </si>
  <si>
    <t>0944246666</t>
  </si>
  <si>
    <t>0909501099</t>
  </si>
  <si>
    <t>0987652872</t>
  </si>
  <si>
    <t>0919630403</t>
  </si>
  <si>
    <t>0983826092</t>
  </si>
  <si>
    <t>0988932477</t>
  </si>
  <si>
    <t>0914484984</t>
  </si>
  <si>
    <t>0933865096</t>
  </si>
  <si>
    <t>0983719702</t>
  </si>
  <si>
    <t>0985948006</t>
  </si>
  <si>
    <t>0912673121</t>
  </si>
  <si>
    <t>0353321173</t>
  </si>
  <si>
    <t>0937838395</t>
  </si>
  <si>
    <t>0978569528</t>
  </si>
  <si>
    <t>0916367474</t>
  </si>
  <si>
    <t>0327266812</t>
  </si>
  <si>
    <t>0915351045</t>
  </si>
  <si>
    <t>0966985798</t>
  </si>
  <si>
    <t>0966009385</t>
  </si>
  <si>
    <t>0917718040</t>
  </si>
  <si>
    <t>0938870268</t>
  </si>
  <si>
    <t>0859481217</t>
  </si>
  <si>
    <t>0962525028</t>
  </si>
  <si>
    <t>0333328047</t>
  </si>
  <si>
    <t>0356035523</t>
  </si>
  <si>
    <t>0939207614</t>
  </si>
  <si>
    <t>0977811428</t>
  </si>
  <si>
    <t>0946103496</t>
  </si>
  <si>
    <t>0937017380</t>
  </si>
  <si>
    <t>0385278809</t>
  </si>
  <si>
    <t>0344302295</t>
  </si>
  <si>
    <t>0792106329</t>
  </si>
  <si>
    <t>0919034027</t>
  </si>
  <si>
    <t>0986365388</t>
  </si>
  <si>
    <t>0369804696</t>
  </si>
  <si>
    <t>0343787713</t>
  </si>
  <si>
    <t>0905711493</t>
  </si>
  <si>
    <t>0985994908</t>
  </si>
  <si>
    <t>0354221871</t>
  </si>
  <si>
    <t>0974031815</t>
  </si>
  <si>
    <t>0372375866</t>
  </si>
  <si>
    <t>0388833281</t>
  </si>
  <si>
    <t>0987744678</t>
  </si>
  <si>
    <t>0384028808</t>
  </si>
  <si>
    <t>0988997423</t>
  </si>
  <si>
    <t>0849449499</t>
  </si>
  <si>
    <t>0937338919</t>
  </si>
  <si>
    <t>0907965466</t>
  </si>
  <si>
    <t>0344497494</t>
  </si>
  <si>
    <t>0979410142</t>
  </si>
  <si>
    <t>0376668795</t>
  </si>
  <si>
    <t>0937907985</t>
  </si>
  <si>
    <t>0918048972</t>
  </si>
  <si>
    <t>0943709447</t>
  </si>
  <si>
    <t>0367027028</t>
  </si>
  <si>
    <t>0344839031</t>
  </si>
  <si>
    <t>0817909117</t>
  </si>
  <si>
    <t>0919539548</t>
  </si>
  <si>
    <t>0347569689</t>
  </si>
  <si>
    <t>0964568657</t>
  </si>
  <si>
    <t>0907162235</t>
  </si>
  <si>
    <t>0988854155</t>
  </si>
  <si>
    <t>0984507385</t>
  </si>
  <si>
    <t>0394888175</t>
  </si>
  <si>
    <t>0344557531</t>
  </si>
  <si>
    <t>0979709634</t>
  </si>
  <si>
    <t>0349854838</t>
  </si>
  <si>
    <t>0986642426</t>
  </si>
  <si>
    <t>0982499258</t>
  </si>
  <si>
    <t>0823776656</t>
  </si>
  <si>
    <t>0934745954</t>
  </si>
  <si>
    <t>0905524860</t>
  </si>
  <si>
    <t>0886366.211</t>
  </si>
  <si>
    <t>0915828789</t>
  </si>
  <si>
    <t>0912758.601</t>
  </si>
  <si>
    <t>0938025497</t>
  </si>
  <si>
    <t>0933200011</t>
  </si>
  <si>
    <t>0989496874</t>
  </si>
  <si>
    <t>0374741816</t>
  </si>
  <si>
    <t>0869050804</t>
  </si>
  <si>
    <t>0869831145</t>
  </si>
  <si>
    <t>0383996222</t>
  </si>
  <si>
    <t>0977179652</t>
  </si>
  <si>
    <t>0905756368</t>
  </si>
  <si>
    <t>0985306261</t>
  </si>
  <si>
    <t>0905531868</t>
  </si>
  <si>
    <t>0984241693</t>
  </si>
  <si>
    <t>0795725062</t>
  </si>
  <si>
    <t>0363377629</t>
  </si>
  <si>
    <t>0935018384</t>
  </si>
  <si>
    <t>0927455242</t>
  </si>
  <si>
    <t>0962844184</t>
  </si>
  <si>
    <t>0985066286</t>
  </si>
  <si>
    <t>0905486010</t>
  </si>
  <si>
    <t>0982900729</t>
  </si>
  <si>
    <t>0905993209</t>
  </si>
  <si>
    <t>0365585535</t>
  </si>
  <si>
    <t>0343801592</t>
  </si>
  <si>
    <t>0386123351</t>
  </si>
  <si>
    <t>0383597136</t>
  </si>
  <si>
    <t>0373222314</t>
  </si>
  <si>
    <t>0395818606</t>
  </si>
  <si>
    <t>0383629148</t>
  </si>
  <si>
    <t>0969434690</t>
  </si>
  <si>
    <t>0905921562</t>
  </si>
  <si>
    <t>0984080166</t>
  </si>
  <si>
    <t>0987007516</t>
  </si>
  <si>
    <t>0966877634</t>
  </si>
  <si>
    <t>0359055615</t>
  </si>
  <si>
    <t>0931611442</t>
  </si>
  <si>
    <t>0336420579</t>
  </si>
  <si>
    <t>0962651431</t>
  </si>
  <si>
    <t>0357999977</t>
  </si>
  <si>
    <t>0982149920</t>
  </si>
  <si>
    <t>0905747002</t>
  </si>
  <si>
    <t>0372227467</t>
  </si>
  <si>
    <t>0947949179</t>
  </si>
  <si>
    <t>0935388684</t>
  </si>
  <si>
    <t>0934936432</t>
  </si>
  <si>
    <t>0827979633</t>
  </si>
  <si>
    <t>0365710116</t>
  </si>
  <si>
    <t>0978111126</t>
  </si>
  <si>
    <t>0978300987</t>
  </si>
  <si>
    <t>0967602408</t>
  </si>
  <si>
    <t>0967901467</t>
  </si>
  <si>
    <t>0944438160</t>
  </si>
  <si>
    <t>0783918845</t>
  </si>
  <si>
    <t>0969168285</t>
  </si>
  <si>
    <t>0962082819</t>
  </si>
  <si>
    <t>0326323930</t>
  </si>
  <si>
    <t>0385510200</t>
  </si>
  <si>
    <t>0384986465</t>
  </si>
  <si>
    <t>0974349249</t>
  </si>
  <si>
    <t>0963405383</t>
  </si>
  <si>
    <t>0366594872</t>
  </si>
  <si>
    <t>0984588121</t>
  </si>
  <si>
    <t>0342632404</t>
  </si>
  <si>
    <t>0382708598</t>
  </si>
  <si>
    <t>0989603658</t>
  </si>
  <si>
    <t>0963208861</t>
  </si>
  <si>
    <t>0918958832</t>
  </si>
  <si>
    <t>0833389268</t>
  </si>
  <si>
    <t>0987975851</t>
  </si>
  <si>
    <t>0382850499</t>
  </si>
  <si>
    <t>0348558739</t>
  </si>
  <si>
    <t>0868877353</t>
  </si>
  <si>
    <t>0977678567</t>
  </si>
  <si>
    <t>0985437595</t>
  </si>
  <si>
    <t>0393770486</t>
  </si>
  <si>
    <t>0905756543</t>
  </si>
  <si>
    <t>0905968726</t>
  </si>
  <si>
    <t>0386691685</t>
  </si>
  <si>
    <t>0977627217</t>
  </si>
  <si>
    <t>0962849309</t>
  </si>
  <si>
    <t>0914682180</t>
  </si>
  <si>
    <t>0914949418</t>
  </si>
  <si>
    <t>0859720439</t>
  </si>
  <si>
    <t>0358438887</t>
  </si>
  <si>
    <t>0363847725</t>
  </si>
  <si>
    <t>0988617143</t>
  </si>
  <si>
    <t>0362669369</t>
  </si>
  <si>
    <t>0868422079</t>
  </si>
  <si>
    <t>0767075521</t>
  </si>
  <si>
    <t>0794703227</t>
  </si>
  <si>
    <t>0965038480</t>
  </si>
  <si>
    <t>0964070566</t>
  </si>
  <si>
    <t>0372226327</t>
  </si>
  <si>
    <t>01/07/2024</t>
  </si>
  <si>
    <t>Nguyễn Nhật Quang</t>
  </si>
  <si>
    <t>22/06/1997</t>
  </si>
  <si>
    <t>221422248</t>
  </si>
  <si>
    <t>20/12/2013</t>
  </si>
  <si>
    <t>Thôn Phước Mỹ, Xã Hòa Bình 1, Huyện Tây Hòa, Tỉnh Phú Yên</t>
  </si>
  <si>
    <t>Hòa Bình 1, Tây Hòa, Phú Yên</t>
  </si>
  <si>
    <t>0975793597</t>
  </si>
  <si>
    <t>Trần Nguyễn Châu Thành Nhân</t>
  </si>
  <si>
    <t>07/05/1991</t>
  </si>
  <si>
    <t>Thôn Thái Hòa, Xã Hồng Thái, Huyện Bắc Bình, Tỉnh Bình Thuận</t>
  </si>
  <si>
    <t>0357252735</t>
  </si>
  <si>
    <t>0911913656</t>
  </si>
  <si>
    <t>16/01/2013</t>
  </si>
  <si>
    <t>06/03/2018</t>
  </si>
  <si>
    <t>Cục cảnh sát</t>
  </si>
  <si>
    <t>14/03/2016</t>
  </si>
  <si>
    <t>07/03/2016</t>
  </si>
  <si>
    <t>09/02/2017</t>
  </si>
  <si>
    <t>264106026</t>
  </si>
  <si>
    <t>079076017344</t>
  </si>
  <si>
    <t>10/04/2021</t>
  </si>
  <si>
    <t>264160052</t>
  </si>
  <si>
    <t>058081000194</t>
  </si>
  <si>
    <t>264050795</t>
  </si>
  <si>
    <t>264191981</t>
  </si>
  <si>
    <t>264417401</t>
  </si>
  <si>
    <t>264250420</t>
  </si>
  <si>
    <t>264276166</t>
  </si>
  <si>
    <t>264276046</t>
  </si>
  <si>
    <t>264315908</t>
  </si>
  <si>
    <t>264044686</t>
  </si>
  <si>
    <t>264140143</t>
  </si>
  <si>
    <t>264482488</t>
  </si>
  <si>
    <t>261110988</t>
  </si>
  <si>
    <t>261330800</t>
  </si>
  <si>
    <t>272033073</t>
  </si>
  <si>
    <t>261139916</t>
  </si>
  <si>
    <t>260919390</t>
  </si>
  <si>
    <t>260924315</t>
  </si>
  <si>
    <t>264396344</t>
  </si>
  <si>
    <t>264044978</t>
  </si>
  <si>
    <t>264403923</t>
  </si>
  <si>
    <t>264251099</t>
  </si>
  <si>
    <t>264264794</t>
  </si>
  <si>
    <t>264041479</t>
  </si>
  <si>
    <t>264007374</t>
  </si>
  <si>
    <t>260970724</t>
  </si>
  <si>
    <t>264294694</t>
  </si>
  <si>
    <t>151606865</t>
  </si>
  <si>
    <t>163179761</t>
  </si>
  <si>
    <t>264191329</t>
  </si>
  <si>
    <t>264038773</t>
  </si>
  <si>
    <t>261250768</t>
  </si>
  <si>
    <t>151125228</t>
  </si>
  <si>
    <t>264270546</t>
  </si>
  <si>
    <t>261153437</t>
  </si>
  <si>
    <t>261205972</t>
  </si>
  <si>
    <t>261518404</t>
  </si>
  <si>
    <t>261483214</t>
  </si>
  <si>
    <t>261531694</t>
  </si>
  <si>
    <t>261486847</t>
  </si>
  <si>
    <t>261025451</t>
  </si>
  <si>
    <t>184061751</t>
  </si>
  <si>
    <t>260757960</t>
  </si>
  <si>
    <t>261219189</t>
  </si>
  <si>
    <t>261083783</t>
  </si>
  <si>
    <t>261182381</t>
  </si>
  <si>
    <t>260633223</t>
  </si>
  <si>
    <t>260625964</t>
  </si>
  <si>
    <t>261104468</t>
  </si>
  <si>
    <t>272422301</t>
  </si>
  <si>
    <t>261163308</t>
  </si>
  <si>
    <t>056182000592</t>
  </si>
  <si>
    <t>Nguyễn Phúc Ân</t>
  </si>
  <si>
    <t>19/08/1989</t>
  </si>
  <si>
    <t>058089001558</t>
  </si>
  <si>
    <t>27/04/2021</t>
  </si>
  <si>
    <t>Phan Ngọc Cảnh</t>
  </si>
  <si>
    <t>221361280</t>
  </si>
  <si>
    <t>09/08/2019</t>
  </si>
  <si>
    <t>Thôn Định Trung 2, Xã An Định, Huyện Tuy An, Tỉnh Phú Yên</t>
  </si>
  <si>
    <t>54-22129</t>
  </si>
  <si>
    <t>Nguyễn Phong Huỳnh</t>
  </si>
  <si>
    <t>26/12/1991</t>
  </si>
  <si>
    <t>225445852</t>
  </si>
  <si>
    <t>16/08/2012</t>
  </si>
  <si>
    <t>Tổ dân phố 8, thị trấn Vạn Giã, Vạn Ninh, Khánh Hòa</t>
  </si>
  <si>
    <t>56-22501</t>
  </si>
  <si>
    <t>0932804191</t>
  </si>
  <si>
    <t>Kỹ sư điện - điện tử
Cử nhân Quản trị kinh doanh</t>
  </si>
  <si>
    <t>Kỹ sư công nghệ thông tin
Cử nhân Quản trị kinh doanh</t>
  </si>
  <si>
    <t>Lương Công Minh</t>
  </si>
  <si>
    <t>09/09/1992</t>
  </si>
  <si>
    <t>225398380</t>
  </si>
  <si>
    <t>Bình Trị, Xã Ninh BÌnh, Thị trấn Ninh Hòa, Khánh Hòa</t>
  </si>
  <si>
    <t>0386476964</t>
  </si>
  <si>
    <t>Nguyễn Văn Nhì</t>
  </si>
  <si>
    <t>01/10/1987</t>
  </si>
  <si>
    <t>5420698153</t>
  </si>
  <si>
    <t>Trung tâm y tế Tp Tuy Hòa</t>
  </si>
  <si>
    <t>16/05/2005</t>
  </si>
  <si>
    <t>Xã Hòa Định Tây, Huyện Phú Hòa, Tỉnh Phú Yên</t>
  </si>
  <si>
    <t>Hòa Định Tây, Phú Hòa, Phú Yên</t>
  </si>
  <si>
    <t>Cao đẳng Kỹ thuật Điện, Điện tử</t>
  </si>
  <si>
    <t>12/07/2021</t>
  </si>
  <si>
    <t>Thôn Đại Thành, Xã Mương Mán, Huyện Hàm Thuận Nam, Tỉnh Bình Thuận</t>
  </si>
  <si>
    <t>Trần Thanh Tân</t>
  </si>
  <si>
    <t>10/05/1993</t>
  </si>
  <si>
    <t>058093007165</t>
  </si>
  <si>
    <t>03/06/2021</t>
  </si>
  <si>
    <t>Thôn Lạc Tiến, Xã Phước Minh, Huyện Thuận Nam, Tỉnh Ninh Thuận</t>
  </si>
  <si>
    <t>0385515797</t>
  </si>
  <si>
    <t>Cử nhân Quản trị kinh doanh
Cử nhân Kế toán</t>
  </si>
  <si>
    <t>14.13, Chung cư The Parkland, Tổ 40, Khu phố 4, Phường Hiệp Thành, Quận 12, Tp. HCM</t>
  </si>
  <si>
    <t>1/4</t>
  </si>
  <si>
    <t>Kỹ sư kỹ thuật điện - điện tử
Cử nhân Quản trị kinh doanh
Cử nhân Kế toán</t>
  </si>
  <si>
    <t>Trần Thị Thu Hoài</t>
  </si>
  <si>
    <t>12/10/1986</t>
  </si>
  <si>
    <t>7908246583</t>
  </si>
  <si>
    <t>075186000869</t>
  </si>
  <si>
    <t>10/09/2018</t>
  </si>
  <si>
    <t>Cử nhân Kế toán</t>
  </si>
  <si>
    <t>0978798886</t>
  </si>
  <si>
    <t>BHXH 25,5%</t>
  </si>
  <si>
    <t>Trạm TTNĐ Bình Thuận</t>
  </si>
  <si>
    <t>Cung Ngã Ba</t>
  </si>
  <si>
    <t>Cơ quan</t>
  </si>
  <si>
    <t>CQ</t>
  </si>
  <si>
    <t>TSG</t>
  </si>
  <si>
    <t>TTH</t>
  </si>
  <si>
    <t>TPK</t>
  </si>
  <si>
    <t>Kỹ sư Công nghệ thông tin</t>
  </si>
  <si>
    <t>BHTN 2%</t>
  </si>
  <si>
    <t>Kỹ sư kỹ thuật thông tin
Cử nhân Luật Kinh tế</t>
  </si>
  <si>
    <t>∑ BHXH 32%</t>
  </si>
  <si>
    <t>Nguyễn Hoàng Thông</t>
  </si>
  <si>
    <t>06/06/2002</t>
  </si>
  <si>
    <t>054202005845</t>
  </si>
  <si>
    <t>09/05/2021</t>
  </si>
  <si>
    <t>Trung Lương 1, An Nghiệp, Tuy An, Phú Yên</t>
  </si>
  <si>
    <t>0353937296</t>
  </si>
  <si>
    <t>Nguyễn Đình Sửu</t>
  </si>
  <si>
    <t>10/02/2003</t>
  </si>
  <si>
    <t>054203002627</t>
  </si>
  <si>
    <t>29/03/2021</t>
  </si>
  <si>
    <t>Khu phố Long Châu, Thị trấn La Hai, Đồng Xuân, Phú Yên</t>
  </si>
  <si>
    <t>54-22081</t>
  </si>
  <si>
    <t>Phạm Ngọc Chương</t>
  </si>
  <si>
    <t>27/07/1992</t>
  </si>
  <si>
    <t>221327058</t>
  </si>
  <si>
    <t>01/06/2018</t>
  </si>
  <si>
    <t>Khu phố 2, Hòa Xuân Đông, Đông Hòa, Phú Yên</t>
  </si>
  <si>
    <t>54-22291</t>
  </si>
  <si>
    <t>0974492435</t>
  </si>
  <si>
    <t>Huỳnh Văn Phúc</t>
  </si>
  <si>
    <t>10/12/1995</t>
  </si>
  <si>
    <t>221326894</t>
  </si>
  <si>
    <t>11/06/2010</t>
  </si>
  <si>
    <t>Xuân Lãnh, Đồng Xuân, Phú Yên</t>
  </si>
  <si>
    <t>0347215085</t>
  </si>
  <si>
    <t>54-22090</t>
  </si>
  <si>
    <t>Ngô Thái Long</t>
  </si>
  <si>
    <t>13/05/1998</t>
  </si>
  <si>
    <t>221460041</t>
  </si>
  <si>
    <t>30/11/2015</t>
  </si>
  <si>
    <t>0986447604</t>
  </si>
  <si>
    <t>Nguyễn Hồng Diệp</t>
  </si>
  <si>
    <t>08/05/2000</t>
  </si>
  <si>
    <t>225621468</t>
  </si>
  <si>
    <t>16/02/2017</t>
  </si>
  <si>
    <t>Phú Cang 1 Bắc, Xã Vạn Phú, Huyện Vạn Ninh, Tỉnh Khánh Hòa</t>
  </si>
  <si>
    <t>56-22510</t>
  </si>
  <si>
    <t>0345511655</t>
  </si>
  <si>
    <t>Nguyễn Lê Hải Long</t>
  </si>
  <si>
    <t>18/01/1995</t>
  </si>
  <si>
    <t>225600934</t>
  </si>
  <si>
    <t>Thôn Tây Bắc 1, Xã Đại Lãnh, Huyện Vạn Ninh, Tỉnh Khánh Hòa</t>
  </si>
  <si>
    <t>56-22492</t>
  </si>
  <si>
    <t>0868283861</t>
  </si>
  <si>
    <t>Lê Duy Hiệp</t>
  </si>
  <si>
    <t>23/08/1997</t>
  </si>
  <si>
    <t>056097007794</t>
  </si>
  <si>
    <t>17/06/2021</t>
  </si>
  <si>
    <t>Vĩnh Cát, Suối Hiệp, Diên Khánh, Khánh Hòa</t>
  </si>
  <si>
    <t>56-22702</t>
  </si>
  <si>
    <t>0377552030</t>
  </si>
  <si>
    <t>Nguyễn Quốc Dũng</t>
  </si>
  <si>
    <t>15/02/1997</t>
  </si>
  <si>
    <t>056097000474</t>
  </si>
  <si>
    <t>07/04/2021</t>
  </si>
  <si>
    <t>Phước Lộc, Ninh Quang, Ninh Hòa, Khánh Hòa</t>
  </si>
  <si>
    <t>56-22568</t>
  </si>
  <si>
    <t>0981219794</t>
  </si>
  <si>
    <t>Lê Thành Khoan</t>
  </si>
  <si>
    <t>23/03/1993</t>
  </si>
  <si>
    <t>056093007660</t>
  </si>
  <si>
    <t>14/08/2021</t>
  </si>
  <si>
    <t>Hòa Diêm, Cam Thịnh Đông, Cam Ranh, Khánh Hòa</t>
  </si>
  <si>
    <t>56-22480</t>
  </si>
  <si>
    <t>0343839678</t>
  </si>
  <si>
    <t>Dương Tấn Quang</t>
  </si>
  <si>
    <t>18/07/1994</t>
  </si>
  <si>
    <t>212329966</t>
  </si>
  <si>
    <t>27/11/2020</t>
  </si>
  <si>
    <t>Phú Bình 1, Cam Tân, Cam Lâm, Khánh Hòa</t>
  </si>
  <si>
    <t>56-22435</t>
  </si>
  <si>
    <t>Khê Thanh Tuấn</t>
  </si>
  <si>
    <t>29/06/2001</t>
  </si>
  <si>
    <t>060201013051</t>
  </si>
  <si>
    <t>Bình Tiến, Phan Hiệp, Bắc Bình, Bình Thuận</t>
  </si>
  <si>
    <t>60-23044</t>
  </si>
  <si>
    <t>0946771675</t>
  </si>
  <si>
    <t>Phan Thành Thái</t>
  </si>
  <si>
    <t>10/07/2000</t>
  </si>
  <si>
    <t>056200008543</t>
  </si>
  <si>
    <t>05/07/2021</t>
  </si>
  <si>
    <t>Xuân Vinh, Vạn Hưng, Vạn Ninh, Khánh Hòa</t>
  </si>
  <si>
    <t xml:space="preserve">Sơ cấp Thông tin tín hiệu </t>
  </si>
  <si>
    <t>0383241202</t>
  </si>
  <si>
    <t>Đỗ Cao Quốc Thịnh</t>
  </si>
  <si>
    <t>225607566</t>
  </si>
  <si>
    <t>21/12/2017</t>
  </si>
  <si>
    <t>Tân Đức Đông, Vạn Lương, Vạn Ninh, Khánh Hòa</t>
  </si>
  <si>
    <t>56-22513</t>
  </si>
  <si>
    <t>Lê Tiến Đạt</t>
  </si>
  <si>
    <t>15/03/1995</t>
  </si>
  <si>
    <t>060095002252</t>
  </si>
  <si>
    <t>19/04/2021</t>
  </si>
  <si>
    <t>60-23188</t>
  </si>
  <si>
    <t>Nguyễn Đoàn Anh Tuấn</t>
  </si>
  <si>
    <t>16/01/2000</t>
  </si>
  <si>
    <t>060200007348</t>
  </si>
  <si>
    <t>06/07/2021</t>
  </si>
  <si>
    <t>0766872893</t>
  </si>
  <si>
    <t>Nguyễn Tuấn Vũ</t>
  </si>
  <si>
    <t>30/10/2002</t>
  </si>
  <si>
    <t>042202007388</t>
  </si>
  <si>
    <t>07/01/2022</t>
  </si>
  <si>
    <t>Hương Long, Hương Khê, Hà Tĩnh</t>
  </si>
  <si>
    <t>42-18526</t>
  </si>
  <si>
    <t>0356944942</t>
  </si>
  <si>
    <t>Hoàng Minh Thu</t>
  </si>
  <si>
    <t>05/08/1997</t>
  </si>
  <si>
    <t>044097007279</t>
  </si>
  <si>
    <t>15/08/2021</t>
  </si>
  <si>
    <t>Đông Bắc, Quảng Thủy, Thị xã Ba Đồn, Quảng Bình</t>
  </si>
  <si>
    <t>44-19096</t>
  </si>
  <si>
    <t>0352747023</t>
  </si>
  <si>
    <t>Nguyễn Việt Hiếu</t>
  </si>
  <si>
    <t>02/07/1995</t>
  </si>
  <si>
    <t>056095009285</t>
  </si>
  <si>
    <t>28/06/2021</t>
  </si>
  <si>
    <t>510/1 Vĩnh Điềm Trung, Vĩnh Hiệp, Thành phố Nha Trang, Khánh Hòa</t>
  </si>
  <si>
    <t>56-22399</t>
  </si>
  <si>
    <t>0935790141</t>
  </si>
  <si>
    <t>Nguyễn Ngọc Quý</t>
  </si>
  <si>
    <t>01/05/1997</t>
  </si>
  <si>
    <t>054097003158</t>
  </si>
  <si>
    <t>18/11/2021</t>
  </si>
  <si>
    <t>Thôn An Thổ, xã An Dân, Huyện Tuy An, Tỉnh Phú Yên</t>
  </si>
  <si>
    <t>0327770082</t>
  </si>
  <si>
    <t>Uông Nguyễn Nhật Minh</t>
  </si>
  <si>
    <t>16/06/1994</t>
  </si>
  <si>
    <t>040094005338</t>
  </si>
  <si>
    <t>18/10/2022</t>
  </si>
  <si>
    <t>Xóm Đức Thọ, Hưng Lộc, Thành phố Vinh, Nghệ An</t>
  </si>
  <si>
    <t>0937691909</t>
  </si>
  <si>
    <t>096178008168</t>
  </si>
  <si>
    <t>26/12/2021</t>
  </si>
  <si>
    <t>Cao Hoàng Phương</t>
  </si>
  <si>
    <t>13/08/1990</t>
  </si>
  <si>
    <t>312163809</t>
  </si>
  <si>
    <t>102, tổ 6, Khu 4, Thị trấn Cái Bè, Huyện Cái Bè, Tỉnh Tiền Giang</t>
  </si>
  <si>
    <t>82-28360</t>
  </si>
  <si>
    <t>0344974507</t>
  </si>
  <si>
    <t>Kỹ sư kỹ thuật viễn thông
Cử nhân Kinh tế Kế toán</t>
  </si>
  <si>
    <t>Nguyễn Tấn Thịnh</t>
  </si>
  <si>
    <t>08/11/2000</t>
  </si>
  <si>
    <t>054200006588</t>
  </si>
  <si>
    <t>Xã Xuân Quang 3, Đồng Xuân, Phú Yên.</t>
  </si>
  <si>
    <t>5420407536</t>
  </si>
  <si>
    <t>7932072622</t>
  </si>
  <si>
    <t>7524954297</t>
  </si>
  <si>
    <t>7523998264</t>
  </si>
  <si>
    <t>4420816389</t>
  </si>
  <si>
    <t>5615001724</t>
  </si>
  <si>
    <t>7415072333</t>
  </si>
  <si>
    <t>4216509571</t>
  </si>
  <si>
    <t>8216046135</t>
  </si>
  <si>
    <t>5816005686</t>
  </si>
  <si>
    <t>7935795998</t>
  </si>
  <si>
    <t>6020498173</t>
  </si>
  <si>
    <t>6021681537</t>
  </si>
  <si>
    <t>6020752970</t>
  </si>
  <si>
    <t>6020887782</t>
  </si>
  <si>
    <t>7916084467</t>
  </si>
  <si>
    <t>6020797593</t>
  </si>
  <si>
    <t>5621683975</t>
  </si>
  <si>
    <t>5620665674</t>
  </si>
  <si>
    <t>6020896164</t>
  </si>
  <si>
    <t>5620681049</t>
  </si>
  <si>
    <t>5620710019</t>
  </si>
  <si>
    <t>5620894690</t>
  </si>
  <si>
    <t>5621546574</t>
  </si>
  <si>
    <t>5621018220</t>
  </si>
  <si>
    <t>5621123915</t>
  </si>
  <si>
    <t>5620822647</t>
  </si>
  <si>
    <t>5420297269</t>
  </si>
  <si>
    <t>5615860319</t>
  </si>
  <si>
    <t>7415039279</t>
  </si>
  <si>
    <t>7914078520</t>
  </si>
  <si>
    <t>5421218021</t>
  </si>
  <si>
    <t>5420344933</t>
  </si>
  <si>
    <t>7914078504</t>
  </si>
  <si>
    <t>5420344229</t>
  </si>
  <si>
    <t>5420273207</t>
  </si>
  <si>
    <t>7515143430</t>
  </si>
  <si>
    <t>5420589490</t>
  </si>
  <si>
    <t>30/07/1991</t>
  </si>
  <si>
    <t>079091029303</t>
  </si>
  <si>
    <t>19/04/2022</t>
  </si>
  <si>
    <t>244E Bình Thới Phường 10 Quận 11, Tp. Hồ Chí Minh</t>
  </si>
  <si>
    <t>0934999901</t>
  </si>
  <si>
    <t>040074006033</t>
  </si>
  <si>
    <t>045065006284</t>
  </si>
  <si>
    <t>079176019763</t>
  </si>
  <si>
    <t>040083019384</t>
  </si>
  <si>
    <t>040086028562</t>
  </si>
  <si>
    <t>034082022735</t>
  </si>
  <si>
    <t>001083060041</t>
  </si>
  <si>
    <t>030084015423</t>
  </si>
  <si>
    <t>030073013811</t>
  </si>
  <si>
    <t>034071018105</t>
  </si>
  <si>
    <t>054078010823</t>
  </si>
  <si>
    <t>079073021896</t>
  </si>
  <si>
    <t>027070000328</t>
  </si>
  <si>
    <t>031076006219</t>
  </si>
  <si>
    <t>068085003326</t>
  </si>
  <si>
    <t>034074017767</t>
  </si>
  <si>
    <t>031083018133</t>
  </si>
  <si>
    <t>083084005830</t>
  </si>
  <si>
    <t>001175044754</t>
  </si>
  <si>
    <t>036075007581</t>
  </si>
  <si>
    <t>030069012211</t>
  </si>
  <si>
    <t>058079004819</t>
  </si>
  <si>
    <t>060081012418</t>
  </si>
  <si>
    <t>040076006190</t>
  </si>
  <si>
    <t>010072003892</t>
  </si>
  <si>
    <t>036081021522</t>
  </si>
  <si>
    <t>034076012726</t>
  </si>
  <si>
    <t>037083007374</t>
  </si>
  <si>
    <t>025076018604</t>
  </si>
  <si>
    <t>036085005131</t>
  </si>
  <si>
    <t>045086005294</t>
  </si>
  <si>
    <t>060085003972</t>
  </si>
  <si>
    <t>079078014834</t>
  </si>
  <si>
    <t>058082007114</t>
  </si>
  <si>
    <t>054174000398</t>
  </si>
  <si>
    <t>035182000693</t>
  </si>
  <si>
    <t>058079006077</t>
  </si>
  <si>
    <t>046097014665</t>
  </si>
  <si>
    <t>048072000429</t>
  </si>
  <si>
    <t>036085025478</t>
  </si>
  <si>
    <t>022082013424</t>
  </si>
  <si>
    <t>030072014401</t>
  </si>
  <si>
    <t>058074000445</t>
  </si>
  <si>
    <t>042070012581</t>
  </si>
  <si>
    <t>015074011845</t>
  </si>
  <si>
    <t>042088003956</t>
  </si>
  <si>
    <t>046184001969</t>
  </si>
  <si>
    <t>036185017626</t>
  </si>
  <si>
    <t>040086010911</t>
  </si>
  <si>
    <t>056180008461</t>
  </si>
  <si>
    <t>036097014073</t>
  </si>
  <si>
    <t>052071006124</t>
  </si>
  <si>
    <t>036074011049</t>
  </si>
  <si>
    <t>030073013236</t>
  </si>
  <si>
    <t>036085006950</t>
  </si>
  <si>
    <t>046088008926</t>
  </si>
  <si>
    <t>036074018935</t>
  </si>
  <si>
    <t>035074002310</t>
  </si>
  <si>
    <t>038076003147</t>
  </si>
  <si>
    <t>036094007553</t>
  </si>
  <si>
    <t>040092008491</t>
  </si>
  <si>
    <t>038089040038</t>
  </si>
  <si>
    <t>038098012680</t>
  </si>
  <si>
    <t>038093018093</t>
  </si>
  <si>
    <t>030077020114</t>
  </si>
  <si>
    <t>038076017787</t>
  </si>
  <si>
    <t>036081017690</t>
  </si>
  <si>
    <t>040076008743</t>
  </si>
  <si>
    <t>037081003705</t>
  </si>
  <si>
    <t>038093019112</t>
  </si>
  <si>
    <t>030076019422</t>
  </si>
  <si>
    <t>038081028602</t>
  </si>
  <si>
    <t>033093005549</t>
  </si>
  <si>
    <t>033071010374</t>
  </si>
  <si>
    <t>027072005412</t>
  </si>
  <si>
    <t>038070012767</t>
  </si>
  <si>
    <t>034072011276</t>
  </si>
  <si>
    <t>075088020449</t>
  </si>
  <si>
    <t>036080022978</t>
  </si>
  <si>
    <t>075070005394</t>
  </si>
  <si>
    <t>044096005122</t>
  </si>
  <si>
    <t>075099014245</t>
  </si>
  <si>
    <t>075095010777</t>
  </si>
  <si>
    <t>040090022502</t>
  </si>
  <si>
    <t>035072008117</t>
  </si>
  <si>
    <t>033075014044</t>
  </si>
  <si>
    <t>060071005695</t>
  </si>
  <si>
    <t>042073015421</t>
  </si>
  <si>
    <t>040078007470</t>
  </si>
  <si>
    <t>060091002261</t>
  </si>
  <si>
    <t>075090018464</t>
  </si>
  <si>
    <t>075086002476</t>
  </si>
  <si>
    <t>030071017708</t>
  </si>
  <si>
    <t>033085009236</t>
  </si>
  <si>
    <t>075096020941</t>
  </si>
  <si>
    <t>075092007385</t>
  </si>
  <si>
    <t>075084001236</t>
  </si>
  <si>
    <t>082090016803</t>
  </si>
  <si>
    <t>040067017646</t>
  </si>
  <si>
    <t>058082008518</t>
  </si>
  <si>
    <t>036072009671</t>
  </si>
  <si>
    <t>058084007620</t>
  </si>
  <si>
    <t>026086014130</t>
  </si>
  <si>
    <t>058088004116</t>
  </si>
  <si>
    <t>058090000114</t>
  </si>
  <si>
    <t>058174007217</t>
  </si>
  <si>
    <t>044072010674</t>
  </si>
  <si>
    <t>042072001006</t>
  </si>
  <si>
    <t>042078000777</t>
  </si>
  <si>
    <t>030072014846</t>
  </si>
  <si>
    <t>074088005952</t>
  </si>
  <si>
    <t>030072017268</t>
  </si>
  <si>
    <t>037075012166</t>
  </si>
  <si>
    <t>042071005717</t>
  </si>
  <si>
    <t>060182013852</t>
  </si>
  <si>
    <t>060184003371</t>
  </si>
  <si>
    <t>035077004119</t>
  </si>
  <si>
    <t>001072028248</t>
  </si>
  <si>
    <t>058093005512</t>
  </si>
  <si>
    <t>051070002106</t>
  </si>
  <si>
    <t>058087008323</t>
  </si>
  <si>
    <t>058076003005</t>
  </si>
  <si>
    <t>077073005496</t>
  </si>
  <si>
    <t>060082003027</t>
  </si>
  <si>
    <t>034087007791</t>
  </si>
  <si>
    <t>036094018455</t>
  </si>
  <si>
    <t>058081000558</t>
  </si>
  <si>
    <t>058076000216</t>
  </si>
  <si>
    <t>042073014852</t>
  </si>
  <si>
    <t>034075019796</t>
  </si>
  <si>
    <t>058083000823</t>
  </si>
  <si>
    <t>058201000449</t>
  </si>
  <si>
    <t>058096009988</t>
  </si>
  <si>
    <t>056092001006</t>
  </si>
  <si>
    <t>058084006783</t>
  </si>
  <si>
    <t>038071023317</t>
  </si>
  <si>
    <t>038074022325</t>
  </si>
  <si>
    <t>051082014683</t>
  </si>
  <si>
    <t>060091011898</t>
  </si>
  <si>
    <t>060095002684</t>
  </si>
  <si>
    <t>060090010702</t>
  </si>
  <si>
    <t>060091017021</t>
  </si>
  <si>
    <t>060091006562</t>
  </si>
  <si>
    <t>068075005138</t>
  </si>
  <si>
    <t>042075013631</t>
  </si>
  <si>
    <t>044084009762</t>
  </si>
  <si>
    <t>060088005797</t>
  </si>
  <si>
    <t>042094005610</t>
  </si>
  <si>
    <t>060094011374</t>
  </si>
  <si>
    <t>060097010401</t>
  </si>
  <si>
    <t>058089000666</t>
  </si>
  <si>
    <t>060097004814</t>
  </si>
  <si>
    <t>060072006822</t>
  </si>
  <si>
    <t>060089014330</t>
  </si>
  <si>
    <t>060088002663</t>
  </si>
  <si>
    <t>060089004527</t>
  </si>
  <si>
    <t>060093008174</t>
  </si>
  <si>
    <t>060087013433</t>
  </si>
  <si>
    <t>060097005978</t>
  </si>
  <si>
    <t>060068009129</t>
  </si>
  <si>
    <t>060070001985</t>
  </si>
  <si>
    <t>037076011999</t>
  </si>
  <si>
    <t>044093011772</t>
  </si>
  <si>
    <t>040074008158</t>
  </si>
  <si>
    <t>060091010009</t>
  </si>
  <si>
    <t>060095001983</t>
  </si>
  <si>
    <t>054068009571</t>
  </si>
  <si>
    <t>054077005710</t>
  </si>
  <si>
    <t>056071005231</t>
  </si>
  <si>
    <t>056084007940</t>
  </si>
  <si>
    <t>034080016614</t>
  </si>
  <si>
    <t>056188002215</t>
  </si>
  <si>
    <t>066185008926</t>
  </si>
  <si>
    <t>038174025546</t>
  </si>
  <si>
    <t>056071006921</t>
  </si>
  <si>
    <t>038081020839</t>
  </si>
  <si>
    <t>056083007886</t>
  </si>
  <si>
    <t>054076005826</t>
  </si>
  <si>
    <t>054181003691</t>
  </si>
  <si>
    <t>054072004992</t>
  </si>
  <si>
    <t>054080010175</t>
  </si>
  <si>
    <t>052081003755</t>
  </si>
  <si>
    <t>054087011165</t>
  </si>
  <si>
    <t>054075006881</t>
  </si>
  <si>
    <t>054186005866</t>
  </si>
  <si>
    <t>054184012056</t>
  </si>
  <si>
    <t>054085008649</t>
  </si>
  <si>
    <t>056178005103</t>
  </si>
  <si>
    <t>056087001994</t>
  </si>
  <si>
    <t>034186016307</t>
  </si>
  <si>
    <t>056183005180</t>
  </si>
  <si>
    <t>056072005881</t>
  </si>
  <si>
    <t>040073020810</t>
  </si>
  <si>
    <t>056086010110</t>
  </si>
  <si>
    <t>054092007956</t>
  </si>
  <si>
    <t>056084010167</t>
  </si>
  <si>
    <t>056087009947</t>
  </si>
  <si>
    <t>056094005976</t>
  </si>
  <si>
    <t>056090007753</t>
  </si>
  <si>
    <t>054089006598</t>
  </si>
  <si>
    <t>056300005667</t>
  </si>
  <si>
    <t>056095014115</t>
  </si>
  <si>
    <t>056071007578</t>
  </si>
  <si>
    <t>056070001828</t>
  </si>
  <si>
    <t>056091007322</t>
  </si>
  <si>
    <t>056094005879</t>
  </si>
  <si>
    <t>056070008843</t>
  </si>
  <si>
    <t>056096009657</t>
  </si>
  <si>
    <t>056091013167</t>
  </si>
  <si>
    <t>056092013146</t>
  </si>
  <si>
    <t>001076071276</t>
  </si>
  <si>
    <t>056077013792</t>
  </si>
  <si>
    <t>051079006887</t>
  </si>
  <si>
    <t>056089011637</t>
  </si>
  <si>
    <t>056079018136</t>
  </si>
  <si>
    <t>038076017953</t>
  </si>
  <si>
    <t>022075011165</t>
  </si>
  <si>
    <t>056078016008</t>
  </si>
  <si>
    <t>040073027428</t>
  </si>
  <si>
    <t>054091007719</t>
  </si>
  <si>
    <t>054088005285</t>
  </si>
  <si>
    <t>056094009721</t>
  </si>
  <si>
    <t>056096012106</t>
  </si>
  <si>
    <t>056094004844</t>
  </si>
  <si>
    <t>056094002684</t>
  </si>
  <si>
    <t>051086015409</t>
  </si>
  <si>
    <t>051094010770</t>
  </si>
  <si>
    <t>054074011020</t>
  </si>
  <si>
    <t>052087002318</t>
  </si>
  <si>
    <t>052094001580</t>
  </si>
  <si>
    <t>054095003612</t>
  </si>
  <si>
    <t>052094000909</t>
  </si>
  <si>
    <t>054093000423</t>
  </si>
  <si>
    <t>052093004882</t>
  </si>
  <si>
    <t>054090009496</t>
  </si>
  <si>
    <t>054093010802</t>
  </si>
  <si>
    <t>054095011028</t>
  </si>
  <si>
    <t>054098006763</t>
  </si>
  <si>
    <t>054072000208</t>
  </si>
  <si>
    <t>054077003570</t>
  </si>
  <si>
    <t>054070000306</t>
  </si>
  <si>
    <t>054088002178</t>
  </si>
  <si>
    <t>054094001429</t>
  </si>
  <si>
    <t>054087001297</t>
  </si>
  <si>
    <t>054092001600</t>
  </si>
  <si>
    <t>054095000685</t>
  </si>
  <si>
    <t>054094009083</t>
  </si>
  <si>
    <t>051075012756</t>
  </si>
  <si>
    <t>036072029169</t>
  </si>
  <si>
    <t>054077005105</t>
  </si>
  <si>
    <t>019070012618</t>
  </si>
  <si>
    <t>054088008174</t>
  </si>
  <si>
    <t>054088006605</t>
  </si>
  <si>
    <t>054094006744</t>
  </si>
  <si>
    <t>054085004460</t>
  </si>
  <si>
    <t>054094010142</t>
  </si>
  <si>
    <t>054072004399</t>
  </si>
  <si>
    <t>054092011928</t>
  </si>
  <si>
    <t>054094000563</t>
  </si>
  <si>
    <t>022069003181</t>
  </si>
  <si>
    <t>030073008245</t>
  </si>
  <si>
    <t>030073015254</t>
  </si>
  <si>
    <t>056086012317</t>
  </si>
  <si>
    <t>054092005031</t>
  </si>
  <si>
    <t>054093005844</t>
  </si>
  <si>
    <t>054097010130</t>
  </si>
  <si>
    <t>CCCD</t>
  </si>
  <si>
    <t>040072026497</t>
  </si>
  <si>
    <t>056087012803</t>
  </si>
  <si>
    <t>060072007166</t>
  </si>
  <si>
    <t>Lê Văn Cường</t>
  </si>
  <si>
    <t>058097000233</t>
  </si>
  <si>
    <t>25/03/2021</t>
  </si>
  <si>
    <t>Số 07 Bác Ái, Phường Đô Vinh, Thành phố Phan Rang - Tháp Chàm, Ninh Thuận</t>
  </si>
  <si>
    <t>11/08/1997</t>
  </si>
  <si>
    <t>Phan Tấn Thịnh</t>
  </si>
  <si>
    <t>Thôn La Bá, Xã Phong Phú, Huyện Tuy Phong, Tỉnh Bình Thuận</t>
  </si>
  <si>
    <t>27/12/2021</t>
  </si>
  <si>
    <t>060095010315</t>
  </si>
  <si>
    <t>23/04/1995</t>
  </si>
  <si>
    <t>Huỳnh Thanh Tài</t>
  </si>
  <si>
    <t>0392996365</t>
  </si>
  <si>
    <t>7932863029</t>
  </si>
  <si>
    <t>Trần Huỳnh Minh Hoài</t>
  </si>
  <si>
    <t>060202002048</t>
  </si>
  <si>
    <t>04/05/2021</t>
  </si>
  <si>
    <t>Thôn Hòa Bình, Xã Sông Lũy, Huyện Bắc Bình, Tỉnh Bình Thuận</t>
  </si>
  <si>
    <t>Cao đẳng Công nghệ thông tin</t>
  </si>
  <si>
    <t>07/05/2021</t>
  </si>
  <si>
    <t>12/12</t>
  </si>
  <si>
    <t>01/01/2002</t>
  </si>
  <si>
    <t>Nguyễn Xuân Trung</t>
  </si>
  <si>
    <t>07/01/1995</t>
  </si>
  <si>
    <t>264440731</t>
  </si>
  <si>
    <t>31/10/2018</t>
  </si>
  <si>
    <t xml:space="preserve">CA. Ninh Thuận </t>
  </si>
  <si>
    <t>Khu phố 3, Phường Đô Vinh, Thành phố Phan Rang – Tháp Chàm, Tỉnh Ninh Thuận</t>
  </si>
  <si>
    <t>Lê Hùng Sơn</t>
  </si>
  <si>
    <t>038202026890</t>
  </si>
  <si>
    <t>12/01/2022</t>
  </si>
  <si>
    <t>Thôn 2, Hàm Liêm, Hàm Thuận Bắc, Tỉnh Bình Thuận</t>
  </si>
  <si>
    <t>Nguyễn Văn Boan</t>
  </si>
  <si>
    <t>27/02/1993</t>
  </si>
  <si>
    <t>060093014971</t>
  </si>
  <si>
    <t>10/05/2021</t>
  </si>
  <si>
    <t>Thôn 3, Xã Hồng Sơn, Huyện Hàm Thuận Bắc, Tỉnh Bình Thuận</t>
  </si>
  <si>
    <t>058095008044</t>
  </si>
  <si>
    <t>Nguyễn Hải Linh</t>
  </si>
  <si>
    <t>04/04/1990</t>
  </si>
  <si>
    <t>Tổ 2, Thôn Hòa Bình, Xã Sông Lũy, Huyện Bắc Bình, Tỉnh Bình Thuận</t>
  </si>
  <si>
    <t>060090017156</t>
  </si>
  <si>
    <t>Lê Đức Anh</t>
  </si>
  <si>
    <t>24/09/1997</t>
  </si>
  <si>
    <t>060097014057</t>
  </si>
  <si>
    <t>Xóm 4 thôn 3, Xã Suối Kiết, Huyện Tánh Linh, Tỉnh Bình Thuận</t>
  </si>
  <si>
    <t>Cao đẳng công nghệ kỹ thuật ô tô</t>
  </si>
  <si>
    <t>Đào Xuân Thịnh</t>
  </si>
  <si>
    <t>28/02/2001</t>
  </si>
  <si>
    <t>060201009314</t>
  </si>
  <si>
    <t>Tổ 5 thôn 4, Xã Hồng Sơn, Huyện Hàm Thuận Bắc, Tỉnh Bình Thuận</t>
  </si>
  <si>
    <t>7909175801</t>
  </si>
  <si>
    <t>0296289285</t>
  </si>
  <si>
    <t>01/07/1975</t>
  </si>
  <si>
    <t>Cử nhân quản trị kinh doanh</t>
  </si>
  <si>
    <t>0848868628</t>
  </si>
  <si>
    <t>Lê Nhật Tân</t>
  </si>
  <si>
    <t>07/10/2002</t>
  </si>
  <si>
    <t>054202008623</t>
  </si>
  <si>
    <t>31/05/2021</t>
  </si>
  <si>
    <t>Thôn Phước Mỹ, Xã Hòa Bình I, Huyện Tây Hòa, Tỉnh Phú Yên</t>
  </si>
  <si>
    <t>056089002833</t>
  </si>
  <si>
    <t>05/12/2021</t>
  </si>
  <si>
    <t>0847404616</t>
  </si>
  <si>
    <t>Lê Anh Kha</t>
  </si>
  <si>
    <t>01/01/1998</t>
  </si>
  <si>
    <t>054098006062</t>
  </si>
  <si>
    <t>26/06/2021</t>
  </si>
  <si>
    <t>Khu phố Dân Phước, Phường Xuân Thành, Thị xã Sông Cầu, Tỉnh Phú Yên</t>
  </si>
  <si>
    <t>0945213532</t>
  </si>
  <si>
    <t>08/06/2022</t>
  </si>
  <si>
    <t>068179001469</t>
  </si>
  <si>
    <t>049094001558</t>
  </si>
  <si>
    <t>042077004240</t>
  </si>
  <si>
    <t>044081005417</t>
  </si>
  <si>
    <t>034078011647</t>
  </si>
  <si>
    <t>042073014589</t>
  </si>
  <si>
    <t>058075000953</t>
  </si>
  <si>
    <t>042075013493</t>
  </si>
  <si>
    <t>075091025228</t>
  </si>
  <si>
    <t>056093002530</t>
  </si>
  <si>
    <t>058087002020</t>
  </si>
  <si>
    <t>Nguyễn Quỳnh Châu</t>
  </si>
  <si>
    <t>13/03/1991</t>
  </si>
  <si>
    <t>058091008366</t>
  </si>
  <si>
    <t>Nha Hố 2, Nhơn Sơn, Ninh Sơn, Ninh Thuận</t>
  </si>
  <si>
    <t>0908735824</t>
  </si>
  <si>
    <t>Lê Trường Thông</t>
  </si>
  <si>
    <t>5420635502</t>
  </si>
  <si>
    <t>056092002834</t>
  </si>
  <si>
    <t>Thôn Tây Bắc 2, Xã Đại Lãnh, Huyện Vạn Ninh, Tỉnh Khánh Hòa</t>
  </si>
  <si>
    <t>Cao đẳng Công nghệ Kỹ thuật điện điện tử</t>
  </si>
  <si>
    <t>0377079119</t>
  </si>
  <si>
    <t>24/01/2005</t>
  </si>
  <si>
    <t>060205010386</t>
  </si>
  <si>
    <t>Thôn Tân Quang, Xã Sông Phan, Huyện Hàm Tân, Tỉnh Bình Thuận</t>
  </si>
  <si>
    <t>60-23239</t>
  </si>
  <si>
    <t>0392478414</t>
  </si>
  <si>
    <t>Nguyễn Văn Chính</t>
  </si>
  <si>
    <t>20/04/1995</t>
  </si>
  <si>
    <t>060095009628</t>
  </si>
  <si>
    <t>Thôn Tân Hòa, Xã Sông Phan, Huyện Hàm Tân, Tỉnh Bình Thuận</t>
  </si>
  <si>
    <t>0386170520</t>
  </si>
  <si>
    <t>26/03/2002</t>
  </si>
  <si>
    <t>6020496581</t>
  </si>
  <si>
    <t>Thạc sỹ Quản lý Giáo dục</t>
  </si>
  <si>
    <t>Võ Đình Minh Quang</t>
  </si>
  <si>
    <t>14/09/2004</t>
  </si>
  <si>
    <t>060204004069</t>
  </si>
  <si>
    <t>036086009427</t>
  </si>
  <si>
    <t>Ngô Hùng</t>
  </si>
  <si>
    <t>10/09/2002</t>
  </si>
  <si>
    <t>060202004043</t>
  </si>
  <si>
    <t>Căn hộ A19-11, Chung cư Dreamhome Palace. số 1436 Trịnh Quang Nghị, P.7. Q.8, TP.HCM</t>
  </si>
  <si>
    <t>Nguyễn Ngọc Thanh</t>
  </si>
  <si>
    <t>17/08/1991</t>
  </si>
  <si>
    <t>056091008979</t>
  </si>
  <si>
    <t>Cam An Nam, Cam Lâm, Khánh Hòa</t>
  </si>
  <si>
    <t>0367415063</t>
  </si>
  <si>
    <t>Nguyễn Thị Thúy Hằng</t>
  </si>
  <si>
    <t>12/08/1983</t>
  </si>
  <si>
    <t>040183034004</t>
  </si>
  <si>
    <t>06/08/2023</t>
  </si>
  <si>
    <t>Cử nhân Kế toán
Cử nhân Quản trị kinh doanh</t>
  </si>
  <si>
    <t>09165694868</t>
  </si>
  <si>
    <t>Võ Văn Phúc</t>
  </si>
  <si>
    <t>02/11/2002</t>
  </si>
  <si>
    <t>054202002513</t>
  </si>
  <si>
    <t>Thôn Lãnh Vân, Xã Xuân Lãnh, Huyện Đồng Xuân, Tỉnh Phú Yên</t>
  </si>
  <si>
    <t>0379917765</t>
  </si>
  <si>
    <t>15/05/2002</t>
  </si>
  <si>
    <t>060202009986</t>
  </si>
  <si>
    <t>24/06/2021</t>
  </si>
  <si>
    <t>Thôn Tân Qunag, Xã Sông Phan, Huyện Hàm Tân, Tỉnh Bình Thuận</t>
  </si>
  <si>
    <t>0352800481</t>
  </si>
  <si>
    <t>Phạm Lê Thanh Duy</t>
  </si>
  <si>
    <t>21/11/2000</t>
  </si>
  <si>
    <t>060200008677</t>
  </si>
  <si>
    <t>26/12/2022</t>
  </si>
  <si>
    <t>0833279793</t>
  </si>
  <si>
    <t>Nguyễn Hữu Hòa</t>
  </si>
  <si>
    <t>20/01/2001</t>
  </si>
  <si>
    <t>052201005426</t>
  </si>
  <si>
    <t>Khu phố Hiệp Giao, Thị trấn Vân Canh, Huyện Vân Canh, Tỉnh Bình Định</t>
  </si>
  <si>
    <t>0879429634</t>
  </si>
  <si>
    <t>Võ Hữu Phát</t>
  </si>
  <si>
    <t>10/01/2002</t>
  </si>
  <si>
    <t>5620709214</t>
  </si>
  <si>
    <t>056202005163</t>
  </si>
  <si>
    <t>04/08/2022</t>
  </si>
  <si>
    <t>0335094563</t>
  </si>
  <si>
    <t>0385921603</t>
  </si>
  <si>
    <t>056070006708</t>
  </si>
  <si>
    <t>22/12/2007</t>
  </si>
  <si>
    <t>0905983469</t>
  </si>
  <si>
    <t>01.1002 CC Hà Đô Centrosa Garden, đường 3/2 P.12 Q.10</t>
  </si>
  <si>
    <t>Nguyễn Văn Tân</t>
  </si>
  <si>
    <t>03/10/1991</t>
  </si>
  <si>
    <t>027091000078</t>
  </si>
  <si>
    <t>14/08/2022</t>
  </si>
  <si>
    <t>184/1B Ấp Tam Đông 1, Xã Thới Tam Thôn, Huyện Hóc Môn</t>
  </si>
  <si>
    <t>0931382882</t>
  </si>
  <si>
    <t>Cao Đức, Gia Bình, Bắc Ninh</t>
  </si>
  <si>
    <t>Cao đẳng Công nghệ Kỹ thuật Điện, Điện tử</t>
  </si>
  <si>
    <t>Trần Trung Sơn</t>
  </si>
  <si>
    <t>21/07/2000</t>
  </si>
  <si>
    <t>060200010142</t>
  </si>
  <si>
    <t>Cao đẳng Công nghệ thông tin (ứng dụng phần mềm)</t>
  </si>
  <si>
    <t>0775643572</t>
  </si>
  <si>
    <t>Nguyễn Văn Thái GR</t>
  </si>
  <si>
    <t>Nguyễn Văn Thái ST</t>
  </si>
  <si>
    <t>20/10/1993</t>
  </si>
  <si>
    <t>042093004779</t>
  </si>
  <si>
    <t>01/11/2022</t>
  </si>
  <si>
    <t>Xóm 8 Hương Đô, Hương Khê, Hà Tĩnh</t>
  </si>
  <si>
    <t>Số 3 Lê Lai, Phường 3 Gò Vấp</t>
  </si>
  <si>
    <t>0971644867</t>
  </si>
  <si>
    <t>Kỹ sư công nghệ kỹ thuật điện tử viễn thông</t>
  </si>
  <si>
    <t>Giám đốc XN</t>
  </si>
  <si>
    <t>03/08/1969</t>
  </si>
  <si>
    <t>Trần Văn Minh</t>
  </si>
  <si>
    <t>20/10/2003</t>
  </si>
  <si>
    <t>060203001526</t>
  </si>
  <si>
    <t>31/03/2021</t>
  </si>
  <si>
    <t>Thôn Hội Tâm, Hòa Minh, Tuy Phong, Bình Thuận</t>
  </si>
  <si>
    <t>60-22996</t>
  </si>
  <si>
    <t>Trần Văn Chung</t>
  </si>
  <si>
    <t>07/06/2000</t>
  </si>
  <si>
    <t>042200006122</t>
  </si>
  <si>
    <t>28/01/2023</t>
  </si>
  <si>
    <t>Xã Hương Bình, Huyện Hương Khê, Tỉnh Hà Tĩnh</t>
  </si>
  <si>
    <t>42-18523</t>
  </si>
  <si>
    <t>Trung cấp công nghệ ô tô</t>
  </si>
  <si>
    <t>Nguyễn Tuấn Linh</t>
  </si>
  <si>
    <t>10/11/2002</t>
  </si>
  <si>
    <t>075202006954</t>
  </si>
  <si>
    <t>12/08/2021</t>
  </si>
  <si>
    <t>Ấp Phượng Vỹ, Xã Suối Cao, Huyện Xuân Lộc, Tỉnh Đồng Nai</t>
  </si>
  <si>
    <t>75-26431</t>
  </si>
  <si>
    <t>Cao đẳng Công nghệ Kỹ thuật Điều khiển và tự động hóa</t>
  </si>
  <si>
    <t>Kỹ sư Kỹ thuật điện tử viễn thông</t>
  </si>
  <si>
    <t>7937378364</t>
  </si>
  <si>
    <t>6020825707</t>
  </si>
  <si>
    <t>7914281523</t>
  </si>
  <si>
    <t>0353354910</t>
  </si>
  <si>
    <t>4217484565</t>
  </si>
  <si>
    <t>7525657331</t>
  </si>
  <si>
    <t>6021286794</t>
  </si>
  <si>
    <t>7912144063</t>
  </si>
  <si>
    <t>0298023618</t>
  </si>
  <si>
    <t>7916440080</t>
  </si>
  <si>
    <t>0115070947</t>
  </si>
  <si>
    <t>5820829020</t>
  </si>
  <si>
    <t>5820680768</t>
  </si>
  <si>
    <t>5820159307</t>
  </si>
  <si>
    <t>6020385294</t>
  </si>
  <si>
    <t>6020952305</t>
  </si>
  <si>
    <t>6020715455</t>
  </si>
  <si>
    <t>6021283754</t>
  </si>
  <si>
    <t>6020542125</t>
  </si>
  <si>
    <t>6020567848</t>
  </si>
  <si>
    <t>6021174375</t>
  </si>
  <si>
    <t>6015003365</t>
  </si>
  <si>
    <t>6021336718</t>
  </si>
  <si>
    <t>6020814868</t>
  </si>
  <si>
    <t>6020964702</t>
  </si>
  <si>
    <t>6021150233</t>
  </si>
  <si>
    <t>7938107613</t>
  </si>
  <si>
    <t>5420176933</t>
  </si>
  <si>
    <t>5620660747</t>
  </si>
  <si>
    <t>5620611942</t>
  </si>
  <si>
    <t>5221468391</t>
  </si>
  <si>
    <t>5420305930</t>
  </si>
  <si>
    <t>01/08/2024</t>
  </si>
  <si>
    <t>01/09/2024</t>
  </si>
  <si>
    <t>Kỹ sư kỹ thuật điện tử &amp; truyền thông</t>
  </si>
  <si>
    <t>2/4</t>
  </si>
  <si>
    <t>1/2</t>
  </si>
  <si>
    <t>Trung tâm GSĐN</t>
  </si>
  <si>
    <t>TTGS</t>
  </si>
  <si>
    <t>Trạm Trưởng</t>
  </si>
  <si>
    <t>về Ma Lâm ngày 01/10/2024</t>
  </si>
  <si>
    <t>Sông Mao về Ma Lâm ngày 01/10/2024</t>
  </si>
  <si>
    <t>Sông Mao về Bình Thuận ngày 01/10/2024</t>
  </si>
  <si>
    <t>Nguyễn Trịnh Minh Quang</t>
  </si>
  <si>
    <t>08/04/2002</t>
  </si>
  <si>
    <t>Sôố 41 d9u77ong2 lương Văn Can, P Phước Mỹ, Tp Phan Rang Tháp Chàm, tỉnh Ninh Thuận</t>
  </si>
  <si>
    <t>Nguyễn Đàm Huy</t>
  </si>
  <si>
    <t>060202009556</t>
  </si>
  <si>
    <t>KP1 P Phu7oc1 Mỹ, Tp Phan Rang Tháp Chàm, tỉnh ninh Thuận</t>
  </si>
  <si>
    <t>01/01/2024</t>
  </si>
  <si>
    <t>Bệnh viện đa khoa tỉnh Ninh Thuận</t>
  </si>
  <si>
    <t>Trung tâm y tế tp Phan Rang - Tháp Chàm</t>
  </si>
  <si>
    <t>Trung tâm y tế huyện Tuy Phong</t>
  </si>
  <si>
    <t>Đỗ Anh Hào</t>
  </si>
  <si>
    <t>13/01/2006</t>
  </si>
  <si>
    <t>060206000614</t>
  </si>
  <si>
    <t>KP 2 Đô Vinh Tp Phan Rang Tháp Chàm, tỉnh Ninh Thuận</t>
  </si>
  <si>
    <t>Vy Ngọc Khánh</t>
  </si>
  <si>
    <t>14/05/2004</t>
  </si>
  <si>
    <t>01/11/2024</t>
  </si>
  <si>
    <t>Thôn 2 xã Sông Lũy,huyện Bắc Bình, tỉnh Bình Thuận</t>
  </si>
  <si>
    <t>Nguyễn Nhật Minh</t>
  </si>
  <si>
    <t>27/12/2002</t>
  </si>
  <si>
    <t>Xã Xuân Bắc, huyện Xuân Lộc, tỉnh Đồng Nai</t>
  </si>
  <si>
    <t>Kỹ sư CN kỹ thuật điện tử</t>
  </si>
  <si>
    <t>Bệnh viện quận Thủ Đức</t>
  </si>
  <si>
    <t>Trưởng  phòng</t>
  </si>
  <si>
    <t>Số 55/18/8 đường 48, phường Hiệp Bình Chánh, Tp Thủ Đức, Tp. Hồ Chí Minh</t>
  </si>
  <si>
    <t>060204004415</t>
  </si>
  <si>
    <t>075202010087</t>
  </si>
  <si>
    <t>0359844698</t>
  </si>
  <si>
    <t>0912621180</t>
  </si>
  <si>
    <t>0854366177</t>
  </si>
  <si>
    <t>Trung tâm y tế quận 3</t>
  </si>
  <si>
    <t>Bv đa khoa Vạn Hạnh</t>
  </si>
  <si>
    <t>BV Q11</t>
  </si>
  <si>
    <t>BV Quận 8</t>
  </si>
  <si>
    <t>Bệnh viện Quận 2</t>
  </si>
  <si>
    <t>Bệnh viện Gia Định</t>
  </si>
  <si>
    <t>Trạm y tế xã Sông Lũy</t>
  </si>
  <si>
    <t>Nguyễn Văn Cường</t>
  </si>
  <si>
    <t>08/09/1995</t>
  </si>
  <si>
    <t>056095013355</t>
  </si>
  <si>
    <t>Xã Vạn lương, huyện Vạn Ninh, tỉnh Khánh Hòa</t>
  </si>
  <si>
    <t>Cao đẳng kỹ thuật xây dựng</t>
  </si>
  <si>
    <t>03399166188</t>
  </si>
  <si>
    <t>01/07/1991</t>
  </si>
  <si>
    <t>054091006739</t>
  </si>
  <si>
    <t>Đặng Tấn Phong</t>
  </si>
  <si>
    <t>Thôn Phong Lãnh, xã An Lĩnh, huyện Tuy An, tỉnh Phú Yên</t>
  </si>
  <si>
    <t>Kỹ sư kỹ thuật xây dựng</t>
  </si>
  <si>
    <t>0383824797</t>
  </si>
  <si>
    <t>Vĩnh Hảo</t>
  </si>
  <si>
    <t>Tổ Kiểm tu &amp; Thiết bị TTTH</t>
  </si>
  <si>
    <t>Trần Duy Chương</t>
  </si>
  <si>
    <t>10/08/2002</t>
  </si>
  <si>
    <t>5/6</t>
  </si>
  <si>
    <t>038071023993</t>
  </si>
  <si>
    <t>Phòng khám đa khoa Đức Tín</t>
  </si>
  <si>
    <t>Trạm y tế xã Vạn Lương</t>
  </si>
  <si>
    <t>10/02/1997</t>
  </si>
  <si>
    <t xml:space="preserve"> Giám đốc Xí nghiệp</t>
  </si>
  <si>
    <t>Phó Giám đốcXí nghiệp</t>
  </si>
  <si>
    <t>Võ Quốc Thoại</t>
  </si>
  <si>
    <t>Cao Thị Thúy Hằng</t>
  </si>
  <si>
    <t>28/02/1978</t>
  </si>
  <si>
    <t>Trưởng Trung Tâm</t>
  </si>
  <si>
    <t>Phó Trung tâm</t>
  </si>
  <si>
    <t>034178015504</t>
  </si>
  <si>
    <t>058202000239</t>
  </si>
  <si>
    <t>Kỹ sư kinh tế Bưu chính viễn thông</t>
  </si>
  <si>
    <t>056200001315</t>
  </si>
  <si>
    <t>056202000389</t>
  </si>
  <si>
    <t>Cử nhân kỹ thuật điện</t>
  </si>
  <si>
    <t>Lê Ngọc Hoài</t>
  </si>
  <si>
    <t>21/07/1988</t>
  </si>
  <si>
    <t>075088020373</t>
  </si>
  <si>
    <t>Khu phố 8, phường Xuân An, Tp Long Khánh, tỉnh Đồng Nai</t>
  </si>
  <si>
    <t>Trung học chuyên nghiệp ngành CNTT</t>
  </si>
  <si>
    <t>Nguyễn Hữu Nghĩa</t>
  </si>
  <si>
    <t>18/03/2002</t>
  </si>
  <si>
    <t>087202002360</t>
  </si>
  <si>
    <t>Cử nhân Kỹ thuật điện tử</t>
  </si>
  <si>
    <t>Thạch Thành, Ninh Quang, thị xã Ninh Hòa, tỉnh Khánh Hòa</t>
  </si>
  <si>
    <t>448/95 đường Phan Huy Ích, P12, Q Gò Vấp, Tp HCM</t>
  </si>
  <si>
    <t>Kỹ thuật viên sửa chữa Điện tử - Điện lạnh, sơ cấp TTTH</t>
  </si>
  <si>
    <t>Phòng khám đa khoa Ái Nghĩa Long Khánh</t>
  </si>
  <si>
    <t>Bệnh viện nhân dân Gia Định</t>
  </si>
  <si>
    <t>Bệnh viện đa khoa Khánh Hòa</t>
  </si>
  <si>
    <t>Bênh viện Sài Gòn Nha Trang</t>
  </si>
  <si>
    <t>Trung tâm Y tế Phan Rang Tháp Chàm</t>
  </si>
  <si>
    <t>Họ và Tên</t>
  </si>
  <si>
    <t>Ngày vào ĐS</t>
  </si>
  <si>
    <t>Cung</t>
  </si>
  <si>
    <t>Phan Thị Hồng Tơ</t>
  </si>
  <si>
    <t>01/032035</t>
  </si>
  <si>
    <t>060182000501</t>
  </si>
  <si>
    <t>KP 5, P Bảo An, Tp Phan Rang Tháp Chàm, Ninh Thuận</t>
  </si>
  <si>
    <t>0988871715</t>
  </si>
  <si>
    <t>Phan Duy Phước</t>
  </si>
  <si>
    <t>24/02/2001</t>
  </si>
  <si>
    <t>058201005941</t>
  </si>
  <si>
    <t>Thôn Nho Lâm, xã Phước Nam, huyện Thuận Nam, tỉnh Ninh Thuận</t>
  </si>
  <si>
    <t>Nguyễn Trí Thức</t>
  </si>
  <si>
    <t>15/04/2005</t>
  </si>
  <si>
    <t>058205002329</t>
  </si>
  <si>
    <t>Kp 5, P Đô Vinh, Tp Phan Rang Tháp Chàm, Ninh Thuận</t>
  </si>
  <si>
    <t>Trương Xuân Hiên</t>
  </si>
  <si>
    <t>30/08/1993</t>
  </si>
  <si>
    <t>060093014724</t>
  </si>
  <si>
    <t>Sơ cấp TTTH đường sắt</t>
  </si>
  <si>
    <t>Tổ 3, thôn 4 Hồng Sơn, Huyện Hàm Thuận Bắc, tỉnh Bình Thuận</t>
  </si>
  <si>
    <t>Trung tâm y tế huyện Hàm Thuận Bắc</t>
  </si>
  <si>
    <t>Bệnh viện đa khoa tỉnh Ninh Thuận Khu vực 2</t>
  </si>
  <si>
    <t>29/13 đường số 4, Khu phố 2 phường Hiệp Bình Chánh, Tp Thủ Đức, Tp Hồ Chí Minh</t>
  </si>
  <si>
    <t>Số nhà 47/87/18 đường Trường Lưu, phường Long Trường, TP Thủ Đức, TP Hồ Chí Minh</t>
  </si>
  <si>
    <t>064073007556</t>
  </si>
  <si>
    <t>056095003393</t>
  </si>
  <si>
    <t>056086004790</t>
  </si>
  <si>
    <t>052091013765</t>
  </si>
  <si>
    <t>Lê Quốc Huy</t>
  </si>
  <si>
    <t>29/05/2001</t>
  </si>
  <si>
    <t>083201000937</t>
  </si>
  <si>
    <t>982/24 Quang Trung, P8 Gò Vấp, Tp HCM</t>
  </si>
  <si>
    <t>Sỹ sư kỹ thuật máy tính</t>
  </si>
  <si>
    <t>Lê Xuân Hiếu</t>
  </si>
  <si>
    <t>Trần Minh Chiến</t>
  </si>
  <si>
    <t>Nguyễn Văn Tấn</t>
  </si>
  <si>
    <t>060204007655</t>
  </si>
  <si>
    <t>Cao đẳng Công nghệ Ô tô</t>
  </si>
  <si>
    <t>06/01/2002</t>
  </si>
  <si>
    <t>075202001115</t>
  </si>
  <si>
    <t>80/4/22A tổ 45 Kp9, P Tân Phong, Biên Hòa Đồng Nai</t>
  </si>
  <si>
    <t>Cử nhân hệ thống điện giao thông</t>
  </si>
  <si>
    <t>16/11/2002</t>
  </si>
  <si>
    <t>052202013975</t>
  </si>
  <si>
    <t>Thôn Hanh Quang, xã Phước Lộc, huyện Tuy Phước, tỉnh Bình Định</t>
  </si>
  <si>
    <t>Kỹ sư Tự động hóa</t>
  </si>
  <si>
    <t>Bệnh viện Sài Gòn - Phan Rang</t>
  </si>
  <si>
    <t>Bệnh viện Tp Thủ Đức</t>
  </si>
  <si>
    <t>Bệnh viện Quận Gò Vấp</t>
  </si>
  <si>
    <t>Bệnh viện đa khoa Đồng Nai</t>
  </si>
  <si>
    <t>Nguyễn Giang Hà</t>
  </si>
  <si>
    <t>17/07/2002</t>
  </si>
  <si>
    <t>054202000787</t>
  </si>
  <si>
    <t>Thôn Định Trung 1, xã An Định, huyện Tuy An, tỉnh Phú Yên</t>
  </si>
  <si>
    <t>Kỹ sư Công nghệ kỹ thuật điện, điện tử</t>
  </si>
  <si>
    <t>0828944603</t>
  </si>
  <si>
    <t>13/11/2000</t>
  </si>
  <si>
    <t>060200010236</t>
  </si>
  <si>
    <t>431 Đằng Thành, Mương Mán, Hàm Thuận Nam, tỉnh Bình Thuận</t>
  </si>
  <si>
    <t>Kỹ sư Công nghệ kỹ thuật cơ khí</t>
  </si>
  <si>
    <t>431 Đằng Thành, Mương Mán, Hàm Thuận Nam, Bình Thuận</t>
  </si>
  <si>
    <t>Trạm y tế xã Sông Phan</t>
  </si>
  <si>
    <t>Thôn Tân Quang, xã Sông Phan, huyện Hàm Tân, tỉnh Bình Thuận</t>
  </si>
  <si>
    <t>BV đa khoa Phan Thiết</t>
  </si>
  <si>
    <t>Kỹ sư CNTT</t>
  </si>
  <si>
    <t>Cử nhân QTKD</t>
  </si>
  <si>
    <t>Xã Sông Lũy, huyện Bắc Bình, tỉnh Bình Thuận</t>
  </si>
  <si>
    <t>Nguyễn Lê Ngọc Châu</t>
  </si>
  <si>
    <t>01/11/2001</t>
  </si>
  <si>
    <t>060201011839</t>
  </si>
  <si>
    <t>Thôn Tuy Tịnh 1, xã Phong Phú, huyện Tuy Phong, tỉnh Bình Thuận</t>
  </si>
  <si>
    <t>Cao đằng công nghệ KT điện tử</t>
  </si>
  <si>
    <t>01/07/2025</t>
  </si>
  <si>
    <t>04/06/1997</t>
  </si>
  <si>
    <t>Cao đẳng Công nghệ kỹ thuật điện, Điện tử</t>
  </si>
  <si>
    <t>Khu phố 1, phường Phước Mỹ, thành phố Phan Rang Tháp Chàm, tỉnh Ninh Thuận.</t>
  </si>
  <si>
    <t>058097007194</t>
  </si>
  <si>
    <t>Phạm Ngọc Thành</t>
  </si>
  <si>
    <t>30/03/1993</t>
  </si>
  <si>
    <t>058093000963</t>
  </si>
  <si>
    <t>Thôn Hiệp Kết, xã Công Hải, huyện Thuận Bắc, tỉnh Ninh Thuận.</t>
  </si>
  <si>
    <t>Trung cấp nghề hàn</t>
  </si>
  <si>
    <t>Nguyễn Minh An</t>
  </si>
  <si>
    <t>06/12//2001</t>
  </si>
  <si>
    <t>060201004435</t>
  </si>
  <si>
    <t>Thôn 3, xã Hồng Sơn, huyện Thuận Bắc, tỉnh Bình Thuận</t>
  </si>
  <si>
    <t>Nguyễn Tấn Huy Đạt</t>
  </si>
  <si>
    <t>056206012952</t>
  </si>
  <si>
    <t xml:space="preserve">Võ Tánh, Vĩnh Lương, Nha Trang, Tỉnh Khánh Hòa. </t>
  </si>
  <si>
    <t>Phạm Hoàng Yến</t>
  </si>
  <si>
    <t>601/36/27 đường CMT8, phu7ong2 15, quận 10, Tp HCM</t>
  </si>
  <si>
    <t>079300022786</t>
  </si>
  <si>
    <t>BV Đồng Nai 2</t>
  </si>
  <si>
    <t>Bêmj viện huyện Bắc Bình ỉnh Bình Thuận</t>
  </si>
  <si>
    <t>BV Đa khoa Ninh Thuận cơ sờ 2</t>
  </si>
  <si>
    <t>Bệnh viện đa khoa tỉnh Ninh Thuận cơ sở 2</t>
  </si>
  <si>
    <t>18/06/2006</t>
  </si>
  <si>
    <t>13/05/2000</t>
  </si>
  <si>
    <t>Kỹ sư điều khiển học giao thông vận tải, CN QTKD</t>
  </si>
  <si>
    <t>01/10/2024</t>
  </si>
  <si>
    <t>01/03/2025</t>
  </si>
  <si>
    <t>Tổ Trưởng</t>
  </si>
  <si>
    <t>Nguyễn Trọng Tiến</t>
  </si>
  <si>
    <t>27/07/1999</t>
  </si>
  <si>
    <t>054099006902</t>
  </si>
  <si>
    <t>226 Nguyễn tất Thành, p2, tp Tuy Hòa, tỉnh Phú Yên</t>
  </si>
  <si>
    <t>Kỹ sư kỹ thuật cơ điện tử</t>
  </si>
  <si>
    <t>Phó Phòng</t>
  </si>
  <si>
    <t>Trung cấp du lịch</t>
  </si>
  <si>
    <t>Sơ cấp</t>
  </si>
  <si>
    <t xml:space="preserve">Trần Lý Đăng Khoa </t>
  </si>
  <si>
    <t xml:space="preserve">Trần Quốc Tài </t>
  </si>
  <si>
    <t xml:space="preserve">Trần Văn Tròn </t>
  </si>
  <si>
    <t xml:space="preserve">Lê Hải Tâm </t>
  </si>
  <si>
    <t xml:space="preserve">Nguyễn Trung Hậu </t>
  </si>
  <si>
    <t>Khu phố Thịnh Văn 1, xã Vân Canh, tỉnh Gia Lai</t>
  </si>
  <si>
    <t>Võ Hữu Tùng</t>
  </si>
  <si>
    <t>16/09/2001</t>
  </si>
  <si>
    <t>052201006021</t>
  </si>
  <si>
    <t>Cao Đẳng Điện Công nghiệp</t>
  </si>
  <si>
    <t>0359271766</t>
  </si>
  <si>
    <t>Trung Tâm Y tế Vân Canh</t>
  </si>
  <si>
    <t>Trần Hoàng Lâm</t>
  </si>
  <si>
    <t>02/12/2003</t>
  </si>
  <si>
    <t>060203001321</t>
  </si>
  <si>
    <t>Thôn Đằng Thành, xã Hàm Kiệm, tỉnh Lâm Đồng</t>
  </si>
  <si>
    <t>0868995854</t>
  </si>
  <si>
    <t>BV đa khoa An Phước</t>
  </si>
  <si>
    <t>Công phó</t>
  </si>
  <si>
    <t>01/10/2026</t>
  </si>
  <si>
    <t>09/04/2026</t>
  </si>
  <si>
    <t>01/06/2028</t>
  </si>
  <si>
    <t>Cao Đẳng lập trình máy tính</t>
  </si>
  <si>
    <t>Nguyễn Trần Tuấn Kiệt</t>
  </si>
  <si>
    <t>12/02/1993</t>
  </si>
  <si>
    <t>01/120/2025</t>
  </si>
  <si>
    <t>058093001825</t>
  </si>
  <si>
    <t>Thôn Hiệp Kiết, xã Công Hải, tỉnh Khánh Hòa</t>
  </si>
  <si>
    <t>0337787897</t>
  </si>
  <si>
    <t>0374818709</t>
  </si>
  <si>
    <t>Nguyễn Văn Phúc</t>
  </si>
  <si>
    <t>28/09/2000</t>
  </si>
  <si>
    <t>01/01/2028</t>
  </si>
  <si>
    <t>034200010571</t>
  </si>
  <si>
    <t>Tổ dân phố Hổ Đội, xã Thái Thụy, tỉnh Hưng Yên</t>
  </si>
  <si>
    <t>DANH SÁCH TUYỂN DỤNG 2025</t>
  </si>
  <si>
    <t>Chức danh (Title)</t>
  </si>
  <si>
    <t>Bảo Vệ</t>
  </si>
  <si>
    <t>Cung Sài Gòn</t>
  </si>
  <si>
    <t>Văn phòng Công ty</t>
  </si>
  <si>
    <t>Đơn Vị Bộ Phận</t>
  </si>
  <si>
    <t>Xí nghiệp TTTH Sài Gòn</t>
  </si>
  <si>
    <t>Xí nghiệp TTTH Thuận Hải</t>
  </si>
  <si>
    <t>Xí nghiệp TTTH Phú Khánh</t>
  </si>
  <si>
    <t>Vùng (I, II)</t>
  </si>
  <si>
    <t>Phân Loại LĐ</t>
  </si>
  <si>
    <t>888665775</t>
  </si>
  <si>
    <t>Đơn vị Chủ quản</t>
  </si>
  <si>
    <t>Phó Giám đốc</t>
  </si>
  <si>
    <t>Hệ số lương cơ bản:</t>
  </si>
  <si>
    <t>tính theo mức lương tối thiểu vùng</t>
  </si>
  <si>
    <t>Nhóm</t>
  </si>
  <si>
    <t>Bậc/Hệ số</t>
  </si>
  <si>
    <t>A1.1</t>
  </si>
  <si>
    <t>A1.2</t>
  </si>
  <si>
    <t>A2</t>
  </si>
  <si>
    <t>B1.1</t>
  </si>
  <si>
    <t>B1.2</t>
  </si>
  <si>
    <t>B2</t>
  </si>
  <si>
    <t>B3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</si>
  <si>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</si>
  <si>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</si>
  <si>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</si>
  <si>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</si>
  <si>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</si>
  <si>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</si>
  <si>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</si>
  <si>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</si>
  <si>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</si>
  <si>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Phụ cấp lương gồm: Phụ cấp chức vụ; Phụ cấp trách nhiệm</t>
  </si>
  <si>
    <t>2 Phụ cấp này tính theo mức lương tối thiểu vùng</t>
  </si>
  <si>
    <t>Phụ cấp chức vụ</t>
  </si>
  <si>
    <t>Phụ cấp trách nhiệm</t>
  </si>
  <si>
    <t>Hệ số</t>
  </si>
  <si>
    <t>Trưởng</t>
  </si>
  <si>
    <t>Phó</t>
  </si>
  <si>
    <t>Học Hàm</t>
  </si>
  <si>
    <t>Học Vị</t>
  </si>
  <si>
    <t>Ngành học</t>
  </si>
  <si>
    <t>Trường học</t>
  </si>
  <si>
    <t>Năm bắt đầu học</t>
  </si>
  <si>
    <t>Năm tốt nghiệp</t>
  </si>
  <si>
    <t>Nhân sự</t>
  </si>
  <si>
    <t>Bảng Table</t>
  </si>
  <si>
    <t>Category</t>
  </si>
  <si>
    <t>Phân loại lao động</t>
  </si>
  <si>
    <t>Id</t>
  </si>
  <si>
    <t>Name</t>
  </si>
  <si>
    <t>Degree</t>
  </si>
  <si>
    <t>Phân loại bằng cấp</t>
  </si>
  <si>
    <t>Sau Đại học</t>
  </si>
  <si>
    <t>Khác</t>
  </si>
  <si>
    <t>Gender</t>
  </si>
  <si>
    <t>Phân loại Giới tính</t>
  </si>
  <si>
    <t>Nam</t>
  </si>
  <si>
    <t>Nữ</t>
  </si>
  <si>
    <t>Level</t>
  </si>
  <si>
    <t>Bảng phân loại Bậc</t>
  </si>
  <si>
    <t>3/4</t>
  </si>
  <si>
    <t>1/6</t>
  </si>
  <si>
    <t>2/6</t>
  </si>
  <si>
    <t>3/6</t>
  </si>
  <si>
    <t>4/6</t>
  </si>
  <si>
    <t>PromotionType</t>
  </si>
  <si>
    <t>Bảng phân loại HĐLĐ</t>
  </si>
  <si>
    <t>HĐLĐ - Thử việc</t>
  </si>
  <si>
    <t>HĐLĐ - 6 Tháng</t>
  </si>
  <si>
    <t>HĐLĐ - 12 Tháng</t>
  </si>
  <si>
    <t>HĐLĐ - 24 Tháng</t>
  </si>
  <si>
    <t>HĐLĐ - 36 Tháng</t>
  </si>
  <si>
    <t>HĐLĐ - Không xác định</t>
  </si>
  <si>
    <t>Title</t>
  </si>
  <si>
    <t>Bảng phân loại Chức danh</t>
  </si>
  <si>
    <t>Nơi sinh giấy KS</t>
  </si>
  <si>
    <t>16/06/2000</t>
  </si>
  <si>
    <t>Nguyễn Văn Tình</t>
  </si>
  <si>
    <t>HSDCLUONGTOITHIEU</t>
  </si>
  <si>
    <t>Giới tính</t>
  </si>
  <si>
    <t>Kỹ sư - Viễn thông</t>
  </si>
  <si>
    <t>Tiến sỹ - Tự động hóa</t>
  </si>
  <si>
    <t>Kỹ sư - Thông tin</t>
  </si>
  <si>
    <t>Kỹ sư - Tín hiệu giao thông</t>
  </si>
  <si>
    <t>Kỹ sư - Kỹ thuật thông tin</t>
  </si>
  <si>
    <t>Cử nhân - Kinh tế Kế toán</t>
  </si>
  <si>
    <t>Kỹ sư - Điều khiển học
Cử nhân Quản trị kinh doanh</t>
  </si>
  <si>
    <t>Kỹ sư - Kỹ thuật máy tính</t>
  </si>
  <si>
    <t>Kỹ sư - Công nghệ kỹ thuật điện, điện tử</t>
  </si>
  <si>
    <t>Kỹ sư - Điện - điện tử
Cử nhân - Quản trị kinh doanh</t>
  </si>
  <si>
    <t>Kỹ sư - Công nghệ thông tin
Cử nhân - Quản trị kinh doanh</t>
  </si>
  <si>
    <t>Kỹ sư - Điện tử viễn thông</t>
  </si>
  <si>
    <t>Kỹ sư - Kỹ thuật thông tin
Cử nhân - Luật Kinh tế</t>
  </si>
  <si>
    <t>Cử nhân - Quản trị kinh doanh</t>
  </si>
  <si>
    <t>Thạc sỹ - Quản lý khoa học và công nghệ</t>
  </si>
  <si>
    <t>Kỹ sư - Kỹ thuật viễn thông
Cử nhân - Kinh tế Kế toán</t>
  </si>
  <si>
    <t>Cử nhân Cao đẳng - Tin học</t>
  </si>
  <si>
    <t>Cử nhân - Kế toán</t>
  </si>
  <si>
    <t>Cử nhân - Công nghệ thông tin</t>
  </si>
  <si>
    <t>Trung cấp - Thông tin tín hiệu</t>
  </si>
  <si>
    <t>Công nhân kỹ thuật - Cơ khí hàn tiện</t>
  </si>
  <si>
    <t>Kỹ sư - Kỹ thuật điện tử</t>
  </si>
  <si>
    <t>Kỹ sư - Điện công nghiệp và dân dụng</t>
  </si>
  <si>
    <t>Kỹ sư - Tín hiệu giao thông
Cử nhân - Quản trị kinh doanh</t>
  </si>
  <si>
    <t>Cử nhân - Luật</t>
  </si>
  <si>
    <t>Kỹ sư - Công nghệ thông tin</t>
  </si>
  <si>
    <t>Công nhân kỹ thuật - Thông tin tín hiệu</t>
  </si>
  <si>
    <t>Kỹ sư - Kỹ thuật điện - điện tử
Cử nhân - Quản trị kinh doanh
Cử nhân - Kế toán</t>
  </si>
  <si>
    <t>Cử nhân - Kinh tế</t>
  </si>
  <si>
    <t>Cử nhân - Kế toán
Cử nhân - Quản trị kinh doanh</t>
  </si>
  <si>
    <t>Kỹ sư - Kỹ thuật viễn thông</t>
  </si>
  <si>
    <t>Kỹ sư - Điều khiển học giao thông vận tải</t>
  </si>
  <si>
    <t>Kỹ sư - Công nghệ kỹ thuật điện - điện tử</t>
  </si>
  <si>
    <t>Cử nhân - Tài chính ngân hàng</t>
  </si>
  <si>
    <t>Cử nhân - Quản trị kinh doanh
Cử nhân - Kế toán</t>
  </si>
  <si>
    <t>Kỹ sư - Tự động hóa</t>
  </si>
  <si>
    <t>Cử nhân Cao đẳng - Điện</t>
  </si>
  <si>
    <t>Sơ cấp - Thông tin tín hiệu</t>
  </si>
  <si>
    <t>Trung cấp - Kỹ thuật cơ khí</t>
  </si>
  <si>
    <t>Cử nhân Cao đẳng - Điện công nghiệp</t>
  </si>
  <si>
    <t>Thạc sỹ - Quản lý Giáo dục</t>
  </si>
  <si>
    <t>Cử nhân - Kỹ thuật điện tử viễn thông</t>
  </si>
  <si>
    <t>Trung cấp - Du lịch</t>
  </si>
  <si>
    <t>Trung cấp - Kỹ thuật máy lạnh và điều hòa không khí</t>
  </si>
  <si>
    <t>Trung cấp - Điện công nghiệp</t>
  </si>
  <si>
    <t>Kỹ sư - Hệ thống thông tin</t>
  </si>
  <si>
    <t>Kỹ sư - Công nghệ kỹ thuật điện</t>
  </si>
  <si>
    <t>Sơ cấp - Điện</t>
  </si>
  <si>
    <t>Cử nhân Cao đẳng - Điện - điện tử</t>
  </si>
  <si>
    <t>Trung cấp - Điện tử viễn thông</t>
  </si>
  <si>
    <t>Cử nhân - Kỹ thuật điện tử</t>
  </si>
  <si>
    <t>Cử nhân - Ngoại ngữ Anh</t>
  </si>
  <si>
    <t>Cử nhân Cao đẳng - Công nghệ thông tin</t>
  </si>
  <si>
    <t>Trung cấp - Điện công nghiệp và dân dụng</t>
  </si>
  <si>
    <t>Cao đẳng nghề - Điện công nghiệp</t>
  </si>
  <si>
    <t>Trung cấp - Công nghệ ô tô</t>
  </si>
  <si>
    <t>Cử nhân - Hệ thống điện giao thông</t>
  </si>
  <si>
    <t>Cử nhân Cao đẳng - Công nghệ Kỹ thuật Điện</t>
  </si>
  <si>
    <t>Cử nhân Cao đẳng - Công nghệ Kỹ thuật Điều khiển và tự động hóa</t>
  </si>
  <si>
    <t>Cử nhân Cao đẳng - Điện tử công nghiệp</t>
  </si>
  <si>
    <t>Cử nhân Cao đẳng - Công nghệ kỹ thuật điện - điện tử</t>
  </si>
  <si>
    <t>Công nhân Kỹ thuật -  Điện tử Điện lạnh
Sơ cấp - Thông tin tín hiệu</t>
  </si>
  <si>
    <t>Kỹ sư - CN kỹ thuật điện tử</t>
  </si>
  <si>
    <t>Trung cấp - Công nghệ thông tin</t>
  </si>
  <si>
    <t>Kỹ sư - Điện kỹ thuật</t>
  </si>
  <si>
    <t>Kỹ sư - Tin học ứng dụng</t>
  </si>
  <si>
    <t>Kỹ sư - Kỹ thuật điện tử &amp; truyền thông</t>
  </si>
  <si>
    <t>Kỹ sư - Công nghệ kỹ thuật điện tử viễn thông</t>
  </si>
  <si>
    <t>Kỹ sư - Kinh tế Bưu chính viễn thông</t>
  </si>
  <si>
    <t>Cử nhân cao đẳng - Phần mềm máy tính</t>
  </si>
  <si>
    <t>Sơ cấp - Lễ tân khách sạn</t>
  </si>
  <si>
    <t>Trung cấp - Kỹ thuật hàn</t>
  </si>
  <si>
    <t xml:space="preserve">Công nhân kỹ thuật - Thông tin tín hiệu </t>
  </si>
  <si>
    <t>Cử nhân Cao đẳng - Công nghệ kỹ thuật Điện - điện tử</t>
  </si>
  <si>
    <t>Cử nhân Cao đẳng - Công nghệ kỹ thuật cơ điện tử</t>
  </si>
  <si>
    <t>Cử nhân Cao đẳng - Công nghệ kỹ thuật điện, Điện tử</t>
  </si>
  <si>
    <t>Cử nhân - Công nghệ KT điện tử</t>
  </si>
  <si>
    <t xml:space="preserve">Sơ cấp - Thông tin tín hiệu </t>
  </si>
  <si>
    <t>Trung cấp - Công nghệ Nhiệt lạnh</t>
  </si>
  <si>
    <t>Cử nhân Cao đẳng - Công nghệ Kỹ thuật Điện, Điện tử</t>
  </si>
  <si>
    <t>Cử nhân Cao đẳng - Công nghệ Ô tô</t>
  </si>
  <si>
    <t>Cử nhân Cao đẳng - Công nghệ Kỹ thuật Nhiệt - Lạnh</t>
  </si>
  <si>
    <t>Cử nhân Cao đẳng - Công nghệ kỹ thuật Điện - Điện tử</t>
  </si>
  <si>
    <t>Trung cấp - Hệ thống điện</t>
  </si>
  <si>
    <t>Cử nhân Cao Đẳng - Lập trình máy tính</t>
  </si>
  <si>
    <t>Kỹ sư - Công nghệ kỹ thuật cơ khí</t>
  </si>
  <si>
    <t>Cử nhân Cao đẳng - Công nghệ kỹ thuật ô tô</t>
  </si>
  <si>
    <t>Kỹ sư - Điều khiển học giao thông vận tải
Cử nhân - Quản trị kinh doanh</t>
  </si>
  <si>
    <t>Cử nhân - Toán tin học</t>
  </si>
  <si>
    <t>Kỹ sư - Kỹ thuật điện tử viễn thông</t>
  </si>
  <si>
    <t>Trung cấp - Kế toán</t>
  </si>
  <si>
    <t>Sơ cấp - Vô tuyến điện</t>
  </si>
  <si>
    <t>Sơ cấp - Kỹ thuật nguồn</t>
  </si>
  <si>
    <t>Trung cấp - Điện</t>
  </si>
  <si>
    <t>Cử nhân cao đẳng - Công nghệ thông tin</t>
  </si>
  <si>
    <t>Kỹ sư - Điện công nghiệp</t>
  </si>
  <si>
    <t>Cử nhân Cao đẳng - Kỹ thuật Điện, Điện tử</t>
  </si>
  <si>
    <t>Trung cấp - Điện dân dụng</t>
  </si>
  <si>
    <t>Trung cấp  - Điện công nghiệp</t>
  </si>
  <si>
    <t>Cử nhân Cao đẳng - Công nghệ Kỹ thuật điện điện tử</t>
  </si>
  <si>
    <t>Trung cấp - Hành chính</t>
  </si>
  <si>
    <t>Cử nhân Cao đẳng - Công nghệ ô tô</t>
  </si>
  <si>
    <t>Cử nhân Cao đẳng - Kỹ thuật xây dựng</t>
  </si>
  <si>
    <t>Cử nhân - Kỹ thuật điện</t>
  </si>
  <si>
    <t>Cử nhân Cao đẳng - Công nghệ kỹ thuật điện, điện tử</t>
  </si>
  <si>
    <t>Cử nhân Cao Đẳng - Điện Công nghiệp</t>
  </si>
  <si>
    <t>Kỹ sư - Công nghệ điện tự động</t>
  </si>
  <si>
    <t>Cử nhân Cao đẳng - Công nghệ kỹ thuật Điện, Điện tử</t>
  </si>
  <si>
    <t>Cử nhân Cao đẳng  - Hệ thống điện</t>
  </si>
  <si>
    <t>Kỹ sư - Kỹ thuật xây dựng</t>
  </si>
  <si>
    <t>Kỹ sư - Kỹ thuật cơ điện tử</t>
  </si>
  <si>
    <t>Đảng viên</t>
  </si>
  <si>
    <t>Đoàn viên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</si>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</sst>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\ _₫_-;\-* #,##0\ _₫_-;_-* &quot;-&quot;??\ _₫_-;_-@_-"/>
    <numFmt numFmtId="165" formatCode="_(* #,##0_);_(* \(#,##0\);_(* &quot;-&quot;??_);_(@_)"/>
    <numFmt numFmtId="166" formatCode="_(* #,##0.0_);_(* \(#,##0.0\);_(* &quot;-&quot;??_);_(@_)"/>
  </numFmts>
  <fonts count="31" x14ac:knownFonts="1">
    <font>
      <sz val="13"/>
      <color theme="1"/>
      <name val="Times New Roman"/>
      <family val="2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9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  <charset val="163"/>
    </font>
    <font>
      <u/>
      <sz val="11"/>
      <color indexed="30"/>
      <name val="Calibri"/>
      <family val="2"/>
    </font>
    <font>
      <sz val="10"/>
      <name val="Arial"/>
      <family val="2"/>
      <charset val="163"/>
    </font>
    <font>
      <i/>
      <sz val="12"/>
      <name val="Times New Roman"/>
      <family val="1"/>
      <charset val="163"/>
    </font>
    <font>
      <b/>
      <sz val="9"/>
      <color indexed="8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2"/>
      <charset val="16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color theme="1"/>
      <name val="Times New Roman"/>
      <family val="2"/>
      <charset val="163"/>
    </font>
    <font>
      <u/>
      <sz val="11"/>
      <color theme="10"/>
      <name val="Calibri"/>
      <family val="2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9"/>
      <color rgb="FFFF0000"/>
      <name val="Times New Roman"/>
      <family val="1"/>
    </font>
    <font>
      <sz val="9"/>
      <color theme="1"/>
      <name val="Times New Roman"/>
      <family val="2"/>
      <charset val="163"/>
    </font>
    <font>
      <b/>
      <sz val="9"/>
      <color rgb="FFFF0000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trike/>
      <sz val="9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15" fillId="0" borderId="0" applyFont="0" applyFill="0" applyBorder="0" applyAlignment="0" applyProtection="0"/>
    <xf numFmtId="43" fontId="5" fillId="0" borderId="0" applyFill="0" applyBorder="0" applyAlignment="0" applyProtection="0"/>
    <xf numFmtId="0" fontId="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7" fillId="0" borderId="0"/>
    <xf numFmtId="0" fontId="4" fillId="0" borderId="0"/>
  </cellStyleXfs>
  <cellXfs count="402">
    <xf numFmtId="0" fontId="0" fillId="0" borderId="0" xfId="0"/>
    <xf numFmtId="0" fontId="17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164" fontId="17" fillId="0" borderId="0" xfId="1" applyNumberFormat="1" applyFont="1" applyAlignment="1">
      <alignment horizontal="center" vertical="center"/>
    </xf>
    <xf numFmtId="0" fontId="17" fillId="2" borderId="2" xfId="0" applyFont="1" applyFill="1" applyBorder="1" applyAlignment="1">
      <alignment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4" fontId="9" fillId="0" borderId="0" xfId="1" applyNumberFormat="1" applyFont="1" applyAlignment="1">
      <alignment horizontal="center" vertical="center"/>
    </xf>
    <xf numFmtId="0" fontId="18" fillId="6" borderId="0" xfId="0" applyFont="1" applyFill="1"/>
    <xf numFmtId="0" fontId="11" fillId="6" borderId="0" xfId="0" applyFont="1" applyFill="1"/>
    <xf numFmtId="0" fontId="11" fillId="6" borderId="3" xfId="0" applyFont="1" applyFill="1" applyBorder="1"/>
    <xf numFmtId="0" fontId="11" fillId="6" borderId="4" xfId="0" applyFont="1" applyFill="1" applyBorder="1" applyAlignment="1">
      <alignment wrapText="1"/>
    </xf>
    <xf numFmtId="0" fontId="11" fillId="6" borderId="4" xfId="0" applyFont="1" applyFill="1" applyBorder="1" applyAlignment="1">
      <alignment horizontal="center" wrapText="1"/>
    </xf>
    <xf numFmtId="0" fontId="11" fillId="6" borderId="4" xfId="0" applyFont="1" applyFill="1" applyBorder="1"/>
    <xf numFmtId="0" fontId="11" fillId="6" borderId="5" xfId="0" applyFont="1" applyFill="1" applyBorder="1"/>
    <xf numFmtId="16" fontId="18" fillId="6" borderId="0" xfId="0" quotePrefix="1" applyNumberFormat="1" applyFont="1" applyFill="1"/>
    <xf numFmtId="0" fontId="18" fillId="6" borderId="0" xfId="0" quotePrefix="1" applyFont="1" applyFill="1"/>
    <xf numFmtId="0" fontId="19" fillId="6" borderId="3" xfId="0" applyFont="1" applyFill="1" applyBorder="1" applyAlignment="1">
      <alignment wrapText="1"/>
    </xf>
    <xf numFmtId="0" fontId="19" fillId="6" borderId="3" xfId="0" applyFont="1" applyFill="1" applyBorder="1" applyAlignment="1">
      <alignment horizontal="center"/>
    </xf>
    <xf numFmtId="0" fontId="19" fillId="6" borderId="3" xfId="0" applyFont="1" applyFill="1" applyBorder="1"/>
    <xf numFmtId="14" fontId="19" fillId="6" borderId="4" xfId="0" applyNumberFormat="1" applyFont="1" applyFill="1" applyBorder="1" applyAlignment="1">
      <alignment wrapText="1"/>
    </xf>
    <xf numFmtId="0" fontId="19" fillId="6" borderId="4" xfId="0" applyFont="1" applyFill="1" applyBorder="1" applyAlignment="1">
      <alignment horizontal="center"/>
    </xf>
    <xf numFmtId="0" fontId="19" fillId="6" borderId="4" xfId="0" applyFont="1" applyFill="1" applyBorder="1"/>
    <xf numFmtId="0" fontId="20" fillId="6" borderId="4" xfId="0" applyFont="1" applyFill="1" applyBorder="1" applyAlignment="1">
      <alignment horizontal="left"/>
    </xf>
    <xf numFmtId="0" fontId="19" fillId="6" borderId="4" xfId="0" applyFont="1" applyFill="1" applyBorder="1" applyAlignment="1">
      <alignment horizontal="center" wrapText="1"/>
    </xf>
    <xf numFmtId="0" fontId="19" fillId="6" borderId="4" xfId="0" applyFont="1" applyFill="1" applyBorder="1" applyAlignment="1">
      <alignment wrapText="1"/>
    </xf>
    <xf numFmtId="14" fontId="19" fillId="6" borderId="4" xfId="0" applyNumberFormat="1" applyFont="1" applyFill="1" applyBorder="1" applyAlignment="1">
      <alignment horizontal="center" wrapText="1"/>
    </xf>
    <xf numFmtId="14" fontId="20" fillId="6" borderId="4" xfId="0" applyNumberFormat="1" applyFont="1" applyFill="1" applyBorder="1" applyAlignment="1">
      <alignment wrapText="1"/>
    </xf>
    <xf numFmtId="16" fontId="19" fillId="6" borderId="4" xfId="0" quotePrefix="1" applyNumberFormat="1" applyFont="1" applyFill="1" applyBorder="1"/>
    <xf numFmtId="0" fontId="19" fillId="6" borderId="4" xfId="0" quotePrefix="1" applyFont="1" applyFill="1" applyBorder="1"/>
    <xf numFmtId="0" fontId="19" fillId="6" borderId="5" xfId="0" applyFont="1" applyFill="1" applyBorder="1" applyAlignment="1">
      <alignment wrapText="1"/>
    </xf>
    <xf numFmtId="0" fontId="19" fillId="6" borderId="5" xfId="0" applyFont="1" applyFill="1" applyBorder="1" applyAlignment="1">
      <alignment horizontal="center" wrapText="1"/>
    </xf>
    <xf numFmtId="0" fontId="19" fillId="6" borderId="5" xfId="0" applyFont="1" applyFill="1" applyBorder="1"/>
    <xf numFmtId="14" fontId="19" fillId="6" borderId="3" xfId="0" applyNumberFormat="1" applyFont="1" applyFill="1" applyBorder="1" applyAlignment="1">
      <alignment horizontal="center"/>
    </xf>
    <xf numFmtId="14" fontId="19" fillId="6" borderId="4" xfId="0" applyNumberFormat="1" applyFont="1" applyFill="1" applyBorder="1" applyAlignment="1">
      <alignment horizontal="center"/>
    </xf>
    <xf numFmtId="14" fontId="19" fillId="6" borderId="5" xfId="0" applyNumberFormat="1" applyFont="1" applyFill="1" applyBorder="1" applyAlignment="1">
      <alignment horizontal="center"/>
    </xf>
    <xf numFmtId="0" fontId="10" fillId="6" borderId="6" xfId="0" applyFont="1" applyFill="1" applyBorder="1"/>
    <xf numFmtId="0" fontId="10" fillId="6" borderId="6" xfId="0" applyFont="1" applyFill="1" applyBorder="1" applyAlignment="1">
      <alignment horizontal="center"/>
    </xf>
    <xf numFmtId="0" fontId="17" fillId="0" borderId="0" xfId="0" applyFont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18" fillId="7" borderId="4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left" vertical="center"/>
    </xf>
    <xf numFmtId="0" fontId="18" fillId="7" borderId="4" xfId="0" applyFont="1" applyFill="1" applyBorder="1" applyAlignment="1">
      <alignment vertical="center"/>
    </xf>
    <xf numFmtId="49" fontId="18" fillId="7" borderId="4" xfId="0" applyNumberFormat="1" applyFont="1" applyFill="1" applyBorder="1" applyAlignment="1">
      <alignment vertical="center"/>
    </xf>
    <xf numFmtId="14" fontId="18" fillId="7" borderId="4" xfId="0" applyNumberFormat="1" applyFont="1" applyFill="1" applyBorder="1" applyAlignment="1">
      <alignment vertical="center"/>
    </xf>
    <xf numFmtId="14" fontId="18" fillId="8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 vertical="center"/>
    </xf>
    <xf numFmtId="49" fontId="18" fillId="7" borderId="4" xfId="0" applyNumberFormat="1" applyFont="1" applyFill="1" applyBorder="1" applyAlignment="1">
      <alignment horizontal="center" vertical="center"/>
    </xf>
    <xf numFmtId="4" fontId="18" fillId="7" borderId="4" xfId="0" applyNumberFormat="1" applyFont="1" applyFill="1" applyBorder="1" applyAlignment="1">
      <alignment horizontal="center" vertical="center"/>
    </xf>
    <xf numFmtId="164" fontId="18" fillId="7" borderId="4" xfId="1" applyNumberFormat="1" applyFont="1" applyFill="1" applyBorder="1" applyAlignment="1">
      <alignment vertical="center"/>
    </xf>
    <xf numFmtId="1" fontId="18" fillId="7" borderId="4" xfId="0" applyNumberFormat="1" applyFont="1" applyFill="1" applyBorder="1" applyAlignment="1">
      <alignment vertical="center"/>
    </xf>
    <xf numFmtId="14" fontId="18" fillId="7" borderId="4" xfId="0" quotePrefix="1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7" borderId="4" xfId="0" quotePrefix="1" applyFont="1" applyFill="1" applyBorder="1" applyAlignment="1">
      <alignment vertical="center"/>
    </xf>
    <xf numFmtId="0" fontId="18" fillId="7" borderId="4" xfId="6" applyFont="1" applyFill="1" applyBorder="1" applyAlignment="1">
      <alignment vertical="center"/>
    </xf>
    <xf numFmtId="0" fontId="18" fillId="7" borderId="0" xfId="0" applyFont="1" applyFill="1" applyAlignment="1">
      <alignment vertical="center"/>
    </xf>
    <xf numFmtId="0" fontId="18" fillId="7" borderId="4" xfId="0" applyFont="1" applyFill="1" applyBorder="1" applyAlignment="1">
      <alignment vertical="center" wrapText="1"/>
    </xf>
    <xf numFmtId="49" fontId="18" fillId="7" borderId="4" xfId="0" applyNumberFormat="1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vertical="center"/>
    </xf>
    <xf numFmtId="49" fontId="21" fillId="7" borderId="4" xfId="0" applyNumberFormat="1" applyFont="1" applyFill="1" applyBorder="1" applyAlignment="1">
      <alignment vertical="center"/>
    </xf>
    <xf numFmtId="0" fontId="18" fillId="7" borderId="4" xfId="0" applyFont="1" applyFill="1" applyBorder="1" applyAlignment="1">
      <alignment horizontal="right" vertical="center"/>
    </xf>
    <xf numFmtId="14" fontId="18" fillId="7" borderId="4" xfId="0" applyNumberFormat="1" applyFont="1" applyFill="1" applyBorder="1" applyAlignment="1">
      <alignment vertical="center" wrapText="1"/>
    </xf>
    <xf numFmtId="0" fontId="18" fillId="3" borderId="4" xfId="0" applyFont="1" applyFill="1" applyBorder="1" applyAlignment="1">
      <alignment vertical="center" wrapText="1"/>
    </xf>
    <xf numFmtId="49" fontId="18" fillId="3" borderId="4" xfId="0" applyNumberFormat="1" applyFont="1" applyFill="1" applyBorder="1" applyAlignment="1">
      <alignment vertical="center"/>
    </xf>
    <xf numFmtId="14" fontId="18" fillId="3" borderId="4" xfId="0" applyNumberFormat="1" applyFont="1" applyFill="1" applyBorder="1" applyAlignment="1">
      <alignment vertical="center"/>
    </xf>
    <xf numFmtId="49" fontId="18" fillId="3" borderId="4" xfId="0" applyNumberFormat="1" applyFont="1" applyFill="1" applyBorder="1" applyAlignment="1">
      <alignment horizontal="center" vertical="center" wrapText="1"/>
    </xf>
    <xf numFmtId="49" fontId="18" fillId="3" borderId="4" xfId="0" quotePrefix="1" applyNumberFormat="1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/>
    </xf>
    <xf numFmtId="4" fontId="18" fillId="3" borderId="4" xfId="0" applyNumberFormat="1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vertical="center"/>
    </xf>
    <xf numFmtId="1" fontId="18" fillId="7" borderId="4" xfId="0" applyNumberFormat="1" applyFont="1" applyFill="1" applyBorder="1" applyAlignment="1">
      <alignment horizontal="left" vertical="center"/>
    </xf>
    <xf numFmtId="49" fontId="18" fillId="3" borderId="4" xfId="0" applyNumberFormat="1" applyFont="1" applyFill="1" applyBorder="1" applyAlignment="1">
      <alignment horizontal="left" vertical="center"/>
    </xf>
    <xf numFmtId="14" fontId="18" fillId="3" borderId="4" xfId="0" quotePrefix="1" applyNumberFormat="1" applyFont="1" applyFill="1" applyBorder="1" applyAlignment="1">
      <alignment horizontal="left" vertical="center"/>
    </xf>
    <xf numFmtId="0" fontId="18" fillId="3" borderId="4" xfId="0" applyFont="1" applyFill="1" applyBorder="1" applyAlignment="1">
      <alignment horizontal="left" vertical="center"/>
    </xf>
    <xf numFmtId="0" fontId="18" fillId="0" borderId="0" xfId="0" quotePrefix="1" applyFont="1" applyAlignment="1">
      <alignment vertical="center"/>
    </xf>
    <xf numFmtId="14" fontId="18" fillId="3" borderId="4" xfId="0" applyNumberFormat="1" applyFont="1" applyFill="1" applyBorder="1" applyAlignment="1">
      <alignment vertical="center" wrapText="1"/>
    </xf>
    <xf numFmtId="49" fontId="18" fillId="3" borderId="4" xfId="0" quotePrefix="1" applyNumberFormat="1" applyFont="1" applyFill="1" applyBorder="1" applyAlignment="1">
      <alignment vertical="center"/>
    </xf>
    <xf numFmtId="14" fontId="18" fillId="3" borderId="4" xfId="0" quotePrefix="1" applyNumberFormat="1" applyFont="1" applyFill="1" applyBorder="1" applyAlignment="1">
      <alignment vertical="center"/>
    </xf>
    <xf numFmtId="49" fontId="18" fillId="3" borderId="0" xfId="0" quotePrefix="1" applyNumberFormat="1" applyFont="1" applyFill="1" applyAlignment="1">
      <alignment horizontal="left" vertical="center"/>
    </xf>
    <xf numFmtId="0" fontId="18" fillId="3" borderId="0" xfId="0" applyFont="1" applyFill="1" applyAlignment="1">
      <alignment vertical="center"/>
    </xf>
    <xf numFmtId="14" fontId="3" fillId="7" borderId="4" xfId="0" applyNumberFormat="1" applyFont="1" applyFill="1" applyBorder="1" applyAlignment="1">
      <alignment vertical="center" wrapText="1"/>
    </xf>
    <xf numFmtId="49" fontId="18" fillId="7" borderId="4" xfId="0" applyNumberFormat="1" applyFont="1" applyFill="1" applyBorder="1" applyAlignment="1">
      <alignment horizontal="right" vertical="center" wrapText="1"/>
    </xf>
    <xf numFmtId="49" fontId="18" fillId="7" borderId="4" xfId="0" quotePrefix="1" applyNumberFormat="1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vertical="center" wrapText="1"/>
    </xf>
    <xf numFmtId="49" fontId="18" fillId="7" borderId="4" xfId="0" quotePrefix="1" applyNumberFormat="1" applyFont="1" applyFill="1" applyBorder="1" applyAlignment="1">
      <alignment vertical="center"/>
    </xf>
    <xf numFmtId="14" fontId="21" fillId="7" borderId="4" xfId="0" applyNumberFormat="1" applyFont="1" applyFill="1" applyBorder="1" applyAlignment="1">
      <alignment vertical="center" wrapText="1"/>
    </xf>
    <xf numFmtId="0" fontId="21" fillId="7" borderId="4" xfId="0" applyFont="1" applyFill="1" applyBorder="1" applyAlignment="1">
      <alignment horizontal="left" vertical="center"/>
    </xf>
    <xf numFmtId="49" fontId="18" fillId="7" borderId="4" xfId="0" applyNumberFormat="1" applyFont="1" applyFill="1" applyBorder="1" applyAlignment="1">
      <alignment horizontal="left" vertical="center"/>
    </xf>
    <xf numFmtId="16" fontId="18" fillId="5" borderId="4" xfId="0" quotePrefix="1" applyNumberFormat="1" applyFont="1" applyFill="1" applyBorder="1" applyAlignment="1">
      <alignment vertical="center"/>
    </xf>
    <xf numFmtId="49" fontId="18" fillId="3" borderId="4" xfId="0" applyNumberFormat="1" applyFont="1" applyFill="1" applyBorder="1" applyAlignment="1">
      <alignment horizontal="center" vertical="center"/>
    </xf>
    <xf numFmtId="14" fontId="21" fillId="7" borderId="4" xfId="0" applyNumberFormat="1" applyFont="1" applyFill="1" applyBorder="1" applyAlignment="1">
      <alignment vertical="center"/>
    </xf>
    <xf numFmtId="4" fontId="18" fillId="7" borderId="4" xfId="0" quotePrefix="1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vertical="center"/>
    </xf>
    <xf numFmtId="1" fontId="21" fillId="7" borderId="4" xfId="0" applyNumberFormat="1" applyFont="1" applyFill="1" applyBorder="1" applyAlignment="1">
      <alignment vertical="center"/>
    </xf>
    <xf numFmtId="14" fontId="18" fillId="0" borderId="4" xfId="0" applyNumberFormat="1" applyFont="1" applyBorder="1" applyAlignment="1">
      <alignment vertical="center"/>
    </xf>
    <xf numFmtId="14" fontId="18" fillId="7" borderId="4" xfId="0" applyNumberFormat="1" applyFont="1" applyFill="1" applyBorder="1" applyAlignment="1">
      <alignment horizontal="right" vertical="center"/>
    </xf>
    <xf numFmtId="0" fontId="18" fillId="0" borderId="4" xfId="0" applyFont="1" applyBorder="1" applyAlignment="1">
      <alignment vertical="center"/>
    </xf>
    <xf numFmtId="49" fontId="18" fillId="0" borderId="4" xfId="0" applyNumberFormat="1" applyFont="1" applyBorder="1" applyAlignment="1">
      <alignment vertical="center"/>
    </xf>
    <xf numFmtId="0" fontId="18" fillId="0" borderId="4" xfId="0" applyFont="1" applyBorder="1" applyAlignment="1">
      <alignment horizontal="left" vertical="center"/>
    </xf>
    <xf numFmtId="0" fontId="18" fillId="5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right" vertical="center"/>
    </xf>
    <xf numFmtId="0" fontId="18" fillId="5" borderId="4" xfId="0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/>
    </xf>
    <xf numFmtId="14" fontId="18" fillId="3" borderId="4" xfId="0" applyNumberFormat="1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vertical="center"/>
    </xf>
    <xf numFmtId="4" fontId="18" fillId="3" borderId="4" xfId="0" applyNumberFormat="1" applyFont="1" applyFill="1" applyBorder="1" applyAlignment="1">
      <alignment horizontal="center" vertical="center" wrapText="1"/>
    </xf>
    <xf numFmtId="14" fontId="18" fillId="5" borderId="4" xfId="0" applyNumberFormat="1" applyFont="1" applyFill="1" applyBorder="1" applyAlignment="1">
      <alignment vertical="center"/>
    </xf>
    <xf numFmtId="49" fontId="18" fillId="5" borderId="4" xfId="0" applyNumberFormat="1" applyFont="1" applyFill="1" applyBorder="1" applyAlignment="1">
      <alignment horizontal="center" vertical="center" wrapText="1"/>
    </xf>
    <xf numFmtId="4" fontId="3" fillId="5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4" fontId="18" fillId="5" borderId="4" xfId="0" applyNumberFormat="1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vertical="center"/>
    </xf>
    <xf numFmtId="49" fontId="18" fillId="5" borderId="4" xfId="0" applyNumberFormat="1" applyFont="1" applyFill="1" applyBorder="1" applyAlignment="1">
      <alignment vertical="center"/>
    </xf>
    <xf numFmtId="0" fontId="18" fillId="5" borderId="4" xfId="0" applyFont="1" applyFill="1" applyBorder="1" applyAlignment="1">
      <alignment horizontal="left" vertical="center"/>
    </xf>
    <xf numFmtId="49" fontId="18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4" fontId="18" fillId="0" borderId="4" xfId="0" applyNumberFormat="1" applyFont="1" applyBorder="1" applyAlignment="1">
      <alignment horizontal="center" vertical="center"/>
    </xf>
    <xf numFmtId="0" fontId="18" fillId="3" borderId="4" xfId="0" applyFont="1" applyFill="1" applyBorder="1" applyAlignment="1">
      <alignment horizontal="right" vertical="center"/>
    </xf>
    <xf numFmtId="0" fontId="18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18" fillId="5" borderId="4" xfId="0" quotePrefix="1" applyFont="1" applyFill="1" applyBorder="1" applyAlignment="1">
      <alignment vertical="center"/>
    </xf>
    <xf numFmtId="4" fontId="18" fillId="3" borderId="4" xfId="0" quotePrefix="1" applyNumberFormat="1" applyFont="1" applyFill="1" applyBorder="1" applyAlignment="1">
      <alignment horizontal="center" vertical="center"/>
    </xf>
    <xf numFmtId="0" fontId="18" fillId="7" borderId="0" xfId="0" quotePrefix="1" applyFont="1" applyFill="1" applyAlignment="1">
      <alignment vertical="center"/>
    </xf>
    <xf numFmtId="0" fontId="18" fillId="10" borderId="4" xfId="0" applyFont="1" applyFill="1" applyBorder="1" applyAlignment="1">
      <alignment vertical="center"/>
    </xf>
    <xf numFmtId="0" fontId="18" fillId="3" borderId="0" xfId="0" quotePrefix="1" applyFont="1" applyFill="1" applyAlignment="1">
      <alignment vertical="center"/>
    </xf>
    <xf numFmtId="0" fontId="18" fillId="3" borderId="4" xfId="0" quotePrefix="1" applyFont="1" applyFill="1" applyBorder="1" applyAlignment="1">
      <alignment vertical="center"/>
    </xf>
    <xf numFmtId="0" fontId="21" fillId="3" borderId="4" xfId="0" applyFont="1" applyFill="1" applyBorder="1" applyAlignment="1">
      <alignment vertical="center" wrapText="1"/>
    </xf>
    <xf numFmtId="49" fontId="21" fillId="3" borderId="4" xfId="0" applyNumberFormat="1" applyFont="1" applyFill="1" applyBorder="1" applyAlignment="1">
      <alignment vertical="center"/>
    </xf>
    <xf numFmtId="0" fontId="21" fillId="3" borderId="4" xfId="0" applyFont="1" applyFill="1" applyBorder="1" applyAlignment="1">
      <alignment vertical="center"/>
    </xf>
    <xf numFmtId="14" fontId="21" fillId="3" borderId="4" xfId="0" applyNumberFormat="1" applyFont="1" applyFill="1" applyBorder="1" applyAlignment="1">
      <alignment vertical="center" wrapText="1"/>
    </xf>
    <xf numFmtId="0" fontId="18" fillId="11" borderId="4" xfId="0" applyFont="1" applyFill="1" applyBorder="1" applyAlignment="1">
      <alignment horizontal="center" vertical="center" wrapText="1"/>
    </xf>
    <xf numFmtId="164" fontId="21" fillId="7" borderId="4" xfId="1" applyNumberFormat="1" applyFont="1" applyFill="1" applyBorder="1" applyAlignment="1">
      <alignment vertical="center"/>
    </xf>
    <xf numFmtId="0" fontId="18" fillId="1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49" fontId="3" fillId="3" borderId="4" xfId="0" applyNumberFormat="1" applyFont="1" applyFill="1" applyBorder="1" applyAlignment="1">
      <alignment vertical="center"/>
    </xf>
    <xf numFmtId="14" fontId="3" fillId="3" borderId="4" xfId="0" quotePrefix="1" applyNumberFormat="1" applyFont="1" applyFill="1" applyBorder="1" applyAlignment="1">
      <alignment vertical="center"/>
    </xf>
    <xf numFmtId="14" fontId="3" fillId="3" borderId="4" xfId="0" applyNumberFormat="1" applyFont="1" applyFill="1" applyBorder="1" applyAlignment="1">
      <alignment vertical="center"/>
    </xf>
    <xf numFmtId="49" fontId="3" fillId="3" borderId="4" xfId="0" applyNumberFormat="1" applyFont="1" applyFill="1" applyBorder="1" applyAlignment="1">
      <alignment horizontal="center" vertical="center" wrapText="1"/>
    </xf>
    <xf numFmtId="4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49" fontId="3" fillId="3" borderId="4" xfId="0" quotePrefix="1" applyNumberFormat="1" applyFont="1" applyFill="1" applyBorder="1" applyAlignment="1">
      <alignment vertical="center"/>
    </xf>
    <xf numFmtId="0" fontId="3" fillId="3" borderId="4" xfId="0" applyFont="1" applyFill="1" applyBorder="1" applyAlignment="1">
      <alignment horizontal="left" vertical="center"/>
    </xf>
    <xf numFmtId="0" fontId="3" fillId="3" borderId="0" xfId="0" applyFont="1" applyFill="1" applyAlignment="1">
      <alignment vertical="center"/>
    </xf>
    <xf numFmtId="14" fontId="3" fillId="3" borderId="4" xfId="0" applyNumberFormat="1" applyFont="1" applyFill="1" applyBorder="1" applyAlignment="1">
      <alignment vertical="center" wrapText="1"/>
    </xf>
    <xf numFmtId="2" fontId="18" fillId="3" borderId="4" xfId="0" applyNumberFormat="1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left" vertical="center"/>
    </xf>
    <xf numFmtId="0" fontId="18" fillId="5" borderId="4" xfId="0" applyFont="1" applyFill="1" applyBorder="1" applyAlignment="1">
      <alignment vertical="center" wrapText="1"/>
    </xf>
    <xf numFmtId="49" fontId="18" fillId="5" borderId="4" xfId="0" quotePrefix="1" applyNumberFormat="1" applyFont="1" applyFill="1" applyBorder="1" applyAlignment="1">
      <alignment vertical="center"/>
    </xf>
    <xf numFmtId="4" fontId="18" fillId="3" borderId="4" xfId="0" quotePrefix="1" applyNumberFormat="1" applyFont="1" applyFill="1" applyBorder="1" applyAlignment="1">
      <alignment horizontal="center" vertical="center" wrapText="1"/>
    </xf>
    <xf numFmtId="14" fontId="18" fillId="3" borderId="4" xfId="0" applyNumberFormat="1" applyFont="1" applyFill="1" applyBorder="1" applyAlignment="1">
      <alignment horizontal="center" vertical="center" wrapText="1"/>
    </xf>
    <xf numFmtId="1" fontId="3" fillId="7" borderId="4" xfId="0" quotePrefix="1" applyNumberFormat="1" applyFont="1" applyFill="1" applyBorder="1" applyAlignment="1">
      <alignment vertical="center"/>
    </xf>
    <xf numFmtId="49" fontId="18" fillId="3" borderId="4" xfId="0" quotePrefix="1" applyNumberFormat="1" applyFont="1" applyFill="1" applyBorder="1" applyAlignment="1">
      <alignment horizontal="left" vertical="center"/>
    </xf>
    <xf numFmtId="0" fontId="18" fillId="10" borderId="4" xfId="0" applyFont="1" applyFill="1" applyBorder="1" applyAlignment="1">
      <alignment horizontal="right" vertical="center"/>
    </xf>
    <xf numFmtId="49" fontId="18" fillId="3" borderId="0" xfId="0" quotePrefix="1" applyNumberFormat="1" applyFont="1" applyFill="1" applyAlignment="1">
      <alignment vertical="center"/>
    </xf>
    <xf numFmtId="14" fontId="18" fillId="5" borderId="4" xfId="0" applyNumberFormat="1" applyFont="1" applyFill="1" applyBorder="1" applyAlignment="1">
      <alignment vertical="center" wrapText="1"/>
    </xf>
    <xf numFmtId="49" fontId="18" fillId="5" borderId="4" xfId="0" quotePrefix="1" applyNumberFormat="1" applyFont="1" applyFill="1" applyBorder="1" applyAlignment="1">
      <alignment horizontal="center" vertical="center" wrapText="1"/>
    </xf>
    <xf numFmtId="4" fontId="18" fillId="5" borderId="4" xfId="0" applyNumberFormat="1" applyFont="1" applyFill="1" applyBorder="1" applyAlignment="1">
      <alignment horizontal="center" vertical="center" wrapText="1"/>
    </xf>
    <xf numFmtId="12" fontId="18" fillId="5" borderId="4" xfId="0" quotePrefix="1" applyNumberFormat="1" applyFont="1" applyFill="1" applyBorder="1" applyAlignment="1">
      <alignment horizontal="center" vertical="center" wrapText="1"/>
    </xf>
    <xf numFmtId="0" fontId="18" fillId="5" borderId="0" xfId="0" applyFont="1" applyFill="1" applyAlignment="1">
      <alignment vertical="center"/>
    </xf>
    <xf numFmtId="4" fontId="18" fillId="5" borderId="4" xfId="0" quotePrefix="1" applyNumberFormat="1" applyFont="1" applyFill="1" applyBorder="1" applyAlignment="1">
      <alignment horizontal="center" vertical="center" wrapText="1"/>
    </xf>
    <xf numFmtId="14" fontId="3" fillId="5" borderId="4" xfId="0" applyNumberFormat="1" applyFont="1" applyFill="1" applyBorder="1" applyAlignment="1">
      <alignment vertical="center" wrapText="1"/>
    </xf>
    <xf numFmtId="49" fontId="3" fillId="5" borderId="4" xfId="0" applyNumberFormat="1" applyFont="1" applyFill="1" applyBorder="1" applyAlignment="1">
      <alignment vertical="center"/>
    </xf>
    <xf numFmtId="14" fontId="3" fillId="5" borderId="4" xfId="0" applyNumberFormat="1" applyFont="1" applyFill="1" applyBorder="1" applyAlignment="1">
      <alignment vertical="center"/>
    </xf>
    <xf numFmtId="49" fontId="3" fillId="5" borderId="4" xfId="0" applyNumberFormat="1" applyFont="1" applyFill="1" applyBorder="1" applyAlignment="1">
      <alignment horizontal="center" vertical="center" wrapText="1"/>
    </xf>
    <xf numFmtId="4" fontId="3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49" fontId="18" fillId="5" borderId="4" xfId="0" applyNumberFormat="1" applyFont="1" applyFill="1" applyBorder="1" applyAlignment="1">
      <alignment horizontal="center" vertical="center"/>
    </xf>
    <xf numFmtId="14" fontId="18" fillId="5" borderId="4" xfId="0" quotePrefix="1" applyNumberFormat="1" applyFont="1" applyFill="1" applyBorder="1" applyAlignment="1">
      <alignment vertical="center"/>
    </xf>
    <xf numFmtId="14" fontId="18" fillId="5" borderId="4" xfId="0" applyNumberFormat="1" applyFont="1" applyFill="1" applyBorder="1" applyAlignment="1">
      <alignment horizontal="right" vertical="center"/>
    </xf>
    <xf numFmtId="49" fontId="18" fillId="5" borderId="4" xfId="0" quotePrefix="1" applyNumberFormat="1" applyFont="1" applyFill="1" applyBorder="1" applyAlignment="1">
      <alignment horizontal="left" vertical="center"/>
    </xf>
    <xf numFmtId="14" fontId="21" fillId="5" borderId="4" xfId="0" applyNumberFormat="1" applyFont="1" applyFill="1" applyBorder="1" applyAlignment="1">
      <alignment vertical="center" wrapText="1"/>
    </xf>
    <xf numFmtId="49" fontId="21" fillId="5" borderId="4" xfId="0" applyNumberFormat="1" applyFont="1" applyFill="1" applyBorder="1" applyAlignment="1">
      <alignment vertical="center"/>
    </xf>
    <xf numFmtId="14" fontId="18" fillId="8" borderId="4" xfId="0" applyNumberFormat="1" applyFont="1" applyFill="1" applyBorder="1" applyAlignment="1">
      <alignment horizontal="right" vertical="center"/>
    </xf>
    <xf numFmtId="49" fontId="18" fillId="5" borderId="4" xfId="0" applyNumberFormat="1" applyFont="1" applyFill="1" applyBorder="1" applyAlignment="1">
      <alignment horizontal="left" vertical="center"/>
    </xf>
    <xf numFmtId="14" fontId="18" fillId="5" borderId="4" xfId="0" applyNumberFormat="1" applyFont="1" applyFill="1" applyBorder="1" applyAlignment="1">
      <alignment horizontal="left" vertical="center"/>
    </xf>
    <xf numFmtId="49" fontId="18" fillId="0" borderId="0" xfId="0" applyNumberFormat="1" applyFont="1" applyAlignment="1">
      <alignment horizontal="left" vertical="center"/>
    </xf>
    <xf numFmtId="49" fontId="3" fillId="5" borderId="4" xfId="0" applyNumberFormat="1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 wrapText="1"/>
    </xf>
    <xf numFmtId="14" fontId="3" fillId="5" borderId="4" xfId="0" quotePrefix="1" applyNumberFormat="1" applyFont="1" applyFill="1" applyBorder="1" applyAlignment="1">
      <alignment vertical="center"/>
    </xf>
    <xf numFmtId="4" fontId="3" fillId="5" borderId="4" xfId="0" quotePrefix="1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 wrapText="1"/>
    </xf>
    <xf numFmtId="14" fontId="3" fillId="5" borderId="4" xfId="0" applyNumberFormat="1" applyFont="1" applyFill="1" applyBorder="1" applyAlignment="1">
      <alignment horizontal="center" vertical="center"/>
    </xf>
    <xf numFmtId="0" fontId="18" fillId="5" borderId="0" xfId="0" quotePrefix="1" applyFont="1" applyFill="1" applyAlignment="1">
      <alignment vertical="center"/>
    </xf>
    <xf numFmtId="14" fontId="18" fillId="5" borderId="4" xfId="0" quotePrefix="1" applyNumberFormat="1" applyFont="1" applyFill="1" applyBorder="1" applyAlignment="1">
      <alignment horizontal="left" vertical="center"/>
    </xf>
    <xf numFmtId="49" fontId="18" fillId="5" borderId="0" xfId="0" quotePrefix="1" applyNumberFormat="1" applyFont="1" applyFill="1" applyAlignment="1">
      <alignment horizontal="left" vertical="center"/>
    </xf>
    <xf numFmtId="0" fontId="3" fillId="10" borderId="4" xfId="0" applyFont="1" applyFill="1" applyBorder="1" applyAlignment="1">
      <alignment vertical="center"/>
    </xf>
    <xf numFmtId="49" fontId="3" fillId="5" borderId="4" xfId="0" applyNumberFormat="1" applyFont="1" applyFill="1" applyBorder="1" applyAlignment="1">
      <alignment horizontal="right" vertical="center"/>
    </xf>
    <xf numFmtId="49" fontId="18" fillId="0" borderId="0" xfId="0" quotePrefix="1" applyNumberFormat="1" applyFont="1" applyAlignment="1">
      <alignment vertical="center"/>
    </xf>
    <xf numFmtId="1" fontId="21" fillId="7" borderId="4" xfId="0" applyNumberFormat="1" applyFont="1" applyFill="1" applyBorder="1" applyAlignment="1">
      <alignment horizontal="left" vertical="center"/>
    </xf>
    <xf numFmtId="14" fontId="18" fillId="5" borderId="4" xfId="0" applyNumberFormat="1" applyFont="1" applyFill="1" applyBorder="1" applyAlignment="1">
      <alignment horizontal="center" vertical="center" wrapText="1"/>
    </xf>
    <xf numFmtId="49" fontId="18" fillId="0" borderId="0" xfId="0" applyNumberFormat="1" applyFont="1" applyAlignment="1">
      <alignment vertical="center"/>
    </xf>
    <xf numFmtId="14" fontId="18" fillId="0" borderId="4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/>
    </xf>
    <xf numFmtId="14" fontId="18" fillId="0" borderId="4" xfId="0" applyNumberFormat="1" applyFont="1" applyBorder="1" applyAlignment="1">
      <alignment horizontal="center" vertical="center"/>
    </xf>
    <xf numFmtId="16" fontId="18" fillId="0" borderId="4" xfId="0" quotePrefix="1" applyNumberFormat="1" applyFont="1" applyBorder="1" applyAlignment="1">
      <alignment horizontal="center" vertical="center"/>
    </xf>
    <xf numFmtId="0" fontId="18" fillId="0" borderId="4" xfId="0" quotePrefix="1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14" fontId="21" fillId="0" borderId="4" xfId="0" applyNumberFormat="1" applyFont="1" applyBorder="1" applyAlignment="1">
      <alignment horizontal="center" vertical="center"/>
    </xf>
    <xf numFmtId="49" fontId="18" fillId="0" borderId="4" xfId="0" applyNumberFormat="1" applyFont="1" applyBorder="1" applyAlignment="1">
      <alignment horizontal="center" vertical="center" wrapText="1"/>
    </xf>
    <xf numFmtId="14" fontId="18" fillId="0" borderId="4" xfId="0" quotePrefix="1" applyNumberFormat="1" applyFont="1" applyBorder="1" applyAlignment="1">
      <alignment vertical="center"/>
    </xf>
    <xf numFmtId="0" fontId="18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4" fontId="21" fillId="0" borderId="4" xfId="0" applyNumberFormat="1" applyFont="1" applyBorder="1" applyAlignment="1">
      <alignment vertical="center"/>
    </xf>
    <xf numFmtId="49" fontId="21" fillId="0" borderId="4" xfId="0" applyNumberFormat="1" applyFont="1" applyBorder="1" applyAlignment="1">
      <alignment vertical="center"/>
    </xf>
    <xf numFmtId="0" fontId="18" fillId="0" borderId="4" xfId="0" quotePrefix="1" applyFont="1" applyBorder="1" applyAlignment="1">
      <alignment horizontal="center" vertical="center"/>
    </xf>
    <xf numFmtId="14" fontId="3" fillId="0" borderId="4" xfId="0" applyNumberFormat="1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14" fontId="3" fillId="0" borderId="4" xfId="0" quotePrefix="1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/>
    </xf>
    <xf numFmtId="49" fontId="22" fillId="0" borderId="4" xfId="0" applyNumberFormat="1" applyFont="1" applyBorder="1" applyAlignment="1">
      <alignment vertical="center"/>
    </xf>
    <xf numFmtId="14" fontId="22" fillId="0" borderId="4" xfId="0" quotePrefix="1" applyNumberFormat="1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49" fontId="18" fillId="0" borderId="4" xfId="0" quotePrefix="1" applyNumberFormat="1" applyFont="1" applyBorder="1" applyAlignment="1">
      <alignment vertical="center"/>
    </xf>
    <xf numFmtId="14" fontId="18" fillId="13" borderId="4" xfId="0" applyNumberFormat="1" applyFont="1" applyFill="1" applyBorder="1" applyAlignment="1">
      <alignment vertical="center"/>
    </xf>
    <xf numFmtId="0" fontId="18" fillId="6" borderId="4" xfId="0" applyFont="1" applyFill="1" applyBorder="1" applyAlignment="1">
      <alignment vertical="center" wrapText="1"/>
    </xf>
    <xf numFmtId="49" fontId="18" fillId="6" borderId="4" xfId="0" applyNumberFormat="1" applyFont="1" applyFill="1" applyBorder="1" applyAlignment="1">
      <alignment vertical="center"/>
    </xf>
    <xf numFmtId="14" fontId="18" fillId="6" borderId="4" xfId="0" quotePrefix="1" applyNumberFormat="1" applyFont="1" applyFill="1" applyBorder="1" applyAlignment="1">
      <alignment vertical="center"/>
    </xf>
    <xf numFmtId="14" fontId="18" fillId="6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" fontId="18" fillId="6" borderId="4" xfId="0" applyNumberFormat="1" applyFont="1" applyFill="1" applyBorder="1" applyAlignment="1">
      <alignment horizontal="center" vertical="center" wrapText="1"/>
    </xf>
    <xf numFmtId="4" fontId="18" fillId="6" borderId="4" xfId="0" applyNumberFormat="1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vertical="center"/>
    </xf>
    <xf numFmtId="0" fontId="18" fillId="6" borderId="4" xfId="0" applyFont="1" applyFill="1" applyBorder="1" applyAlignment="1">
      <alignment horizontal="left" vertical="center"/>
    </xf>
    <xf numFmtId="0" fontId="18" fillId="6" borderId="0" xfId="0" quotePrefix="1" applyFont="1" applyFill="1" applyAlignment="1">
      <alignment vertical="center"/>
    </xf>
    <xf numFmtId="0" fontId="18" fillId="6" borderId="0" xfId="0" applyFont="1" applyFill="1" applyAlignment="1">
      <alignment vertical="center"/>
    </xf>
    <xf numFmtId="49" fontId="18" fillId="0" borderId="4" xfId="0" quotePrefix="1" applyNumberFormat="1" applyFont="1" applyBorder="1" applyAlignment="1">
      <alignment horizontal="center" vertical="center" wrapText="1"/>
    </xf>
    <xf numFmtId="49" fontId="18" fillId="0" borderId="4" xfId="0" quotePrefix="1" applyNumberFormat="1" applyFont="1" applyBorder="1" applyAlignment="1">
      <alignment horizontal="right" vertical="center"/>
    </xf>
    <xf numFmtId="49" fontId="21" fillId="6" borderId="4" xfId="0" applyNumberFormat="1" applyFont="1" applyFill="1" applyBorder="1" applyAlignment="1">
      <alignment vertical="center"/>
    </xf>
    <xf numFmtId="14" fontId="18" fillId="6" borderId="4" xfId="0" quotePrefix="1" applyNumberFormat="1" applyFont="1" applyFill="1" applyBorder="1" applyAlignment="1">
      <alignment horizontal="left" vertical="center"/>
    </xf>
    <xf numFmtId="49" fontId="18" fillId="6" borderId="0" xfId="0" quotePrefix="1" applyNumberFormat="1" applyFont="1" applyFill="1" applyAlignment="1">
      <alignment vertical="center"/>
    </xf>
    <xf numFmtId="14" fontId="18" fillId="0" borderId="5" xfId="0" applyNumberFormat="1" applyFont="1" applyBorder="1" applyAlignment="1">
      <alignment vertical="center"/>
    </xf>
    <xf numFmtId="49" fontId="18" fillId="0" borderId="5" xfId="0" applyNumberFormat="1" applyFont="1" applyBorder="1" applyAlignment="1">
      <alignment vertical="center"/>
    </xf>
    <xf numFmtId="14" fontId="18" fillId="0" borderId="5" xfId="0" quotePrefix="1" applyNumberFormat="1" applyFont="1" applyBorder="1" applyAlignment="1">
      <alignment vertical="center"/>
    </xf>
    <xf numFmtId="14" fontId="18" fillId="7" borderId="5" xfId="0" applyNumberFormat="1" applyFont="1" applyFill="1" applyBorder="1" applyAlignment="1">
      <alignment vertical="center"/>
    </xf>
    <xf numFmtId="14" fontId="18" fillId="0" borderId="7" xfId="0" applyNumberFormat="1" applyFont="1" applyBorder="1" applyAlignment="1">
      <alignment vertical="center"/>
    </xf>
    <xf numFmtId="49" fontId="18" fillId="0" borderId="7" xfId="0" applyNumberFormat="1" applyFont="1" applyBorder="1" applyAlignment="1">
      <alignment vertical="center"/>
    </xf>
    <xf numFmtId="14" fontId="18" fillId="0" borderId="7" xfId="0" quotePrefix="1" applyNumberFormat="1" applyFont="1" applyBorder="1" applyAlignment="1">
      <alignment vertical="center"/>
    </xf>
    <xf numFmtId="14" fontId="18" fillId="7" borderId="7" xfId="0" applyNumberFormat="1" applyFont="1" applyFill="1" applyBorder="1" applyAlignment="1">
      <alignment vertical="center"/>
    </xf>
    <xf numFmtId="0" fontId="18" fillId="0" borderId="7" xfId="0" applyFont="1" applyBorder="1" applyAlignment="1">
      <alignment vertical="center"/>
    </xf>
    <xf numFmtId="14" fontId="18" fillId="0" borderId="7" xfId="0" applyNumberFormat="1" applyFont="1" applyBorder="1" applyAlignment="1">
      <alignment horizontal="left" vertical="center"/>
    </xf>
    <xf numFmtId="14" fontId="18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right" vertical="center"/>
    </xf>
    <xf numFmtId="14" fontId="18" fillId="0" borderId="3" xfId="0" applyNumberFormat="1" applyFont="1" applyBorder="1" applyAlignment="1">
      <alignment vertical="center"/>
    </xf>
    <xf numFmtId="49" fontId="18" fillId="0" borderId="3" xfId="0" applyNumberFormat="1" applyFont="1" applyBorder="1" applyAlignment="1">
      <alignment vertical="center"/>
    </xf>
    <xf numFmtId="14" fontId="18" fillId="7" borderId="3" xfId="0" applyNumberFormat="1" applyFont="1" applyFill="1" applyBorder="1" applyAlignment="1">
      <alignment vertical="center"/>
    </xf>
    <xf numFmtId="49" fontId="3" fillId="0" borderId="4" xfId="0" quotePrefix="1" applyNumberFormat="1" applyFont="1" applyBorder="1" applyAlignment="1">
      <alignment vertical="center"/>
    </xf>
    <xf numFmtId="49" fontId="18" fillId="0" borderId="0" xfId="0" applyNumberFormat="1" applyFont="1" applyAlignment="1">
      <alignment horizontal="center" vertical="center" wrapText="1"/>
    </xf>
    <xf numFmtId="14" fontId="18" fillId="0" borderId="4" xfId="0" quotePrefix="1" applyNumberFormat="1" applyFont="1" applyBorder="1" applyAlignment="1">
      <alignment horizontal="left" vertical="center"/>
    </xf>
    <xf numFmtId="14" fontId="18" fillId="0" borderId="4" xfId="0" applyNumberFormat="1" applyFont="1" applyBorder="1" applyAlignment="1">
      <alignment horizontal="right" vertical="center"/>
    </xf>
    <xf numFmtId="49" fontId="21" fillId="0" borderId="4" xfId="0" applyNumberFormat="1" applyFont="1" applyBorder="1" applyAlignment="1">
      <alignment horizontal="right" vertical="center"/>
    </xf>
    <xf numFmtId="0" fontId="18" fillId="0" borderId="4" xfId="0" applyFont="1" applyBorder="1" applyAlignment="1">
      <alignment vertical="center" wrapText="1"/>
    </xf>
    <xf numFmtId="0" fontId="18" fillId="0" borderId="5" xfId="0" applyFont="1" applyBorder="1" applyAlignment="1">
      <alignment vertical="center"/>
    </xf>
    <xf numFmtId="0" fontId="18" fillId="0" borderId="8" xfId="0" quotePrefix="1" applyFont="1" applyBorder="1" applyAlignment="1">
      <alignment vertical="center"/>
    </xf>
    <xf numFmtId="0" fontId="18" fillId="0" borderId="5" xfId="0" applyFont="1" applyBorder="1" applyAlignment="1">
      <alignment horizontal="center" vertical="center"/>
    </xf>
    <xf numFmtId="14" fontId="18" fillId="8" borderId="9" xfId="0" applyNumberFormat="1" applyFont="1" applyFill="1" applyBorder="1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4" fontId="18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164" fontId="18" fillId="0" borderId="0" xfId="1" applyNumberFormat="1" applyFont="1" applyFill="1" applyBorder="1" applyAlignment="1">
      <alignment vertical="center"/>
    </xf>
    <xf numFmtId="164" fontId="23" fillId="0" borderId="0" xfId="1" applyNumberFormat="1" applyFont="1" applyFill="1" applyBorder="1" applyAlignment="1">
      <alignment vertical="center"/>
    </xf>
    <xf numFmtId="164" fontId="18" fillId="6" borderId="0" xfId="1" applyNumberFormat="1" applyFont="1" applyFill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18" fillId="0" borderId="0" xfId="0" applyFont="1" applyAlignment="1">
      <alignment horizontal="left" vertical="center"/>
    </xf>
    <xf numFmtId="164" fontId="18" fillId="0" borderId="0" xfId="1" applyNumberFormat="1" applyFont="1" applyAlignment="1">
      <alignment vertical="center"/>
    </xf>
    <xf numFmtId="0" fontId="3" fillId="0" borderId="0" xfId="0" quotePrefix="1" applyFont="1" applyAlignment="1">
      <alignment vertical="center"/>
    </xf>
    <xf numFmtId="4" fontId="18" fillId="0" borderId="0" xfId="0" applyNumberFormat="1" applyFont="1" applyAlignment="1">
      <alignment horizontal="center" vertical="center"/>
    </xf>
    <xf numFmtId="165" fontId="18" fillId="0" borderId="0" xfId="1" applyNumberFormat="1" applyFont="1" applyAlignment="1">
      <alignment vertical="center"/>
    </xf>
    <xf numFmtId="166" fontId="18" fillId="0" borderId="0" xfId="1" applyNumberFormat="1" applyFont="1" applyAlignment="1">
      <alignment vertical="center"/>
    </xf>
    <xf numFmtId="0" fontId="8" fillId="0" borderId="0" xfId="0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0" fillId="0" borderId="7" xfId="0" applyBorder="1"/>
    <xf numFmtId="0" fontId="24" fillId="0" borderId="7" xfId="0" applyFont="1" applyBorder="1"/>
    <xf numFmtId="0" fontId="25" fillId="0" borderId="13" xfId="0" applyFont="1" applyBorder="1" applyAlignment="1">
      <alignment vertical="center"/>
    </xf>
    <xf numFmtId="0" fontId="26" fillId="0" borderId="13" xfId="0" applyFont="1" applyBorder="1" applyAlignment="1">
      <alignment wrapText="1"/>
    </xf>
    <xf numFmtId="0" fontId="27" fillId="0" borderId="13" xfId="0" applyFont="1" applyBorder="1" applyAlignment="1">
      <alignment vertical="center"/>
    </xf>
    <xf numFmtId="0" fontId="26" fillId="0" borderId="14" xfId="0" applyFont="1" applyBorder="1" applyAlignment="1">
      <alignment wrapText="1"/>
    </xf>
    <xf numFmtId="0" fontId="26" fillId="0" borderId="15" xfId="0" applyFont="1" applyBorder="1" applyAlignment="1">
      <alignment wrapText="1"/>
    </xf>
    <xf numFmtId="0" fontId="25" fillId="0" borderId="16" xfId="0" applyFont="1" applyBorder="1" applyAlignment="1">
      <alignment horizontal="center" vertical="center" wrapText="1"/>
    </xf>
    <xf numFmtId="0" fontId="28" fillId="0" borderId="16" xfId="0" applyFont="1" applyBorder="1" applyAlignment="1">
      <alignment wrapText="1"/>
    </xf>
    <xf numFmtId="0" fontId="28" fillId="0" borderId="16" xfId="0" applyFont="1" applyBorder="1" applyAlignment="1">
      <alignment horizontal="center" vertical="center" wrapText="1"/>
    </xf>
    <xf numFmtId="0" fontId="26" fillId="0" borderId="16" xfId="0" applyFont="1" applyBorder="1" applyAlignment="1">
      <alignment wrapText="1"/>
    </xf>
    <xf numFmtId="0" fontId="26" fillId="0" borderId="14" xfId="0" applyFont="1" applyBorder="1" applyAlignment="1">
      <alignment vertical="center" wrapText="1"/>
    </xf>
    <xf numFmtId="0" fontId="26" fillId="0" borderId="16" xfId="0" applyFont="1" applyBorder="1" applyAlignment="1">
      <alignment vertical="center" wrapText="1"/>
    </xf>
    <xf numFmtId="0" fontId="25" fillId="0" borderId="16" xfId="0" applyFont="1" applyBorder="1" applyAlignment="1">
      <alignment horizontal="center" wrapText="1"/>
    </xf>
    <xf numFmtId="0" fontId="28" fillId="0" borderId="16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47" fontId="0" fillId="0" borderId="0" xfId="0" applyNumberFormat="1" applyAlignment="1">
      <alignment vertical="center" wrapText="1"/>
    </xf>
    <xf numFmtId="0" fontId="29" fillId="2" borderId="7" xfId="0" applyFont="1" applyFill="1" applyBorder="1"/>
    <xf numFmtId="0" fontId="29" fillId="2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24" fillId="0" borderId="7" xfId="0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24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18" fillId="0" borderId="4" xfId="1" applyNumberFormat="1" applyFont="1" applyFill="1" applyBorder="1" applyAlignment="1">
      <alignment vertical="center"/>
    </xf>
    <xf numFmtId="1" fontId="18" fillId="0" borderId="4" xfId="0" applyNumberFormat="1" applyFont="1" applyBorder="1" applyAlignment="1">
      <alignment vertical="center"/>
    </xf>
    <xf numFmtId="0" fontId="18" fillId="0" borderId="7" xfId="0" applyFont="1" applyBorder="1" applyAlignment="1">
      <alignment horizontal="left" vertical="center"/>
    </xf>
    <xf numFmtId="0" fontId="18" fillId="0" borderId="4" xfId="6" applyFont="1" applyBorder="1" applyAlignment="1">
      <alignment vertical="center"/>
    </xf>
    <xf numFmtId="0" fontId="18" fillId="0" borderId="7" xfId="0" applyFont="1" applyBorder="1" applyAlignment="1">
      <alignment vertical="center" wrapText="1"/>
    </xf>
    <xf numFmtId="1" fontId="18" fillId="0" borderId="4" xfId="0" applyNumberFormat="1" applyFont="1" applyBorder="1" applyAlignment="1">
      <alignment horizontal="left" vertical="center"/>
    </xf>
    <xf numFmtId="49" fontId="18" fillId="0" borderId="4" xfId="0" applyNumberFormat="1" applyFont="1" applyBorder="1" applyAlignment="1">
      <alignment horizontal="left" vertical="center"/>
    </xf>
    <xf numFmtId="0" fontId="18" fillId="0" borderId="7" xfId="0" quotePrefix="1" applyFont="1" applyBorder="1" applyAlignment="1">
      <alignment vertical="center"/>
    </xf>
    <xf numFmtId="49" fontId="18" fillId="0" borderId="7" xfId="0" quotePrefix="1" applyNumberFormat="1" applyFont="1" applyBorder="1" applyAlignment="1">
      <alignment horizontal="left" vertical="center"/>
    </xf>
    <xf numFmtId="49" fontId="18" fillId="0" borderId="4" xfId="0" applyNumberFormat="1" applyFont="1" applyBorder="1" applyAlignment="1">
      <alignment horizontal="right" vertical="center" wrapText="1"/>
    </xf>
    <xf numFmtId="0" fontId="21" fillId="0" borderId="7" xfId="0" applyFont="1" applyBorder="1" applyAlignment="1">
      <alignment vertical="center" wrapText="1"/>
    </xf>
    <xf numFmtId="0" fontId="30" fillId="0" borderId="7" xfId="0" applyFont="1" applyBorder="1" applyAlignment="1">
      <alignment vertical="center"/>
    </xf>
    <xf numFmtId="16" fontId="18" fillId="0" borderId="7" xfId="0" quotePrefix="1" applyNumberFormat="1" applyFont="1" applyBorder="1" applyAlignment="1">
      <alignment vertical="center"/>
    </xf>
    <xf numFmtId="4" fontId="18" fillId="0" borderId="4" xfId="0" quotePrefix="1" applyNumberFormat="1" applyFont="1" applyBorder="1" applyAlignment="1">
      <alignment horizontal="center" vertical="center" wrapText="1"/>
    </xf>
    <xf numFmtId="1" fontId="21" fillId="0" borderId="4" xfId="0" applyNumberFormat="1" applyFont="1" applyBorder="1" applyAlignment="1">
      <alignment vertical="center"/>
    </xf>
    <xf numFmtId="4" fontId="18" fillId="0" borderId="4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4" fontId="18" fillId="0" borderId="4" xfId="0" quotePrefix="1" applyNumberFormat="1" applyFont="1" applyBorder="1" applyAlignment="1">
      <alignment horizontal="center" vertical="center"/>
    </xf>
    <xf numFmtId="164" fontId="21" fillId="0" borderId="4" xfId="1" applyNumberFormat="1" applyFont="1" applyFill="1" applyBorder="1" applyAlignment="1">
      <alignment vertical="center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14" fontId="3" fillId="0" borderId="7" xfId="0" applyNumberFormat="1" applyFont="1" applyBorder="1" applyAlignment="1">
      <alignment vertical="center"/>
    </xf>
    <xf numFmtId="2" fontId="18" fillId="0" borderId="4" xfId="0" applyNumberFormat="1" applyFont="1" applyBorder="1" applyAlignment="1">
      <alignment horizontal="center" vertical="center"/>
    </xf>
    <xf numFmtId="1" fontId="3" fillId="0" borderId="4" xfId="0" quotePrefix="1" applyNumberFormat="1" applyFont="1" applyBorder="1" applyAlignment="1">
      <alignment vertical="center"/>
    </xf>
    <xf numFmtId="49" fontId="18" fillId="0" borderId="4" xfId="0" quotePrefix="1" applyNumberFormat="1" applyFont="1" applyBorder="1" applyAlignment="1">
      <alignment horizontal="left" vertical="center"/>
    </xf>
    <xf numFmtId="49" fontId="18" fillId="0" borderId="7" xfId="0" quotePrefix="1" applyNumberFormat="1" applyFont="1" applyBorder="1" applyAlignment="1">
      <alignment vertical="center"/>
    </xf>
    <xf numFmtId="12" fontId="18" fillId="0" borderId="4" xfId="0" quotePrefix="1" applyNumberFormat="1" applyFont="1" applyBorder="1" applyAlignment="1">
      <alignment horizontal="center" vertical="center" wrapText="1"/>
    </xf>
    <xf numFmtId="14" fontId="18" fillId="0" borderId="4" xfId="0" applyNumberFormat="1" applyFont="1" applyBorder="1" applyAlignment="1">
      <alignment horizontal="left" vertical="center"/>
    </xf>
    <xf numFmtId="49" fontId="18" fillId="0" borderId="7" xfId="0" applyNumberFormat="1" applyFont="1" applyBorder="1" applyAlignment="1">
      <alignment horizontal="left" vertical="center"/>
    </xf>
    <xf numFmtId="4" fontId="3" fillId="0" borderId="4" xfId="0" quotePrefix="1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right" vertical="center"/>
    </xf>
    <xf numFmtId="1" fontId="21" fillId="0" borderId="4" xfId="0" applyNumberFormat="1" applyFont="1" applyBorder="1" applyAlignment="1">
      <alignment horizontal="left" vertic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4" fontId="18" fillId="0" borderId="9" xfId="0" applyNumberFormat="1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8" fillId="0" borderId="0" xfId="0" applyFont="1"/>
    <xf numFmtId="0" fontId="18" fillId="0" borderId="22" xfId="0" applyFont="1" applyBorder="1" applyAlignment="1">
      <alignment vertical="center"/>
    </xf>
    <xf numFmtId="0" fontId="18" fillId="0" borderId="22" xfId="0" applyFont="1" applyBorder="1" applyAlignment="1">
      <alignment vertical="center" wrapText="1"/>
    </xf>
    <xf numFmtId="0" fontId="21" fillId="0" borderId="22" xfId="0" applyFont="1" applyBorder="1" applyAlignment="1">
      <alignment vertical="center"/>
    </xf>
    <xf numFmtId="14" fontId="18" fillId="0" borderId="22" xfId="0" applyNumberFormat="1" applyFont="1" applyBorder="1" applyAlignment="1">
      <alignment vertical="center" wrapText="1"/>
    </xf>
    <xf numFmtId="14" fontId="3" fillId="0" borderId="22" xfId="0" applyNumberFormat="1" applyFont="1" applyBorder="1" applyAlignment="1">
      <alignment vertical="center" wrapText="1"/>
    </xf>
    <xf numFmtId="14" fontId="21" fillId="0" borderId="22" xfId="0" applyNumberFormat="1" applyFont="1" applyBorder="1" applyAlignment="1">
      <alignment vertical="center" wrapText="1"/>
    </xf>
    <xf numFmtId="0" fontId="21" fillId="0" borderId="22" xfId="0" applyFont="1" applyBorder="1" applyAlignment="1">
      <alignment horizontal="left" vertical="center"/>
    </xf>
    <xf numFmtId="14" fontId="18" fillId="0" borderId="22" xfId="0" applyNumberFormat="1" applyFont="1" applyBorder="1" applyAlignment="1">
      <alignment vertical="center"/>
    </xf>
    <xf numFmtId="14" fontId="21" fillId="0" borderId="22" xfId="0" applyNumberFormat="1" applyFont="1" applyBorder="1" applyAlignment="1">
      <alignment vertical="center"/>
    </xf>
    <xf numFmtId="0" fontId="21" fillId="0" borderId="22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14" fontId="3" fillId="0" borderId="22" xfId="0" applyNumberFormat="1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14" fontId="18" fillId="0" borderId="23" xfId="0" applyNumberFormat="1" applyFont="1" applyBorder="1" applyAlignment="1">
      <alignment vertical="center"/>
    </xf>
    <xf numFmtId="14" fontId="18" fillId="0" borderId="24" xfId="0" applyNumberFormat="1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14" fontId="18" fillId="0" borderId="25" xfId="0" applyNumberFormat="1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17" fillId="0" borderId="27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28" xfId="0" applyFont="1" applyBorder="1" applyAlignment="1">
      <alignment vertical="center" wrapText="1"/>
    </xf>
    <xf numFmtId="49" fontId="17" fillId="0" borderId="28" xfId="0" applyNumberFormat="1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29" xfId="0" applyFont="1" applyBorder="1" applyAlignment="1">
      <alignment vertical="center" wrapText="1"/>
    </xf>
    <xf numFmtId="0" fontId="17" fillId="0" borderId="30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0" fillId="6" borderId="12" xfId="0" applyFont="1" applyFill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wrapText="1"/>
    </xf>
    <xf numFmtId="0" fontId="25" fillId="0" borderId="21" xfId="0" applyFont="1" applyBorder="1" applyAlignment="1">
      <alignment horizontal="center" wrapText="1"/>
    </xf>
    <xf numFmtId="0" fontId="18" fillId="0" borderId="4" xfId="0" applyFont="1" applyFill="1" applyBorder="1"/>
    <xf numFmtId="0" fontId="21" fillId="0" borderId="4" xfId="0" applyFont="1" applyFill="1" applyBorder="1"/>
    <xf numFmtId="14" fontId="18" fillId="0" borderId="4" xfId="0" applyNumberFormat="1" applyFont="1" applyFill="1" applyBorder="1" applyAlignment="1">
      <alignment wrapText="1"/>
    </xf>
    <xf numFmtId="14" fontId="21" fillId="0" borderId="4" xfId="0" applyNumberFormat="1" applyFont="1" applyFill="1" applyBorder="1" applyAlignment="1">
      <alignment wrapText="1"/>
    </xf>
    <xf numFmtId="0" fontId="21" fillId="0" borderId="4" xfId="0" applyFont="1" applyFill="1" applyBorder="1" applyAlignment="1">
      <alignment horizontal="left"/>
    </xf>
    <xf numFmtId="14" fontId="18" fillId="0" borderId="4" xfId="0" applyNumberFormat="1" applyFont="1" applyFill="1" applyBorder="1"/>
    <xf numFmtId="14" fontId="21" fillId="0" borderId="4" xfId="0" applyNumberFormat="1" applyFont="1" applyFill="1" applyBorder="1"/>
    <xf numFmtId="0" fontId="21" fillId="0" borderId="4" xfId="0" applyFont="1" applyFill="1" applyBorder="1" applyAlignment="1">
      <alignment wrapText="1"/>
    </xf>
    <xf numFmtId="0" fontId="18" fillId="0" borderId="4" xfId="0" applyFont="1" applyFill="1" applyBorder="1" applyAlignment="1">
      <alignment wrapText="1"/>
    </xf>
    <xf numFmtId="14" fontId="3" fillId="0" borderId="4" xfId="0" applyNumberFormat="1" applyFont="1" applyFill="1" applyBorder="1" applyAlignment="1">
      <alignment wrapText="1"/>
    </xf>
    <xf numFmtId="0" fontId="18" fillId="0" borderId="0" xfId="0" applyFont="1" applyFill="1"/>
  </cellXfs>
  <cellStyles count="7">
    <cellStyle name="Comma" xfId="1" builtinId="3"/>
    <cellStyle name="Comma 2" xfId="2" xr:uid="{252AC6FC-D23A-4264-8B1A-A298E18FE1BF}"/>
    <cellStyle name="Hyperlink 2" xfId="3" xr:uid="{17B13425-F168-4971-A5A5-11DC7B19557D}"/>
    <cellStyle name="Hyperlink 3" xfId="4" xr:uid="{A4A77E07-447D-4A3C-B333-B4E518AFB801}"/>
    <cellStyle name="Normal" xfId="0" builtinId="0"/>
    <cellStyle name="Normal 2" xfId="5" xr:uid="{0B75AD8F-7521-4E5D-84BB-EF1A1981AFF4}"/>
    <cellStyle name="Normal 3" xfId="6" xr:uid="{4DF8973E-5239-4B43-821C-D32FF1AE61CF}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64" formatCode="_-* #,##0\ _₫_-;\-* #,##0\ _₫_-;_-* &quot;-&quot;??\ _₫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64" formatCode="_-* #,##0\ _₫_-;\-* #,##0\ _₫_-;_-* &quot;-&quot;??\ _₫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64" formatCode="_-* #,##0\ _₫_-;\-* #,##0\ _₫_-;_-* &quot;-&quot;??\ _₫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64" formatCode="_-* #,##0\ _₫_-;\-* #,##0\ _₫_-;_-* &quot;-&quot;??\ _₫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64" formatCode="_-* #,##0\ _₫_-;\-* #,##0\ _₫_-;_-* &quot;-&quot;??\ _₫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base%2006.202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TTHSG/TCHC/B&#7842;O%20HI&#7874;M%20X&#195;%20H&#7896;I/C45/BHXH%20g&#7917;i/2024/DS%20nl&#273;%20tham%20gia%20h&#224;ng%20th&#225;ng/DS%20th&#225;ng%2006.202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TTHSG/TCHC/B&#7842;O%20HI&#7874;M%20X&#195;%20H&#7896;I/C45/BHXH%20g&#7917;i/2024/DS%20nl&#273;%20tham%20gia%20h&#224;ng%20th&#225;ng/DS%20th&#225;ng%2004.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06.2023"/>
      <sheetName val="TỔNG HỢP"/>
      <sheetName val="Mã Xã, Huyện, Tỉnh"/>
      <sheetName val="TD luong"/>
      <sheetName val="BC BHXH"/>
      <sheetName val="Trình độ_Bậc thợ"/>
      <sheetName val="Báo cáo"/>
      <sheetName val="Bổ nhiệm"/>
    </sheetNames>
    <sheetDataSet>
      <sheetData sheetId="0" refreshError="1">
        <row r="2">
          <cell r="E2" t="str">
            <v>Uông Nhật Phương</v>
          </cell>
          <cell r="F2" t="str">
            <v>30/10/1974</v>
          </cell>
          <cell r="G2">
            <v>27332</v>
          </cell>
          <cell r="H2">
            <v>49980</v>
          </cell>
          <cell r="I2">
            <v>49978</v>
          </cell>
          <cell r="J2">
            <v>49980</v>
          </cell>
        </row>
        <row r="3">
          <cell r="E3" t="str">
            <v>Phạm Văn Dũng</v>
          </cell>
          <cell r="F3" t="str">
            <v>06/08/1963</v>
          </cell>
          <cell r="G3">
            <v>23229</v>
          </cell>
          <cell r="H3">
            <v>45536</v>
          </cell>
          <cell r="I3">
            <v>45510</v>
          </cell>
          <cell r="J3">
            <v>45536</v>
          </cell>
        </row>
        <row r="4">
          <cell r="E4" t="str">
            <v>Dương Ngọc Thắng</v>
          </cell>
          <cell r="F4" t="str">
            <v>07/07/1965</v>
          </cell>
          <cell r="G4">
            <v>23930</v>
          </cell>
          <cell r="H4">
            <v>46508</v>
          </cell>
          <cell r="I4">
            <v>46484</v>
          </cell>
          <cell r="J4">
            <v>46508</v>
          </cell>
        </row>
        <row r="5">
          <cell r="E5" t="str">
            <v>Đàm Ngọc Mẫn</v>
          </cell>
          <cell r="F5" t="str">
            <v>15/12/1974</v>
          </cell>
          <cell r="G5">
            <v>27378</v>
          </cell>
          <cell r="H5">
            <v>50041</v>
          </cell>
          <cell r="I5">
            <v>50024</v>
          </cell>
          <cell r="J5">
            <v>50041</v>
          </cell>
        </row>
        <row r="6">
          <cell r="E6" t="str">
            <v>Lê Minh Quyết</v>
          </cell>
          <cell r="F6" t="str">
            <v>26/09/1962</v>
          </cell>
          <cell r="G6">
            <v>22915</v>
          </cell>
          <cell r="H6">
            <v>45108</v>
          </cell>
          <cell r="I6">
            <v>45103</v>
          </cell>
          <cell r="J6">
            <v>45108</v>
          </cell>
        </row>
        <row r="7">
          <cell r="E7" t="str">
            <v>Trần Thị Ánh Hoa</v>
          </cell>
          <cell r="F7" t="str">
            <v>31/10/1976</v>
          </cell>
          <cell r="G7">
            <v>28064</v>
          </cell>
          <cell r="H7">
            <v>49980</v>
          </cell>
          <cell r="I7">
            <v>49979</v>
          </cell>
        </row>
        <row r="8">
          <cell r="E8" t="str">
            <v>Trần Anh Tuấn</v>
          </cell>
          <cell r="F8" t="str">
            <v>24/09/1983</v>
          </cell>
          <cell r="G8">
            <v>30583</v>
          </cell>
          <cell r="H8">
            <v>53236</v>
          </cell>
          <cell r="I8">
            <v>53229</v>
          </cell>
          <cell r="J8">
            <v>53236</v>
          </cell>
        </row>
        <row r="9">
          <cell r="E9" t="str">
            <v>Hà Trung Hiếu</v>
          </cell>
          <cell r="F9" t="str">
            <v>24/05/1986</v>
          </cell>
          <cell r="G9">
            <v>31556</v>
          </cell>
          <cell r="H9">
            <v>54210</v>
          </cell>
          <cell r="I9">
            <v>54202</v>
          </cell>
          <cell r="J9">
            <v>54210</v>
          </cell>
        </row>
        <row r="10">
          <cell r="E10" t="str">
            <v>Đào Xuân Đông</v>
          </cell>
          <cell r="F10" t="str">
            <v>20/02/1982</v>
          </cell>
          <cell r="G10">
            <v>30002</v>
          </cell>
          <cell r="H10">
            <v>52657</v>
          </cell>
          <cell r="I10">
            <v>52647</v>
          </cell>
          <cell r="J10">
            <v>52657</v>
          </cell>
        </row>
        <row r="11">
          <cell r="E11" t="str">
            <v>Ngô Xuân Đạt</v>
          </cell>
          <cell r="F11" t="str">
            <v>14/07/1964</v>
          </cell>
          <cell r="G11">
            <v>23572</v>
          </cell>
          <cell r="H11">
            <v>45962</v>
          </cell>
          <cell r="I11">
            <v>45944</v>
          </cell>
          <cell r="J11">
            <v>45962</v>
          </cell>
        </row>
        <row r="12">
          <cell r="E12" t="str">
            <v>Trần Anh Văn</v>
          </cell>
          <cell r="F12" t="str">
            <v>01/09/1982</v>
          </cell>
          <cell r="G12">
            <v>30195</v>
          </cell>
          <cell r="H12">
            <v>52871</v>
          </cell>
          <cell r="I12">
            <v>52841</v>
          </cell>
          <cell r="J12">
            <v>52871</v>
          </cell>
        </row>
        <row r="13">
          <cell r="E13" t="str">
            <v>Nguyễn Hoàng Long</v>
          </cell>
          <cell r="F13" t="str">
            <v>03/11/1983</v>
          </cell>
          <cell r="G13">
            <v>30623</v>
          </cell>
          <cell r="H13">
            <v>53297</v>
          </cell>
          <cell r="I13">
            <v>53269</v>
          </cell>
          <cell r="J13">
            <v>53297</v>
          </cell>
        </row>
        <row r="14">
          <cell r="E14" t="str">
            <v>Nguyễn Tài Phú</v>
          </cell>
          <cell r="F14" t="str">
            <v>20/10/1983</v>
          </cell>
          <cell r="G14">
            <v>30609</v>
          </cell>
          <cell r="H14">
            <v>53267</v>
          </cell>
          <cell r="I14">
            <v>53255</v>
          </cell>
          <cell r="J14">
            <v>53267</v>
          </cell>
        </row>
        <row r="15">
          <cell r="E15" t="str">
            <v>Trần Quang Nghị</v>
          </cell>
          <cell r="F15" t="str">
            <v>22/11/1966</v>
          </cell>
          <cell r="G15">
            <v>24433</v>
          </cell>
          <cell r="H15">
            <v>47088</v>
          </cell>
          <cell r="I15">
            <v>47079</v>
          </cell>
          <cell r="J15">
            <v>47088</v>
          </cell>
        </row>
        <row r="16">
          <cell r="E16" t="str">
            <v>Nguyễn Tú Long</v>
          </cell>
          <cell r="F16" t="str">
            <v>28/07/1984</v>
          </cell>
          <cell r="G16">
            <v>30891</v>
          </cell>
          <cell r="H16">
            <v>53540</v>
          </cell>
          <cell r="I16">
            <v>53536</v>
          </cell>
          <cell r="J16">
            <v>53540</v>
          </cell>
        </row>
        <row r="17">
          <cell r="E17" t="str">
            <v>Lê Xuân Định</v>
          </cell>
          <cell r="F17" t="str">
            <v>15/01/1973</v>
          </cell>
          <cell r="G17">
            <v>26679</v>
          </cell>
          <cell r="H17">
            <v>49341</v>
          </cell>
          <cell r="I17">
            <v>49324</v>
          </cell>
          <cell r="J17">
            <v>49341</v>
          </cell>
        </row>
        <row r="18">
          <cell r="E18" t="str">
            <v>Tô Quang Toán</v>
          </cell>
          <cell r="F18" t="str">
            <v>10/02/1971</v>
          </cell>
          <cell r="G18">
            <v>25974</v>
          </cell>
          <cell r="H18">
            <v>48639</v>
          </cell>
          <cell r="I18">
            <v>48620</v>
          </cell>
          <cell r="J18">
            <v>48639</v>
          </cell>
        </row>
        <row r="19">
          <cell r="E19" t="str">
            <v>Trần Văn Loan</v>
          </cell>
          <cell r="F19" t="str">
            <v>29/10/1962</v>
          </cell>
          <cell r="G19">
            <v>22948</v>
          </cell>
          <cell r="H19">
            <v>45139</v>
          </cell>
          <cell r="I19">
            <v>45136</v>
          </cell>
          <cell r="J19">
            <v>45139</v>
          </cell>
        </row>
        <row r="20">
          <cell r="E20" t="str">
            <v>Đậu Trường Thành</v>
          </cell>
          <cell r="F20" t="str">
            <v>14/07/1967</v>
          </cell>
          <cell r="G20">
            <v>24667</v>
          </cell>
          <cell r="H20">
            <v>47331</v>
          </cell>
          <cell r="I20">
            <v>47313</v>
          </cell>
          <cell r="J20">
            <v>47331</v>
          </cell>
        </row>
        <row r="21">
          <cell r="E21" t="str">
            <v>Thái Công Lộc</v>
          </cell>
          <cell r="F21" t="str">
            <v>21/09/1976</v>
          </cell>
          <cell r="G21">
            <v>28024</v>
          </cell>
          <cell r="H21">
            <v>50679</v>
          </cell>
          <cell r="I21">
            <v>50669</v>
          </cell>
          <cell r="J21">
            <v>50679</v>
          </cell>
        </row>
        <row r="22">
          <cell r="E22" t="str">
            <v>Tạ Văn Yạch</v>
          </cell>
          <cell r="F22" t="str">
            <v>25/07/1973</v>
          </cell>
          <cell r="G22">
            <v>26870</v>
          </cell>
          <cell r="H22">
            <v>49522</v>
          </cell>
          <cell r="I22">
            <v>49515</v>
          </cell>
          <cell r="J22">
            <v>49522</v>
          </cell>
        </row>
        <row r="23">
          <cell r="E23" t="str">
            <v>Ngô Thị Thu Hương</v>
          </cell>
          <cell r="F23" t="str">
            <v>26/07/1976</v>
          </cell>
          <cell r="G23">
            <v>27967</v>
          </cell>
          <cell r="H23">
            <v>49888</v>
          </cell>
          <cell r="I23">
            <v>49882</v>
          </cell>
        </row>
        <row r="24">
          <cell r="E24" t="str">
            <v>Nguyễn Thị Lý Bá</v>
          </cell>
          <cell r="F24" t="str">
            <v>29/11/1989</v>
          </cell>
          <cell r="G24">
            <v>32841</v>
          </cell>
          <cell r="H24">
            <v>54758</v>
          </cell>
          <cell r="I24">
            <v>54756</v>
          </cell>
        </row>
        <row r="25">
          <cell r="E25" t="str">
            <v>Trần Thị Thu Hoài</v>
          </cell>
          <cell r="F25" t="str">
            <v>12/10/1986</v>
          </cell>
          <cell r="G25">
            <v>31697</v>
          </cell>
          <cell r="I25">
            <v>53612</v>
          </cell>
        </row>
        <row r="26">
          <cell r="E26" t="str">
            <v>Huỳnh Trọng Hiệp</v>
          </cell>
          <cell r="F26" t="str">
            <v>07/03/1970</v>
          </cell>
          <cell r="G26">
            <v>25634</v>
          </cell>
          <cell r="H26">
            <v>48305</v>
          </cell>
          <cell r="I26">
            <v>48280</v>
          </cell>
          <cell r="J26">
            <v>48305</v>
          </cell>
        </row>
        <row r="27">
          <cell r="E27" t="str">
            <v>Nguyễn Ngọc Hoàn</v>
          </cell>
          <cell r="F27" t="str">
            <v>17/08/1990</v>
          </cell>
          <cell r="G27">
            <v>33102</v>
          </cell>
          <cell r="I27">
            <v>55748</v>
          </cell>
          <cell r="J27">
            <v>55763</v>
          </cell>
        </row>
        <row r="28">
          <cell r="E28" t="str">
            <v>Phan Tấn Thịnh</v>
          </cell>
          <cell r="F28" t="str">
            <v>30/07/1991</v>
          </cell>
          <cell r="G28">
            <v>33449</v>
          </cell>
        </row>
        <row r="29">
          <cell r="E29" t="str">
            <v>Uông Nguyễn Nhật Minh</v>
          </cell>
          <cell r="F29" t="str">
            <v>16/06/1994</v>
          </cell>
          <cell r="G29">
            <v>34501</v>
          </cell>
        </row>
        <row r="30">
          <cell r="E30" t="str">
            <v>Đoàn Văn Quang</v>
          </cell>
          <cell r="F30" t="str">
            <v>17/11/1976</v>
          </cell>
          <cell r="G30">
            <v>28081</v>
          </cell>
          <cell r="H30">
            <v>50740</v>
          </cell>
          <cell r="I30">
            <v>50726</v>
          </cell>
          <cell r="J30">
            <v>50740</v>
          </cell>
        </row>
        <row r="31">
          <cell r="E31" t="str">
            <v>Nguyễn Ngọc Quý</v>
          </cell>
          <cell r="F31" t="str">
            <v>01/05/1997</v>
          </cell>
          <cell r="G31">
            <v>35551</v>
          </cell>
        </row>
        <row r="32">
          <cell r="E32" t="str">
            <v>Trần Thanh Hà</v>
          </cell>
          <cell r="F32" t="str">
            <v>28/04/1963</v>
          </cell>
          <cell r="G32">
            <v>23129</v>
          </cell>
          <cell r="H32">
            <v>45413</v>
          </cell>
          <cell r="I32">
            <v>45410</v>
          </cell>
          <cell r="J32">
            <v>45413</v>
          </cell>
        </row>
        <row r="33">
          <cell r="E33" t="str">
            <v>Trần Đức Cường</v>
          </cell>
          <cell r="F33" t="str">
            <v>10/10/1985</v>
          </cell>
          <cell r="G33">
            <v>31330</v>
          </cell>
          <cell r="H33">
            <v>53997</v>
          </cell>
          <cell r="I33">
            <v>53975</v>
          </cell>
          <cell r="J33">
            <v>53997</v>
          </cell>
        </row>
        <row r="34">
          <cell r="E34" t="str">
            <v>Bùi Duy Giáp</v>
          </cell>
          <cell r="F34" t="str">
            <v>17/02/1974</v>
          </cell>
          <cell r="G34">
            <v>27077</v>
          </cell>
          <cell r="H34">
            <v>49735</v>
          </cell>
          <cell r="I34">
            <v>49722</v>
          </cell>
          <cell r="J34">
            <v>49735</v>
          </cell>
        </row>
        <row r="35">
          <cell r="E35" t="str">
            <v>Trương Việt Tiến</v>
          </cell>
          <cell r="F35" t="str">
            <v>21/05/1989</v>
          </cell>
          <cell r="G35">
            <v>32649</v>
          </cell>
          <cell r="H35">
            <v>55305</v>
          </cell>
          <cell r="I35">
            <v>55294</v>
          </cell>
          <cell r="J35">
            <v>55305</v>
          </cell>
        </row>
        <row r="36">
          <cell r="E36" t="str">
            <v>Nguyễn Văn Dũng</v>
          </cell>
          <cell r="F36" t="str">
            <v>22/10/1986</v>
          </cell>
          <cell r="G36">
            <v>31707</v>
          </cell>
          <cell r="H36">
            <v>54363</v>
          </cell>
          <cell r="I36">
            <v>54353</v>
          </cell>
          <cell r="J36">
            <v>54363</v>
          </cell>
        </row>
        <row r="37">
          <cell r="E37" t="str">
            <v>Đào Hải Duyên</v>
          </cell>
          <cell r="F37" t="str">
            <v>15/01/1978</v>
          </cell>
          <cell r="G37">
            <v>28505</v>
          </cell>
          <cell r="H37">
            <v>50437</v>
          </cell>
          <cell r="I37">
            <v>50420</v>
          </cell>
        </row>
        <row r="38">
          <cell r="E38" t="str">
            <v>Nguyễn Xuân Hùng</v>
          </cell>
          <cell r="F38" t="str">
            <v>02/11/1983</v>
          </cell>
          <cell r="G38">
            <v>30622</v>
          </cell>
          <cell r="H38">
            <v>53297</v>
          </cell>
          <cell r="I38">
            <v>53268</v>
          </cell>
          <cell r="J38">
            <v>53297</v>
          </cell>
        </row>
        <row r="39">
          <cell r="E39" t="str">
            <v>Phạm Văn Tài</v>
          </cell>
          <cell r="F39" t="str">
            <v>30/04/1984</v>
          </cell>
          <cell r="G39">
            <v>30802</v>
          </cell>
          <cell r="H39">
            <v>53448</v>
          </cell>
          <cell r="I39">
            <v>53447</v>
          </cell>
          <cell r="J39">
            <v>53448</v>
          </cell>
        </row>
        <row r="40">
          <cell r="E40" t="str">
            <v>Ngô Thị Loan</v>
          </cell>
          <cell r="F40" t="str">
            <v>05/01/1979</v>
          </cell>
          <cell r="G40">
            <v>28860</v>
          </cell>
          <cell r="H40">
            <v>50802</v>
          </cell>
          <cell r="I40">
            <v>50775</v>
          </cell>
        </row>
        <row r="41">
          <cell r="E41" t="str">
            <v>Đoàn Duy Khang</v>
          </cell>
          <cell r="F41" t="str">
            <v>12/12/1981</v>
          </cell>
          <cell r="G41">
            <v>29932</v>
          </cell>
          <cell r="H41">
            <v>52597</v>
          </cell>
          <cell r="I41">
            <v>52577</v>
          </cell>
          <cell r="J41">
            <v>52597</v>
          </cell>
        </row>
        <row r="42">
          <cell r="E42" t="str">
            <v>Lê Đức Ánh</v>
          </cell>
          <cell r="F42" t="str">
            <v>10/02/1966</v>
          </cell>
          <cell r="G42">
            <v>24148</v>
          </cell>
          <cell r="H42">
            <v>46722</v>
          </cell>
          <cell r="I42">
            <v>46701</v>
          </cell>
          <cell r="J42">
            <v>46722</v>
          </cell>
        </row>
        <row r="43">
          <cell r="E43" t="str">
            <v>Nguyễn Hồng Anh</v>
          </cell>
          <cell r="F43" t="str">
            <v>25/06/1987</v>
          </cell>
          <cell r="G43">
            <v>31953</v>
          </cell>
          <cell r="H43">
            <v>53874</v>
          </cell>
          <cell r="I43">
            <v>53868</v>
          </cell>
        </row>
        <row r="44">
          <cell r="E44" t="str">
            <v>Đinh Thị Hằng</v>
          </cell>
          <cell r="F44" t="str">
            <v>19/04/1975</v>
          </cell>
          <cell r="G44">
            <v>27503</v>
          </cell>
          <cell r="H44">
            <v>49310</v>
          </cell>
          <cell r="I44">
            <v>49297</v>
          </cell>
        </row>
        <row r="45">
          <cell r="E45" t="str">
            <v>Vũ Văn Thảo</v>
          </cell>
          <cell r="F45" t="str">
            <v>04/08/1975</v>
          </cell>
          <cell r="G45">
            <v>27610</v>
          </cell>
          <cell r="H45">
            <v>50284</v>
          </cell>
          <cell r="I45">
            <v>50256</v>
          </cell>
          <cell r="J45">
            <v>50284</v>
          </cell>
        </row>
        <row r="46">
          <cell r="E46" t="str">
            <v>Lê Đức Dũng</v>
          </cell>
          <cell r="F46" t="str">
            <v>01/10/1962</v>
          </cell>
          <cell r="G46">
            <v>22920</v>
          </cell>
          <cell r="H46">
            <v>45139</v>
          </cell>
          <cell r="I46">
            <v>45108</v>
          </cell>
          <cell r="J46">
            <v>45139</v>
          </cell>
        </row>
        <row r="47">
          <cell r="E47" t="str">
            <v>Phạm Công Thành</v>
          </cell>
          <cell r="F47" t="str">
            <v>08/03/1969</v>
          </cell>
          <cell r="G47">
            <v>25270</v>
          </cell>
          <cell r="H47">
            <v>47939</v>
          </cell>
          <cell r="I47">
            <v>47915</v>
          </cell>
          <cell r="J47">
            <v>47939</v>
          </cell>
        </row>
        <row r="48">
          <cell r="E48" t="str">
            <v>Lương Lê Duy Vũ</v>
          </cell>
          <cell r="F48" t="str">
            <v>30/01/1979</v>
          </cell>
          <cell r="G48">
            <v>28885</v>
          </cell>
          <cell r="H48">
            <v>51533</v>
          </cell>
          <cell r="I48">
            <v>51531</v>
          </cell>
          <cell r="J48">
            <v>51533</v>
          </cell>
        </row>
        <row r="49">
          <cell r="E49" t="str">
            <v>Trần Thụy Diễm Hằng</v>
          </cell>
          <cell r="F49" t="str">
            <v>26/09/1981</v>
          </cell>
          <cell r="G49">
            <v>29855</v>
          </cell>
          <cell r="H49">
            <v>51775</v>
          </cell>
          <cell r="I49">
            <v>51770</v>
          </cell>
        </row>
        <row r="50">
          <cell r="E50" t="str">
            <v>Vũ Mạnh Hùng</v>
          </cell>
          <cell r="F50" t="str">
            <v>15/12/1972</v>
          </cell>
          <cell r="G50">
            <v>26648</v>
          </cell>
          <cell r="H50">
            <v>49310</v>
          </cell>
          <cell r="I50">
            <v>49293</v>
          </cell>
          <cell r="J50">
            <v>49310</v>
          </cell>
        </row>
        <row r="51">
          <cell r="E51" t="str">
            <v>Vũ Quang Sáp</v>
          </cell>
          <cell r="F51" t="str">
            <v>11/07/1968</v>
          </cell>
          <cell r="G51">
            <v>25030</v>
          </cell>
          <cell r="H51">
            <v>47696</v>
          </cell>
          <cell r="I51">
            <v>47675</v>
          </cell>
          <cell r="J51">
            <v>47696</v>
          </cell>
        </row>
        <row r="52">
          <cell r="E52" t="str">
            <v>Huỳnh Hải Quân</v>
          </cell>
          <cell r="F52" t="str">
            <v>04/05/1988</v>
          </cell>
          <cell r="G52">
            <v>32267</v>
          </cell>
          <cell r="H52">
            <v>54940</v>
          </cell>
          <cell r="I52">
            <v>54912</v>
          </cell>
          <cell r="J52">
            <v>54940</v>
          </cell>
        </row>
        <row r="53">
          <cell r="E53" t="str">
            <v>Nguyễn Hải Ninh</v>
          </cell>
          <cell r="F53" t="str">
            <v>22/04/1979</v>
          </cell>
          <cell r="G53">
            <v>28967</v>
          </cell>
          <cell r="H53">
            <v>51622</v>
          </cell>
          <cell r="I53">
            <v>51613</v>
          </cell>
          <cell r="J53">
            <v>51622</v>
          </cell>
        </row>
        <row r="54">
          <cell r="E54" t="str">
            <v>Nguyễn Hồng Trường</v>
          </cell>
          <cell r="F54" t="str">
            <v>30/10/1962</v>
          </cell>
          <cell r="G54">
            <v>22949</v>
          </cell>
          <cell r="H54">
            <v>45139</v>
          </cell>
          <cell r="I54">
            <v>45137</v>
          </cell>
          <cell r="J54">
            <v>45139</v>
          </cell>
        </row>
        <row r="55">
          <cell r="E55" t="str">
            <v>Phan Thái Mạnh</v>
          </cell>
          <cell r="F55" t="str">
            <v>10/06/1976</v>
          </cell>
          <cell r="G55">
            <v>27921</v>
          </cell>
          <cell r="H55">
            <v>50587</v>
          </cell>
          <cell r="I55">
            <v>50566</v>
          </cell>
          <cell r="J55">
            <v>50587</v>
          </cell>
        </row>
        <row r="56">
          <cell r="E56" t="str">
            <v>Trần Quang Nghiêm</v>
          </cell>
          <cell r="F56" t="str">
            <v>02/06/1974</v>
          </cell>
          <cell r="G56">
            <v>27182</v>
          </cell>
          <cell r="H56" t="str">
            <v>02/06/2031</v>
          </cell>
          <cell r="I56">
            <v>48001</v>
          </cell>
          <cell r="J56">
            <v>48030</v>
          </cell>
        </row>
        <row r="57">
          <cell r="E57" t="str">
            <v>Phạm Văn Nhân</v>
          </cell>
          <cell r="F57" t="str">
            <v>27/07/1981</v>
          </cell>
          <cell r="G57">
            <v>29794</v>
          </cell>
          <cell r="H57">
            <v>52444</v>
          </cell>
          <cell r="I57">
            <v>52439</v>
          </cell>
          <cell r="J57">
            <v>52444</v>
          </cell>
        </row>
        <row r="58">
          <cell r="E58" t="str">
            <v>Thân Trọng Thảo Vy</v>
          </cell>
          <cell r="F58" t="str">
            <v>25/08/1979</v>
          </cell>
          <cell r="G58">
            <v>29092</v>
          </cell>
          <cell r="H58">
            <v>51014</v>
          </cell>
          <cell r="I58">
            <v>51007</v>
          </cell>
        </row>
        <row r="59">
          <cell r="E59" t="str">
            <v>Đỗ Thành Kông</v>
          </cell>
          <cell r="F59" t="str">
            <v>01/10/1973</v>
          </cell>
          <cell r="G59">
            <v>26938</v>
          </cell>
          <cell r="H59">
            <v>49614</v>
          </cell>
          <cell r="I59">
            <v>49583</v>
          </cell>
          <cell r="J59">
            <v>49614</v>
          </cell>
        </row>
        <row r="60">
          <cell r="E60" t="str">
            <v>Trần Văn Chương</v>
          </cell>
          <cell r="F60" t="str">
            <v>26/01/1976</v>
          </cell>
          <cell r="G60">
            <v>27785</v>
          </cell>
          <cell r="H60" t="str">
            <v>26/01/2033</v>
          </cell>
          <cell r="I60">
            <v>48605</v>
          </cell>
          <cell r="J60">
            <v>48611</v>
          </cell>
        </row>
        <row r="61">
          <cell r="E61" t="str">
            <v>Vũ Văn Quang</v>
          </cell>
          <cell r="F61" t="str">
            <v>05/01/1968</v>
          </cell>
          <cell r="G61">
            <v>25116</v>
          </cell>
          <cell r="H61">
            <v>45231</v>
          </cell>
          <cell r="I61">
            <v>45570</v>
          </cell>
          <cell r="J61">
            <v>45597</v>
          </cell>
        </row>
        <row r="62">
          <cell r="E62" t="str">
            <v>Phùng Minh Tùng</v>
          </cell>
          <cell r="F62" t="str">
            <v>26/04/1988</v>
          </cell>
          <cell r="G62">
            <v>32259</v>
          </cell>
          <cell r="H62" t="str">
            <v>26/04/2045</v>
          </cell>
          <cell r="I62">
            <v>53078</v>
          </cell>
          <cell r="J62">
            <v>53083</v>
          </cell>
        </row>
        <row r="63">
          <cell r="E63" t="str">
            <v>Tạ Quang Lục</v>
          </cell>
          <cell r="F63" t="str">
            <v>06/05/1983</v>
          </cell>
          <cell r="G63">
            <v>30442</v>
          </cell>
          <cell r="H63" t="str">
            <v>06/05/2040</v>
          </cell>
          <cell r="I63">
            <v>51262</v>
          </cell>
          <cell r="J63">
            <v>51288</v>
          </cell>
        </row>
        <row r="64">
          <cell r="E64" t="str">
            <v>Trần Văn Hiếu</v>
          </cell>
          <cell r="F64" t="str">
            <v>30/08/1976</v>
          </cell>
          <cell r="G64">
            <v>28002</v>
          </cell>
          <cell r="H64" t="str">
            <v>30/08/2033</v>
          </cell>
          <cell r="I64">
            <v>48821</v>
          </cell>
          <cell r="J64">
            <v>48823</v>
          </cell>
        </row>
        <row r="65">
          <cell r="E65" t="str">
            <v>Nguyễn Ngọc Tưởng</v>
          </cell>
          <cell r="F65" t="str">
            <v>08/06/1986</v>
          </cell>
          <cell r="G65">
            <v>31571</v>
          </cell>
          <cell r="H65" t="str">
            <v>08/06/2043</v>
          </cell>
          <cell r="I65">
            <v>52390</v>
          </cell>
          <cell r="J65">
            <v>52413</v>
          </cell>
        </row>
        <row r="66">
          <cell r="E66" t="str">
            <v>Trần Văn Duy</v>
          </cell>
          <cell r="F66" t="str">
            <v>03/01/1985</v>
          </cell>
          <cell r="G66">
            <v>31050</v>
          </cell>
          <cell r="H66" t="str">
            <v>03/01/2042</v>
          </cell>
          <cell r="I66">
            <v>51869</v>
          </cell>
          <cell r="J66">
            <v>51898</v>
          </cell>
        </row>
        <row r="67">
          <cell r="E67" t="str">
            <v>Dương Ngọc Tú</v>
          </cell>
          <cell r="F67" t="str">
            <v>11/12/1986</v>
          </cell>
          <cell r="G67">
            <v>31757</v>
          </cell>
          <cell r="H67" t="str">
            <v>11/12/2043</v>
          </cell>
          <cell r="I67">
            <v>52576</v>
          </cell>
          <cell r="J67">
            <v>52597</v>
          </cell>
        </row>
        <row r="68">
          <cell r="E68" t="str">
            <v>Nguyễn Thị Phương</v>
          </cell>
          <cell r="F68" t="str">
            <v>30/10/1978</v>
          </cell>
          <cell r="G68">
            <v>28793</v>
          </cell>
          <cell r="H68">
            <v>48519</v>
          </cell>
          <cell r="I68">
            <v>48517</v>
          </cell>
          <cell r="J68">
            <v>48519</v>
          </cell>
        </row>
        <row r="69">
          <cell r="E69" t="str">
            <v>Lê Khắc Vũ</v>
          </cell>
          <cell r="F69" t="str">
            <v>27/03/1985</v>
          </cell>
          <cell r="G69">
            <v>31133</v>
          </cell>
          <cell r="H69" t="str">
            <v>27/03/2042</v>
          </cell>
          <cell r="I69">
            <v>51952</v>
          </cell>
          <cell r="J69">
            <v>51957</v>
          </cell>
        </row>
        <row r="70">
          <cell r="E70" t="str">
            <v>Trần Thiện Minh Trí</v>
          </cell>
          <cell r="F70" t="str">
            <v>01/10/1968</v>
          </cell>
          <cell r="G70">
            <v>25112</v>
          </cell>
          <cell r="H70">
            <v>45597</v>
          </cell>
          <cell r="I70">
            <v>45566</v>
          </cell>
          <cell r="J70">
            <v>45597</v>
          </cell>
        </row>
        <row r="71">
          <cell r="E71" t="str">
            <v>Trần Thanh Tùng</v>
          </cell>
          <cell r="F71" t="str">
            <v>23/09/1978</v>
          </cell>
          <cell r="G71">
            <v>28756</v>
          </cell>
          <cell r="H71" t="str">
            <v>23/09/2035</v>
          </cell>
          <cell r="I71">
            <v>49575</v>
          </cell>
          <cell r="J71">
            <v>49583</v>
          </cell>
        </row>
        <row r="72">
          <cell r="E72" t="str">
            <v>Nguyễn Hoàng Bảo Chí</v>
          </cell>
          <cell r="F72" t="str">
            <v>11/11/1982</v>
          </cell>
          <cell r="G72">
            <v>30266</v>
          </cell>
          <cell r="H72" t="str">
            <v>11/11/2039</v>
          </cell>
          <cell r="I72">
            <v>51085</v>
          </cell>
          <cell r="J72">
            <v>51105</v>
          </cell>
        </row>
        <row r="73">
          <cell r="E73" t="str">
            <v>Nguyễn Hải Long</v>
          </cell>
          <cell r="F73" t="str">
            <v>22/05/1983</v>
          </cell>
          <cell r="G73">
            <v>30458</v>
          </cell>
          <cell r="H73" t="str">
            <v>22/05/2040</v>
          </cell>
          <cell r="I73">
            <v>51278</v>
          </cell>
          <cell r="J73">
            <v>51288</v>
          </cell>
        </row>
        <row r="74">
          <cell r="E74" t="str">
            <v>Trần Hoài Nam</v>
          </cell>
          <cell r="F74" t="str">
            <v>21/02/1995</v>
          </cell>
          <cell r="G74">
            <v>34751</v>
          </cell>
          <cell r="H74" t="str">
            <v>21/02/2052</v>
          </cell>
          <cell r="I74">
            <v>55570</v>
          </cell>
          <cell r="J74">
            <v>55579</v>
          </cell>
        </row>
        <row r="75">
          <cell r="E75" t="str">
            <v>Dương Việt Hằng</v>
          </cell>
          <cell r="F75" t="str">
            <v>02/08/1973</v>
          </cell>
          <cell r="G75">
            <v>26878</v>
          </cell>
          <cell r="H75">
            <v>45658</v>
          </cell>
          <cell r="I75">
            <v>45628</v>
          </cell>
          <cell r="J75">
            <v>45658</v>
          </cell>
        </row>
        <row r="76">
          <cell r="E76" t="str">
            <v>Trần Thị Kim Hoa</v>
          </cell>
          <cell r="F76" t="str">
            <v>13/08/1974</v>
          </cell>
          <cell r="G76">
            <v>27254</v>
          </cell>
          <cell r="H76">
            <v>46266</v>
          </cell>
          <cell r="I76">
            <v>46247</v>
          </cell>
          <cell r="J76">
            <v>46266</v>
          </cell>
        </row>
        <row r="77">
          <cell r="E77" t="str">
            <v>Đoàn Thế Thanh Lộc</v>
          </cell>
          <cell r="F77" t="str">
            <v>11/04/1984</v>
          </cell>
          <cell r="G77">
            <v>30783</v>
          </cell>
          <cell r="H77">
            <v>50891</v>
          </cell>
          <cell r="I77">
            <v>50871</v>
          </cell>
          <cell r="J77">
            <v>50891</v>
          </cell>
        </row>
        <row r="78">
          <cell r="E78" t="str">
            <v>Trương Thị Kim Anh</v>
          </cell>
          <cell r="F78" t="str">
            <v>22/04/1982</v>
          </cell>
          <cell r="G78">
            <v>30063</v>
          </cell>
          <cell r="H78">
            <v>50161</v>
          </cell>
          <cell r="I78">
            <v>50152</v>
          </cell>
          <cell r="J78">
            <v>50161</v>
          </cell>
        </row>
        <row r="79">
          <cell r="E79" t="str">
            <v>Nguyễn Hồng Thắng</v>
          </cell>
          <cell r="F79" t="str">
            <v>16/11/1979</v>
          </cell>
          <cell r="G79">
            <v>29175</v>
          </cell>
          <cell r="H79">
            <v>2039</v>
          </cell>
          <cell r="I79">
            <v>49995</v>
          </cell>
          <cell r="J79">
            <v>50010</v>
          </cell>
        </row>
        <row r="80">
          <cell r="E80" t="str">
            <v>Nguyễn Mạnh Tường</v>
          </cell>
          <cell r="F80" t="str">
            <v>06/03/1997</v>
          </cell>
          <cell r="G80">
            <v>35495</v>
          </cell>
          <cell r="H80">
            <v>2043</v>
          </cell>
          <cell r="I80">
            <v>56314</v>
          </cell>
          <cell r="J80">
            <v>56340</v>
          </cell>
        </row>
        <row r="81">
          <cell r="E81" t="str">
            <v>Trần Nhật Minh</v>
          </cell>
          <cell r="F81" t="str">
            <v>18/05/1999</v>
          </cell>
          <cell r="G81">
            <v>36298</v>
          </cell>
          <cell r="H81">
            <v>2040</v>
          </cell>
          <cell r="I81">
            <v>57118</v>
          </cell>
          <cell r="J81">
            <v>57132</v>
          </cell>
        </row>
        <row r="82">
          <cell r="E82" t="str">
            <v>Nguyễn Trung Dũng</v>
          </cell>
          <cell r="F82" t="str">
            <v>20/10/1972</v>
          </cell>
          <cell r="G82">
            <v>26592</v>
          </cell>
          <cell r="H82">
            <v>2042</v>
          </cell>
          <cell r="I82">
            <v>47411</v>
          </cell>
          <cell r="J82">
            <v>47423</v>
          </cell>
        </row>
        <row r="83">
          <cell r="E83" t="str">
            <v>Đỗ Văn Lâm</v>
          </cell>
          <cell r="F83" t="str">
            <v>30/09/1985</v>
          </cell>
          <cell r="G83">
            <v>31320</v>
          </cell>
          <cell r="H83" t="str">
            <v>30/09/2042</v>
          </cell>
          <cell r="I83">
            <v>52139</v>
          </cell>
          <cell r="J83">
            <v>52140</v>
          </cell>
        </row>
        <row r="84">
          <cell r="E84" t="str">
            <v>Nguyễn Thanh Hải</v>
          </cell>
          <cell r="F84" t="str">
            <v>14/01/1982</v>
          </cell>
          <cell r="G84">
            <v>29965</v>
          </cell>
          <cell r="H84" t="str">
            <v>14/01/2039</v>
          </cell>
          <cell r="I84">
            <v>50784</v>
          </cell>
          <cell r="J84">
            <v>50802</v>
          </cell>
        </row>
        <row r="85">
          <cell r="E85" t="str">
            <v>Phạm Mạnh Hùng</v>
          </cell>
          <cell r="F85" t="str">
            <v>03/04/1972</v>
          </cell>
          <cell r="G85">
            <v>26392</v>
          </cell>
          <cell r="H85">
            <v>47239</v>
          </cell>
          <cell r="I85">
            <v>47211</v>
          </cell>
          <cell r="J85">
            <v>47239</v>
          </cell>
        </row>
        <row r="86">
          <cell r="E86" t="str">
            <v>Nguyễn Xuân Long</v>
          </cell>
          <cell r="F86" t="str">
            <v>20/01/1970</v>
          </cell>
          <cell r="G86">
            <v>25588</v>
          </cell>
          <cell r="H86">
            <v>46235</v>
          </cell>
          <cell r="I86">
            <v>46223</v>
          </cell>
          <cell r="J86">
            <v>46235</v>
          </cell>
        </row>
        <row r="87">
          <cell r="E87" t="str">
            <v>Trần Ngọc Lợi</v>
          </cell>
          <cell r="F87" t="str">
            <v>10/08/1968</v>
          </cell>
          <cell r="G87">
            <v>25060</v>
          </cell>
          <cell r="H87">
            <v>45536</v>
          </cell>
          <cell r="I87">
            <v>45514</v>
          </cell>
          <cell r="J87">
            <v>45536</v>
          </cell>
        </row>
        <row r="88">
          <cell r="E88" t="str">
            <v>Phạm Mạnh Dũng</v>
          </cell>
          <cell r="F88" t="str">
            <v>06/06/1974</v>
          </cell>
          <cell r="G88">
            <v>27186</v>
          </cell>
          <cell r="H88" t="str">
            <v>06/06/2031</v>
          </cell>
          <cell r="I88">
            <v>48005</v>
          </cell>
          <cell r="J88">
            <v>48030</v>
          </cell>
        </row>
        <row r="89">
          <cell r="E89" t="str">
            <v>Lê Thanh Tịnh</v>
          </cell>
          <cell r="F89" t="str">
            <v>12/10/1988</v>
          </cell>
          <cell r="G89">
            <v>32428</v>
          </cell>
          <cell r="H89">
            <v>55093</v>
          </cell>
          <cell r="I89">
            <v>55073</v>
          </cell>
          <cell r="J89">
            <v>55093</v>
          </cell>
        </row>
        <row r="90">
          <cell r="E90" t="str">
            <v>Trần Thị Ái Phương</v>
          </cell>
          <cell r="F90" t="str">
            <v>22/01/1984</v>
          </cell>
          <cell r="G90">
            <v>30703</v>
          </cell>
          <cell r="H90">
            <v>50802</v>
          </cell>
          <cell r="I90">
            <v>50792</v>
          </cell>
          <cell r="J90">
            <v>50802</v>
          </cell>
        </row>
        <row r="91">
          <cell r="E91" t="str">
            <v>Đinh Thị Hà</v>
          </cell>
          <cell r="F91" t="str">
            <v>13/06/1988</v>
          </cell>
          <cell r="G91">
            <v>32307</v>
          </cell>
          <cell r="H91">
            <v>52413</v>
          </cell>
          <cell r="I91">
            <v>52395</v>
          </cell>
          <cell r="J91">
            <v>52413</v>
          </cell>
        </row>
        <row r="92">
          <cell r="E92" t="str">
            <v>Nguyễn Thị Tài</v>
          </cell>
          <cell r="F92" t="str">
            <v>10/10/1985</v>
          </cell>
          <cell r="G92">
            <v>31330</v>
          </cell>
          <cell r="H92">
            <v>51136</v>
          </cell>
          <cell r="I92">
            <v>51419</v>
          </cell>
          <cell r="J92">
            <v>51441</v>
          </cell>
        </row>
        <row r="93">
          <cell r="E93" t="str">
            <v>Trịnh Thế Anh</v>
          </cell>
          <cell r="F93" t="str">
            <v>26/09/1981</v>
          </cell>
          <cell r="G93">
            <v>29855</v>
          </cell>
          <cell r="H93" t="str">
            <v>26/09/2038</v>
          </cell>
          <cell r="I93">
            <v>50674</v>
          </cell>
          <cell r="J93">
            <v>50679</v>
          </cell>
        </row>
        <row r="94">
          <cell r="E94" t="str">
            <v>Uông Nhật Sáng</v>
          </cell>
          <cell r="F94" t="str">
            <v>21/09/1986</v>
          </cell>
          <cell r="G94">
            <v>31676</v>
          </cell>
          <cell r="H94" t="str">
            <v>21/09/2043</v>
          </cell>
          <cell r="I94">
            <v>52495</v>
          </cell>
          <cell r="J94">
            <v>52505</v>
          </cell>
        </row>
        <row r="95">
          <cell r="E95" t="str">
            <v>Nguyễn Thị Phúc Hạnh</v>
          </cell>
          <cell r="F95" t="str">
            <v>08/09/1987</v>
          </cell>
          <cell r="G95">
            <v>32028</v>
          </cell>
          <cell r="H95">
            <v>52140</v>
          </cell>
          <cell r="I95">
            <v>52117</v>
          </cell>
          <cell r="J95">
            <v>52140</v>
          </cell>
        </row>
        <row r="96">
          <cell r="E96" t="str">
            <v>Nguyễn Văn Bản</v>
          </cell>
          <cell r="F96" t="str">
            <v>16/03/1967</v>
          </cell>
          <cell r="G96">
            <v>24547</v>
          </cell>
          <cell r="H96">
            <v>47209</v>
          </cell>
          <cell r="I96">
            <v>47193</v>
          </cell>
          <cell r="J96">
            <v>47209</v>
          </cell>
        </row>
        <row r="97">
          <cell r="E97" t="str">
            <v>Phạm Hà Lan Viên</v>
          </cell>
          <cell r="F97" t="str">
            <v>08/02/1980</v>
          </cell>
          <cell r="G97">
            <v>29259</v>
          </cell>
          <cell r="H97">
            <v>49249</v>
          </cell>
          <cell r="I97">
            <v>49225</v>
          </cell>
          <cell r="J97">
            <v>49249</v>
          </cell>
        </row>
        <row r="98">
          <cell r="E98" t="str">
            <v>Nguyễn Thị Yến</v>
          </cell>
          <cell r="F98" t="str">
            <v>16/03/1994</v>
          </cell>
          <cell r="G98">
            <v>34409</v>
          </cell>
          <cell r="H98">
            <v>54514</v>
          </cell>
          <cell r="I98">
            <v>54498</v>
          </cell>
          <cell r="J98">
            <v>54514</v>
          </cell>
        </row>
        <row r="99">
          <cell r="E99" t="str">
            <v>Phan Trung Hậu</v>
          </cell>
          <cell r="F99" t="str">
            <v>31/12/1997</v>
          </cell>
          <cell r="G99">
            <v>35795</v>
          </cell>
          <cell r="I99">
            <v>56614</v>
          </cell>
          <cell r="J99">
            <v>56615</v>
          </cell>
        </row>
        <row r="100">
          <cell r="E100" t="str">
            <v>Nguyễn Văn Khoa</v>
          </cell>
          <cell r="F100" t="str">
            <v>12/03/1971</v>
          </cell>
          <cell r="G100">
            <v>26004</v>
          </cell>
          <cell r="H100">
            <v>46753</v>
          </cell>
          <cell r="I100">
            <v>46733</v>
          </cell>
          <cell r="J100">
            <v>46753</v>
          </cell>
        </row>
        <row r="101">
          <cell r="E101" t="str">
            <v>Nguyễn Văn Thông</v>
          </cell>
          <cell r="F101" t="str">
            <v>30/03/1974</v>
          </cell>
          <cell r="G101">
            <v>27118</v>
          </cell>
          <cell r="H101" t="str">
            <v>30/03/2031</v>
          </cell>
          <cell r="I101">
            <v>47937</v>
          </cell>
          <cell r="J101">
            <v>47939</v>
          </cell>
        </row>
        <row r="102">
          <cell r="E102" t="str">
            <v>Vũ Đình Hợp</v>
          </cell>
          <cell r="F102" t="str">
            <v>05/04/1973</v>
          </cell>
          <cell r="G102">
            <v>26759</v>
          </cell>
          <cell r="H102">
            <v>47604</v>
          </cell>
          <cell r="I102">
            <v>47578</v>
          </cell>
          <cell r="J102">
            <v>47604</v>
          </cell>
        </row>
        <row r="103">
          <cell r="E103" t="str">
            <v>Vũ Văn Tuân</v>
          </cell>
          <cell r="F103" t="str">
            <v>23/10/1985</v>
          </cell>
          <cell r="G103">
            <v>31343</v>
          </cell>
          <cell r="H103" t="str">
            <v>23/10/2042</v>
          </cell>
          <cell r="I103">
            <v>52162</v>
          </cell>
          <cell r="J103">
            <v>52171</v>
          </cell>
        </row>
        <row r="104">
          <cell r="E104" t="str">
            <v>Nguyễn Văn Minh</v>
          </cell>
          <cell r="F104" t="str">
            <v>03/02/1988</v>
          </cell>
          <cell r="G104">
            <v>32176</v>
          </cell>
          <cell r="H104" t="str">
            <v>03/02/2045</v>
          </cell>
          <cell r="I104">
            <v>52996</v>
          </cell>
          <cell r="J104">
            <v>53022</v>
          </cell>
        </row>
        <row r="105">
          <cell r="E105" t="str">
            <v>Ngô Công Chính</v>
          </cell>
          <cell r="F105" t="str">
            <v>24/01/1974</v>
          </cell>
          <cell r="G105">
            <v>27053</v>
          </cell>
          <cell r="H105" t="str">
            <v>24/01/2031</v>
          </cell>
          <cell r="I105">
            <v>47872</v>
          </cell>
          <cell r="J105">
            <v>47880</v>
          </cell>
        </row>
        <row r="106">
          <cell r="E106" t="str">
            <v>Phan Hà Nam</v>
          </cell>
          <cell r="F106" t="str">
            <v>17/08/1973</v>
          </cell>
          <cell r="G106">
            <v>26893</v>
          </cell>
          <cell r="H106">
            <v>47727</v>
          </cell>
          <cell r="I106">
            <v>47712</v>
          </cell>
          <cell r="J106">
            <v>47727</v>
          </cell>
        </row>
        <row r="107">
          <cell r="E107" t="str">
            <v>Vũ Bá Ngọc</v>
          </cell>
          <cell r="F107" t="str">
            <v>18/04/1974</v>
          </cell>
          <cell r="G107">
            <v>27137</v>
          </cell>
          <cell r="H107" t="str">
            <v>18/04/2031</v>
          </cell>
          <cell r="I107">
            <v>47956</v>
          </cell>
          <cell r="J107">
            <v>47969</v>
          </cell>
        </row>
        <row r="108">
          <cell r="E108" t="str">
            <v>Lê Anh Đức</v>
          </cell>
          <cell r="F108" t="str">
            <v>12/03/1976</v>
          </cell>
          <cell r="G108">
            <v>27831</v>
          </cell>
          <cell r="H108" t="str">
            <v>12/03/2033</v>
          </cell>
          <cell r="I108">
            <v>48650</v>
          </cell>
          <cell r="J108">
            <v>48670</v>
          </cell>
        </row>
        <row r="109">
          <cell r="E109" t="str">
            <v>Trần Ngọc Nam</v>
          </cell>
          <cell r="F109" t="str">
            <v>30/06/1994</v>
          </cell>
          <cell r="G109">
            <v>34515</v>
          </cell>
          <cell r="H109" t="str">
            <v>30/06/2051</v>
          </cell>
          <cell r="I109">
            <v>55334</v>
          </cell>
          <cell r="J109">
            <v>55335</v>
          </cell>
        </row>
        <row r="110">
          <cell r="E110" t="str">
            <v>Đàm Văn Trí</v>
          </cell>
          <cell r="F110" t="str">
            <v>14/09/1992</v>
          </cell>
          <cell r="G110">
            <v>33861</v>
          </cell>
          <cell r="H110" t="str">
            <v>14/09/2049</v>
          </cell>
          <cell r="I110">
            <v>54680</v>
          </cell>
          <cell r="J110">
            <v>54697</v>
          </cell>
        </row>
        <row r="111">
          <cell r="E111" t="str">
            <v>Khương Văn Toàn</v>
          </cell>
          <cell r="F111" t="str">
            <v>10/03/1989</v>
          </cell>
          <cell r="G111">
            <v>32577</v>
          </cell>
          <cell r="H111" t="str">
            <v>10/03/2046</v>
          </cell>
          <cell r="I111">
            <v>53396</v>
          </cell>
          <cell r="J111">
            <v>53418</v>
          </cell>
        </row>
        <row r="112">
          <cell r="E112" t="str">
            <v>Lê Văn Hùng</v>
          </cell>
          <cell r="F112" t="str">
            <v>16/05/1998</v>
          </cell>
          <cell r="G112">
            <v>35931</v>
          </cell>
          <cell r="H112" t="str">
            <v>16/05/2055</v>
          </cell>
          <cell r="I112">
            <v>56750</v>
          </cell>
          <cell r="J112">
            <v>56766</v>
          </cell>
        </row>
        <row r="113">
          <cell r="E113" t="str">
            <v>Nguyễn Gia Văn</v>
          </cell>
          <cell r="F113" t="str">
            <v>01/05/1993</v>
          </cell>
          <cell r="G113">
            <v>34090</v>
          </cell>
          <cell r="H113" t="str">
            <v>01/05/2050</v>
          </cell>
          <cell r="I113">
            <v>54909</v>
          </cell>
          <cell r="J113">
            <v>54940</v>
          </cell>
        </row>
        <row r="114">
          <cell r="E114" t="str">
            <v>Nguyễn Quốc Hưng</v>
          </cell>
          <cell r="F114" t="str">
            <v>10/10/1977</v>
          </cell>
          <cell r="G114">
            <v>28408</v>
          </cell>
          <cell r="H114" t="str">
            <v>10/10/2034</v>
          </cell>
          <cell r="I114">
            <v>49227</v>
          </cell>
          <cell r="J114">
            <v>49249</v>
          </cell>
        </row>
        <row r="115">
          <cell r="E115" t="str">
            <v>Phạm Viết Chung</v>
          </cell>
          <cell r="F115" t="str">
            <v>06/02/1976</v>
          </cell>
          <cell r="G115">
            <v>27796</v>
          </cell>
          <cell r="H115" t="str">
            <v>06/02/2033</v>
          </cell>
          <cell r="I115">
            <v>48616</v>
          </cell>
          <cell r="J115">
            <v>48639</v>
          </cell>
        </row>
        <row r="116">
          <cell r="E116" t="str">
            <v>Mai Văn Vĩnh</v>
          </cell>
          <cell r="F116" t="str">
            <v>20/01/1981</v>
          </cell>
          <cell r="G116">
            <v>29606</v>
          </cell>
          <cell r="H116" t="str">
            <v>20/01/2038</v>
          </cell>
          <cell r="I116">
            <v>50425</v>
          </cell>
          <cell r="J116">
            <v>50437</v>
          </cell>
        </row>
        <row r="117">
          <cell r="E117" t="str">
            <v>Nguyễn Minh Hải</v>
          </cell>
          <cell r="F117" t="str">
            <v>07/09/1976</v>
          </cell>
          <cell r="G117">
            <v>28010</v>
          </cell>
          <cell r="H117" t="str">
            <v>07/09/2033</v>
          </cell>
          <cell r="I117">
            <v>48829</v>
          </cell>
          <cell r="J117">
            <v>48853</v>
          </cell>
        </row>
        <row r="118">
          <cell r="E118" t="str">
            <v>Vũ Ngọc Toán</v>
          </cell>
          <cell r="F118" t="str">
            <v>20/09/1970</v>
          </cell>
          <cell r="G118">
            <v>25831</v>
          </cell>
          <cell r="H118">
            <v>46569</v>
          </cell>
          <cell r="I118">
            <v>46558</v>
          </cell>
          <cell r="J118">
            <v>46569</v>
          </cell>
        </row>
        <row r="119">
          <cell r="E119" t="str">
            <v>Bùi Văn Khương</v>
          </cell>
          <cell r="F119" t="str">
            <v>02/07/1981</v>
          </cell>
          <cell r="G119">
            <v>29769</v>
          </cell>
          <cell r="H119" t="str">
            <v>02/07/2038</v>
          </cell>
          <cell r="I119">
            <v>50588</v>
          </cell>
          <cell r="J119">
            <v>50618</v>
          </cell>
        </row>
        <row r="120">
          <cell r="E120" t="str">
            <v>Trần Trọng Hùng</v>
          </cell>
          <cell r="F120" t="str">
            <v>10/09/1993</v>
          </cell>
          <cell r="G120">
            <v>34222</v>
          </cell>
          <cell r="H120" t="str">
            <v>10/09/2050</v>
          </cell>
          <cell r="I120">
            <v>55041</v>
          </cell>
          <cell r="J120">
            <v>55062</v>
          </cell>
        </row>
        <row r="121">
          <cell r="E121" t="str">
            <v>Phạm Văn Huyên</v>
          </cell>
          <cell r="F121" t="str">
            <v>23/06/1976</v>
          </cell>
          <cell r="G121">
            <v>27934</v>
          </cell>
          <cell r="H121" t="str">
            <v>23/06/2033</v>
          </cell>
          <cell r="I121">
            <v>48753</v>
          </cell>
          <cell r="J121">
            <v>48761</v>
          </cell>
        </row>
        <row r="122">
          <cell r="E122" t="str">
            <v>Bùi Công Mạnh</v>
          </cell>
          <cell r="F122" t="str">
            <v>17/05/1981</v>
          </cell>
          <cell r="G122">
            <v>29723</v>
          </cell>
          <cell r="H122" t="str">
            <v>17/05/2038</v>
          </cell>
          <cell r="I122">
            <v>50542</v>
          </cell>
          <cell r="J122">
            <v>50557</v>
          </cell>
        </row>
        <row r="123">
          <cell r="E123" t="str">
            <v>Lưu Văn Phú</v>
          </cell>
          <cell r="F123" t="str">
            <v>29/06/1991</v>
          </cell>
          <cell r="G123">
            <v>33418</v>
          </cell>
          <cell r="H123" t="str">
            <v>29/06/2048</v>
          </cell>
          <cell r="I123">
            <v>54238</v>
          </cell>
          <cell r="J123">
            <v>54240</v>
          </cell>
        </row>
        <row r="124">
          <cell r="E124" t="str">
            <v>Vũ Đình Lâm</v>
          </cell>
          <cell r="F124" t="str">
            <v>26/10/1993</v>
          </cell>
          <cell r="G124">
            <v>34268</v>
          </cell>
          <cell r="H124" t="str">
            <v>26/10/2050</v>
          </cell>
          <cell r="I124">
            <v>55087</v>
          </cell>
          <cell r="J124">
            <v>55093</v>
          </cell>
        </row>
        <row r="125">
          <cell r="E125" t="str">
            <v>Nguyễn Tùng Lâm</v>
          </cell>
          <cell r="F125" t="str">
            <v>19/07/1999</v>
          </cell>
          <cell r="G125">
            <v>36360</v>
          </cell>
          <cell r="I125">
            <v>57180</v>
          </cell>
          <cell r="J125">
            <v>57193</v>
          </cell>
        </row>
        <row r="126">
          <cell r="E126" t="str">
            <v>Đỗ Văn Tuyến</v>
          </cell>
          <cell r="F126" t="str">
            <v>15/08/1971</v>
          </cell>
          <cell r="G126">
            <v>26160</v>
          </cell>
          <cell r="H126">
            <v>46997</v>
          </cell>
          <cell r="I126">
            <v>46980</v>
          </cell>
          <cell r="J126">
            <v>46997</v>
          </cell>
        </row>
        <row r="127">
          <cell r="E127" t="str">
            <v>Nguyễn Xuân Quảng</v>
          </cell>
          <cell r="F127" t="str">
            <v>06/03/1972</v>
          </cell>
          <cell r="G127">
            <v>26364</v>
          </cell>
          <cell r="H127">
            <v>47209</v>
          </cell>
          <cell r="I127">
            <v>47183</v>
          </cell>
          <cell r="J127">
            <v>47209</v>
          </cell>
        </row>
        <row r="128">
          <cell r="E128" t="str">
            <v>Nguyễn Vũ Tất Thắng</v>
          </cell>
          <cell r="F128" t="str">
            <v>08/10/1970</v>
          </cell>
          <cell r="G128">
            <v>25849</v>
          </cell>
          <cell r="H128">
            <v>46600</v>
          </cell>
          <cell r="I128">
            <v>46576</v>
          </cell>
          <cell r="J128">
            <v>46600</v>
          </cell>
        </row>
        <row r="129">
          <cell r="E129" t="str">
            <v>Nguyễn Du</v>
          </cell>
          <cell r="F129" t="str">
            <v>10/06/1972</v>
          </cell>
          <cell r="G129">
            <v>26460</v>
          </cell>
          <cell r="H129">
            <v>47300</v>
          </cell>
          <cell r="I129">
            <v>47279</v>
          </cell>
          <cell r="J129">
            <v>47300</v>
          </cell>
        </row>
        <row r="130">
          <cell r="E130" t="str">
            <v>Lê Quang Vinh</v>
          </cell>
          <cell r="F130" t="str">
            <v>31/08/1988</v>
          </cell>
          <cell r="G130">
            <v>32386</v>
          </cell>
          <cell r="H130" t="str">
            <v>31/08/2045</v>
          </cell>
          <cell r="I130">
            <v>53205</v>
          </cell>
          <cell r="J130">
            <v>53206</v>
          </cell>
        </row>
        <row r="131">
          <cell r="E131" t="str">
            <v>Nguyễn Văn An</v>
          </cell>
          <cell r="F131" t="str">
            <v>07/10/1980</v>
          </cell>
          <cell r="G131">
            <v>29501</v>
          </cell>
          <cell r="H131" t="str">
            <v>07/10/2037</v>
          </cell>
          <cell r="I131">
            <v>50320</v>
          </cell>
          <cell r="J131">
            <v>50345</v>
          </cell>
        </row>
        <row r="132">
          <cell r="E132" t="str">
            <v>Lê Đồng</v>
          </cell>
          <cell r="F132" t="str">
            <v>25/08/1970</v>
          </cell>
          <cell r="G132">
            <v>25805</v>
          </cell>
          <cell r="H132">
            <v>46539</v>
          </cell>
          <cell r="I132">
            <v>46532</v>
          </cell>
          <cell r="J132">
            <v>46539</v>
          </cell>
        </row>
        <row r="133">
          <cell r="E133" t="str">
            <v>Đặng Bảo Trung</v>
          </cell>
          <cell r="F133" t="str">
            <v>27/07/1996</v>
          </cell>
          <cell r="G133">
            <v>35273</v>
          </cell>
          <cell r="H133" t="str">
            <v>27/07/2053</v>
          </cell>
          <cell r="I133">
            <v>56092</v>
          </cell>
          <cell r="J133">
            <v>56097</v>
          </cell>
        </row>
        <row r="134">
          <cell r="E134" t="str">
            <v>Phan Trung Thành</v>
          </cell>
          <cell r="F134" t="str">
            <v>23/06/1999</v>
          </cell>
          <cell r="G134">
            <v>36334</v>
          </cell>
          <cell r="H134" t="str">
            <v>23/06/2056</v>
          </cell>
          <cell r="I134">
            <v>57154</v>
          </cell>
          <cell r="J134">
            <v>57162</v>
          </cell>
        </row>
        <row r="135">
          <cell r="E135" t="str">
            <v>Trần Ngọc Thắng</v>
          </cell>
          <cell r="F135" t="str">
            <v>13/04/1995</v>
          </cell>
          <cell r="G135">
            <v>34802</v>
          </cell>
          <cell r="H135" t="str">
            <v>13/04/2052</v>
          </cell>
          <cell r="I135">
            <v>55622</v>
          </cell>
          <cell r="J135">
            <v>55640</v>
          </cell>
        </row>
        <row r="136">
          <cell r="E136" t="str">
            <v>Võ Đình Phúc</v>
          </cell>
          <cell r="F136" t="str">
            <v>25/06/1990</v>
          </cell>
          <cell r="G136">
            <v>33049</v>
          </cell>
          <cell r="H136" t="str">
            <v>25/06/2047</v>
          </cell>
          <cell r="I136">
            <v>53868</v>
          </cell>
          <cell r="J136">
            <v>53874</v>
          </cell>
        </row>
        <row r="137">
          <cell r="E137" t="str">
            <v>Hoàng Minh Thu</v>
          </cell>
          <cell r="F137" t="str">
            <v>05/08/1997</v>
          </cell>
          <cell r="G137">
            <v>35647</v>
          </cell>
        </row>
        <row r="138">
          <cell r="E138" t="str">
            <v>Nguyễn Việt Hiếu</v>
          </cell>
          <cell r="F138" t="str">
            <v>02/07/1995</v>
          </cell>
          <cell r="G138">
            <v>34882</v>
          </cell>
        </row>
        <row r="139">
          <cell r="E139" t="str">
            <v>Tống Công Thăng</v>
          </cell>
          <cell r="F139" t="str">
            <v>12/03/1972</v>
          </cell>
          <cell r="G139">
            <v>26370</v>
          </cell>
          <cell r="H139">
            <v>47209</v>
          </cell>
          <cell r="I139">
            <v>47189</v>
          </cell>
          <cell r="J139">
            <v>47209</v>
          </cell>
        </row>
        <row r="140">
          <cell r="E140" t="str">
            <v>Trịnh Quang Huy</v>
          </cell>
          <cell r="F140" t="str">
            <v>06/12/1975</v>
          </cell>
          <cell r="G140">
            <v>27734</v>
          </cell>
          <cell r="H140" t="str">
            <v>06/12/2032</v>
          </cell>
          <cell r="I140">
            <v>48554</v>
          </cell>
          <cell r="J140">
            <v>48580</v>
          </cell>
        </row>
        <row r="141">
          <cell r="E141" t="str">
            <v>Nguyễn Văn Tình 1</v>
          </cell>
          <cell r="F141" t="str">
            <v>26/03/1972</v>
          </cell>
          <cell r="G141">
            <v>26384</v>
          </cell>
          <cell r="H141">
            <v>47209</v>
          </cell>
          <cell r="I141">
            <v>47203</v>
          </cell>
          <cell r="J141">
            <v>47209</v>
          </cell>
        </row>
        <row r="142">
          <cell r="E142" t="str">
            <v>Phan Văn Phái</v>
          </cell>
          <cell r="F142" t="str">
            <v>17/03/1971</v>
          </cell>
          <cell r="G142">
            <v>26009</v>
          </cell>
          <cell r="H142">
            <v>46753</v>
          </cell>
          <cell r="I142">
            <v>46738</v>
          </cell>
          <cell r="J142">
            <v>46753</v>
          </cell>
        </row>
        <row r="143">
          <cell r="E143" t="str">
            <v>Nguyễn Văn Thái</v>
          </cell>
          <cell r="F143" t="str">
            <v>10/11/1973</v>
          </cell>
          <cell r="G143">
            <v>26978</v>
          </cell>
          <cell r="H143">
            <v>47818</v>
          </cell>
          <cell r="I143">
            <v>47797</v>
          </cell>
          <cell r="J143">
            <v>47818</v>
          </cell>
        </row>
        <row r="144">
          <cell r="E144" t="str">
            <v>Phan Xuân Thìn</v>
          </cell>
          <cell r="F144" t="str">
            <v>07/10/1978</v>
          </cell>
          <cell r="G144">
            <v>28770</v>
          </cell>
          <cell r="H144" t="str">
            <v>07/10/2035</v>
          </cell>
          <cell r="I144">
            <v>49589</v>
          </cell>
          <cell r="J144">
            <v>49614</v>
          </cell>
        </row>
        <row r="145">
          <cell r="E145" t="str">
            <v>Nguyễn Quốc Tuấn</v>
          </cell>
          <cell r="F145" t="str">
            <v>29/11/1991</v>
          </cell>
          <cell r="G145">
            <v>33571</v>
          </cell>
          <cell r="H145" t="str">
            <v>29/11/2048</v>
          </cell>
          <cell r="I145">
            <v>54391</v>
          </cell>
          <cell r="J145">
            <v>54393</v>
          </cell>
        </row>
        <row r="146">
          <cell r="E146" t="str">
            <v>Nguyễn Doãn Sơn</v>
          </cell>
          <cell r="F146" t="str">
            <v>21/07/1990</v>
          </cell>
          <cell r="G146">
            <v>33075</v>
          </cell>
          <cell r="H146" t="str">
            <v>21/07/2047</v>
          </cell>
          <cell r="I146">
            <v>53894</v>
          </cell>
          <cell r="J146">
            <v>53905</v>
          </cell>
        </row>
        <row r="147">
          <cell r="E147" t="str">
            <v>Nguyễn Hoàng Việt</v>
          </cell>
          <cell r="F147" t="str">
            <v>07/07/1986</v>
          </cell>
          <cell r="G147">
            <v>31600</v>
          </cell>
          <cell r="H147" t="str">
            <v>07/07/2043</v>
          </cell>
          <cell r="I147">
            <v>52419</v>
          </cell>
          <cell r="J147">
            <v>52444</v>
          </cell>
        </row>
        <row r="148">
          <cell r="E148" t="str">
            <v>Đinh Văn Phú</v>
          </cell>
          <cell r="F148" t="str">
            <v>01/01/1991</v>
          </cell>
          <cell r="G148">
            <v>33239</v>
          </cell>
          <cell r="H148" t="str">
            <v>01/01/2048</v>
          </cell>
          <cell r="I148">
            <v>54058</v>
          </cell>
          <cell r="J148">
            <v>54089</v>
          </cell>
        </row>
        <row r="149">
          <cell r="E149" t="str">
            <v>Trần Văn Đoàn</v>
          </cell>
          <cell r="F149" t="str">
            <v>08/06/1971</v>
          </cell>
          <cell r="G149">
            <v>26092</v>
          </cell>
          <cell r="H149">
            <v>46935</v>
          </cell>
          <cell r="I149">
            <v>46912</v>
          </cell>
          <cell r="J149">
            <v>46935</v>
          </cell>
        </row>
        <row r="150">
          <cell r="E150" t="str">
            <v>Bùi Quang Ninh</v>
          </cell>
          <cell r="F150" t="str">
            <v>16/09/1967</v>
          </cell>
          <cell r="G150">
            <v>24731</v>
          </cell>
          <cell r="H150">
            <v>45108</v>
          </cell>
          <cell r="I150">
            <v>45093</v>
          </cell>
          <cell r="J150">
            <v>45108</v>
          </cell>
        </row>
        <row r="151">
          <cell r="E151" t="str">
            <v>Đỗ Bá Cường</v>
          </cell>
          <cell r="F151" t="str">
            <v>20/07/1985</v>
          </cell>
          <cell r="G151">
            <v>31248</v>
          </cell>
          <cell r="H151" t="str">
            <v>20/07/2042</v>
          </cell>
          <cell r="I151">
            <v>52067</v>
          </cell>
          <cell r="J151">
            <v>52079</v>
          </cell>
        </row>
        <row r="152">
          <cell r="E152" t="str">
            <v>Bùi Nhật Thành</v>
          </cell>
          <cell r="F152" t="str">
            <v>11/12/1996</v>
          </cell>
          <cell r="G152">
            <v>35410</v>
          </cell>
          <cell r="H152" t="str">
            <v>11/12/2053</v>
          </cell>
          <cell r="I152">
            <v>56229</v>
          </cell>
          <cell r="J152">
            <v>56250</v>
          </cell>
        </row>
        <row r="153">
          <cell r="E153" t="str">
            <v>Nguyễn Hữu Tính</v>
          </cell>
          <cell r="F153" t="str">
            <v>25/12/1992</v>
          </cell>
          <cell r="G153">
            <v>33963</v>
          </cell>
          <cell r="H153" t="str">
            <v>25/12/2049</v>
          </cell>
          <cell r="I153">
            <v>54782</v>
          </cell>
          <cell r="J153">
            <v>54789</v>
          </cell>
        </row>
        <row r="154">
          <cell r="E154" t="str">
            <v>Nguyễn Đức Vinh</v>
          </cell>
          <cell r="F154" t="str">
            <v>22/10/1995</v>
          </cell>
          <cell r="G154">
            <v>34994</v>
          </cell>
          <cell r="H154" t="str">
            <v>22/10/2052</v>
          </cell>
          <cell r="I154">
            <v>55814</v>
          </cell>
          <cell r="J154">
            <v>55824</v>
          </cell>
        </row>
        <row r="155">
          <cell r="E155" t="str">
            <v>Nguyễn Hoàng Anh</v>
          </cell>
          <cell r="F155" t="str">
            <v>22/09/1984</v>
          </cell>
          <cell r="G155">
            <v>30947</v>
          </cell>
          <cell r="H155" t="str">
            <v>22/09/2041</v>
          </cell>
          <cell r="I155">
            <v>51766</v>
          </cell>
          <cell r="J155">
            <v>51775</v>
          </cell>
        </row>
        <row r="156">
          <cell r="E156" t="str">
            <v>Đỗ Thanh Phú</v>
          </cell>
          <cell r="F156" t="str">
            <v>29/01/1995</v>
          </cell>
          <cell r="G156">
            <v>34728</v>
          </cell>
          <cell r="I156">
            <v>55547</v>
          </cell>
          <cell r="J156">
            <v>55550</v>
          </cell>
        </row>
        <row r="157">
          <cell r="E157" t="str">
            <v>Nguyễn Tuấn Vũ</v>
          </cell>
          <cell r="F157" t="str">
            <v>30/10/2002</v>
          </cell>
          <cell r="G157">
            <v>37559</v>
          </cell>
        </row>
        <row r="158">
          <cell r="E158" t="str">
            <v>Cao Hoàng Phương</v>
          </cell>
          <cell r="F158" t="str">
            <v>13/08/1990</v>
          </cell>
          <cell r="G158">
            <v>33098</v>
          </cell>
        </row>
        <row r="159">
          <cell r="E159" t="str">
            <v>Phạm Tương Long Bảo</v>
          </cell>
          <cell r="F159" t="str">
            <v>03/05/1981</v>
          </cell>
          <cell r="G159">
            <v>29709</v>
          </cell>
          <cell r="H159">
            <v>52383</v>
          </cell>
          <cell r="I159">
            <v>52354</v>
          </cell>
          <cell r="J159">
            <v>52383</v>
          </cell>
        </row>
        <row r="160">
          <cell r="E160" t="str">
            <v>Lê Thị Hồng Huệ</v>
          </cell>
          <cell r="F160" t="str">
            <v>01/05/1979</v>
          </cell>
          <cell r="G160">
            <v>28976</v>
          </cell>
          <cell r="H160">
            <v>50922</v>
          </cell>
          <cell r="I160">
            <v>50891</v>
          </cell>
        </row>
        <row r="161">
          <cell r="E161" t="str">
            <v>Lê Lương Hoàng</v>
          </cell>
          <cell r="F161" t="str">
            <v>26/10/1975</v>
          </cell>
          <cell r="G161">
            <v>27693</v>
          </cell>
          <cell r="H161">
            <v>50345</v>
          </cell>
          <cell r="I161">
            <v>50339</v>
          </cell>
          <cell r="J161">
            <v>50345</v>
          </cell>
        </row>
        <row r="162">
          <cell r="E162" t="str">
            <v>Lương Quốc Dũng</v>
          </cell>
          <cell r="F162" t="str">
            <v>21/10/1977</v>
          </cell>
          <cell r="G162">
            <v>28419</v>
          </cell>
          <cell r="H162" t="str">
            <v>21/10/2034</v>
          </cell>
          <cell r="I162">
            <v>49238</v>
          </cell>
          <cell r="J162">
            <v>49249</v>
          </cell>
        </row>
        <row r="163">
          <cell r="E163" t="str">
            <v>Nguyễn Quốc Chiến</v>
          </cell>
          <cell r="F163" t="str">
            <v>05/08/1982</v>
          </cell>
          <cell r="G163">
            <v>30168</v>
          </cell>
          <cell r="H163">
            <v>52841</v>
          </cell>
          <cell r="I163">
            <v>52814</v>
          </cell>
          <cell r="J163">
            <v>52841</v>
          </cell>
        </row>
        <row r="164">
          <cell r="E164" t="str">
            <v>Phạm Trung Kết</v>
          </cell>
          <cell r="F164" t="str">
            <v>21/12/1972</v>
          </cell>
          <cell r="G164">
            <v>26654</v>
          </cell>
          <cell r="H164">
            <v>49310</v>
          </cell>
          <cell r="I164">
            <v>49299</v>
          </cell>
          <cell r="J164">
            <v>49310</v>
          </cell>
        </row>
        <row r="165">
          <cell r="E165" t="str">
            <v>Nguyễn Quốc Thắng</v>
          </cell>
          <cell r="F165" t="str">
            <v>05/11/1984</v>
          </cell>
          <cell r="G165">
            <v>30991</v>
          </cell>
          <cell r="H165" t="str">
            <v>05/11/2041</v>
          </cell>
          <cell r="I165">
            <v>51810</v>
          </cell>
          <cell r="J165">
            <v>51836</v>
          </cell>
        </row>
        <row r="166">
          <cell r="E166" t="str">
            <v>Lê Quang Tùng</v>
          </cell>
          <cell r="F166" t="str">
            <v>24/08/1986</v>
          </cell>
          <cell r="G166">
            <v>31648</v>
          </cell>
          <cell r="H166" t="str">
            <v>24/08/2043</v>
          </cell>
          <cell r="I166">
            <v>52467</v>
          </cell>
          <cell r="J166">
            <v>52475</v>
          </cell>
        </row>
        <row r="167">
          <cell r="E167" t="str">
            <v>Bùi Hồng Phương</v>
          </cell>
          <cell r="F167" t="str">
            <v>10/10/1988</v>
          </cell>
          <cell r="G167">
            <v>32426</v>
          </cell>
          <cell r="H167" t="str">
            <v>10/10/2045</v>
          </cell>
          <cell r="I167">
            <v>53245</v>
          </cell>
          <cell r="J167">
            <v>53267</v>
          </cell>
        </row>
        <row r="168">
          <cell r="E168" t="str">
            <v>Lê Văn Cường</v>
          </cell>
          <cell r="F168" t="str">
            <v>11/08/1997</v>
          </cell>
          <cell r="G168">
            <v>35653</v>
          </cell>
        </row>
        <row r="169">
          <cell r="E169" t="str">
            <v>Nguyễn Thị Tuyết Trinh</v>
          </cell>
          <cell r="F169" t="str">
            <v>11/09/1974</v>
          </cell>
          <cell r="G169">
            <v>27283</v>
          </cell>
          <cell r="H169">
            <v>46296</v>
          </cell>
          <cell r="I169">
            <v>46276</v>
          </cell>
          <cell r="J169">
            <v>46296</v>
          </cell>
        </row>
        <row r="170">
          <cell r="E170" t="str">
            <v>Nguyễn Thị Minh Loan</v>
          </cell>
          <cell r="F170" t="str">
            <v>13/01/1976</v>
          </cell>
          <cell r="G170">
            <v>27772</v>
          </cell>
          <cell r="H170">
            <v>47027</v>
          </cell>
          <cell r="I170">
            <v>47009</v>
          </cell>
          <cell r="J170">
            <v>47027</v>
          </cell>
        </row>
        <row r="171">
          <cell r="E171" t="str">
            <v>Nguyễn Thanh Tiến</v>
          </cell>
          <cell r="F171" t="str">
            <v>18/10/1972</v>
          </cell>
          <cell r="G171">
            <v>26590</v>
          </cell>
          <cell r="H171">
            <v>47423</v>
          </cell>
          <cell r="I171">
            <v>47409</v>
          </cell>
          <cell r="J171">
            <v>47423</v>
          </cell>
        </row>
        <row r="172">
          <cell r="E172" t="str">
            <v>Trần Thế Phiệt</v>
          </cell>
          <cell r="F172" t="str">
            <v>05/09/1972</v>
          </cell>
          <cell r="G172">
            <v>26547</v>
          </cell>
          <cell r="H172">
            <v>47392</v>
          </cell>
          <cell r="I172">
            <v>47366</v>
          </cell>
          <cell r="J172">
            <v>47392</v>
          </cell>
        </row>
        <row r="173">
          <cell r="E173" t="str">
            <v>Nguyễn Xuân Thế</v>
          </cell>
          <cell r="F173" t="str">
            <v>19/07/1987</v>
          </cell>
          <cell r="G173">
            <v>31977</v>
          </cell>
          <cell r="H173" t="str">
            <v>19/07/2044</v>
          </cell>
          <cell r="I173">
            <v>52797</v>
          </cell>
          <cell r="J173">
            <v>52810</v>
          </cell>
        </row>
        <row r="174">
          <cell r="E174" t="str">
            <v>Phan Quốc Mạnh</v>
          </cell>
          <cell r="F174" t="str">
            <v>16/02/1978</v>
          </cell>
          <cell r="G174">
            <v>28537</v>
          </cell>
          <cell r="H174" t="str">
            <v>16/02/2035</v>
          </cell>
          <cell r="I174">
            <v>49356</v>
          </cell>
          <cell r="J174">
            <v>49369</v>
          </cell>
        </row>
        <row r="175">
          <cell r="E175" t="str">
            <v>Phạm Văn Đính</v>
          </cell>
          <cell r="F175" t="str">
            <v>26/12/1972</v>
          </cell>
          <cell r="G175">
            <v>26659</v>
          </cell>
          <cell r="H175">
            <v>47484</v>
          </cell>
          <cell r="I175">
            <v>47478</v>
          </cell>
          <cell r="J175">
            <v>47484</v>
          </cell>
        </row>
        <row r="176">
          <cell r="E176" t="str">
            <v>Nguyễn Đăng An</v>
          </cell>
          <cell r="F176" t="str">
            <v>18/05/1988</v>
          </cell>
          <cell r="G176">
            <v>32281</v>
          </cell>
          <cell r="H176" t="str">
            <v>18/05/2045</v>
          </cell>
          <cell r="I176">
            <v>53100</v>
          </cell>
          <cell r="J176">
            <v>53114</v>
          </cell>
        </row>
        <row r="177">
          <cell r="E177" t="str">
            <v>Vũ Xuân Toán</v>
          </cell>
          <cell r="F177" t="str">
            <v>07/01/1972</v>
          </cell>
          <cell r="G177">
            <v>26305</v>
          </cell>
          <cell r="H177">
            <v>47150</v>
          </cell>
          <cell r="I177">
            <v>47125</v>
          </cell>
          <cell r="J177">
            <v>47150</v>
          </cell>
        </row>
        <row r="178">
          <cell r="E178" t="str">
            <v>Đồng Thành Đoàn</v>
          </cell>
          <cell r="F178" t="str">
            <v>26/03/1975</v>
          </cell>
          <cell r="G178">
            <v>27479</v>
          </cell>
          <cell r="H178" t="str">
            <v>26/03/2032</v>
          </cell>
          <cell r="I178">
            <v>48299</v>
          </cell>
          <cell r="J178">
            <v>48305</v>
          </cell>
        </row>
        <row r="179">
          <cell r="E179" t="str">
            <v>Đinh Văn Tỉnh</v>
          </cell>
          <cell r="F179" t="str">
            <v>31/10/1971</v>
          </cell>
          <cell r="G179">
            <v>26237</v>
          </cell>
          <cell r="H179">
            <v>47058</v>
          </cell>
          <cell r="I179">
            <v>47057</v>
          </cell>
          <cell r="J179">
            <v>47058</v>
          </cell>
        </row>
        <row r="180">
          <cell r="E180" t="str">
            <v>Nguyễn Thị Thu Vân</v>
          </cell>
          <cell r="F180" t="str">
            <v>22/12/1982</v>
          </cell>
          <cell r="G180">
            <v>30307</v>
          </cell>
          <cell r="H180">
            <v>50406</v>
          </cell>
          <cell r="I180">
            <v>50396</v>
          </cell>
          <cell r="J180">
            <v>50406</v>
          </cell>
        </row>
        <row r="181">
          <cell r="E181" t="str">
            <v>Lê Thị Mỹ Vân</v>
          </cell>
          <cell r="F181" t="str">
            <v>30/09/1984</v>
          </cell>
          <cell r="G181">
            <v>30955</v>
          </cell>
          <cell r="H181">
            <v>51044</v>
          </cell>
          <cell r="I181">
            <v>51043</v>
          </cell>
          <cell r="J181">
            <v>51044</v>
          </cell>
        </row>
        <row r="182">
          <cell r="E182" t="str">
            <v>Lương Thị Hồng Hiếu</v>
          </cell>
          <cell r="F182" t="str">
            <v>01/01/1994</v>
          </cell>
          <cell r="G182">
            <v>34335</v>
          </cell>
          <cell r="H182">
            <v>54455</v>
          </cell>
          <cell r="I182">
            <v>54424</v>
          </cell>
          <cell r="J182">
            <v>54455</v>
          </cell>
        </row>
        <row r="183">
          <cell r="E183" t="str">
            <v>Nguyễn Chí Tánh</v>
          </cell>
          <cell r="F183" t="str">
            <v>11/07/1976</v>
          </cell>
          <cell r="G183">
            <v>27952</v>
          </cell>
          <cell r="H183" t="str">
            <v>11/07/2033</v>
          </cell>
          <cell r="I183">
            <v>48771</v>
          </cell>
          <cell r="J183">
            <v>48792</v>
          </cell>
        </row>
        <row r="184">
          <cell r="E184" t="str">
            <v>Lý Tiến Sỹ</v>
          </cell>
          <cell r="F184" t="str">
            <v>15/10/1972</v>
          </cell>
          <cell r="G184">
            <v>26587</v>
          </cell>
          <cell r="H184">
            <v>47423</v>
          </cell>
          <cell r="I184">
            <v>47406</v>
          </cell>
          <cell r="J184">
            <v>47423</v>
          </cell>
        </row>
        <row r="185">
          <cell r="E185" t="str">
            <v>Trần Văn Nguyên</v>
          </cell>
          <cell r="F185" t="str">
            <v>20/11/1993</v>
          </cell>
          <cell r="G185">
            <v>34293</v>
          </cell>
          <cell r="H185" t="str">
            <v>20/11/2050</v>
          </cell>
          <cell r="I185">
            <v>55112</v>
          </cell>
          <cell r="J185">
            <v>55123</v>
          </cell>
        </row>
        <row r="186">
          <cell r="E186" t="str">
            <v>Phan Quý Mạnh</v>
          </cell>
          <cell r="F186" t="str">
            <v>11/06/1970</v>
          </cell>
          <cell r="G186">
            <v>25730</v>
          </cell>
          <cell r="H186">
            <v>46388</v>
          </cell>
          <cell r="I186">
            <v>46367</v>
          </cell>
          <cell r="J186">
            <v>46388</v>
          </cell>
        </row>
        <row r="187">
          <cell r="E187" t="str">
            <v>Ngô Cự Sang</v>
          </cell>
          <cell r="F187" t="str">
            <v>04/04/1976</v>
          </cell>
          <cell r="G187">
            <v>27854</v>
          </cell>
          <cell r="H187" t="str">
            <v>04/04/2033</v>
          </cell>
          <cell r="I187">
            <v>48673</v>
          </cell>
          <cell r="J187">
            <v>48700</v>
          </cell>
        </row>
        <row r="188">
          <cell r="E188" t="str">
            <v>Đặng Đức Hùng</v>
          </cell>
          <cell r="F188" t="str">
            <v>18/04/1973</v>
          </cell>
          <cell r="G188">
            <v>26772</v>
          </cell>
          <cell r="H188">
            <v>47604</v>
          </cell>
          <cell r="I188">
            <v>47591</v>
          </cell>
          <cell r="J188">
            <v>47604</v>
          </cell>
        </row>
        <row r="189">
          <cell r="E189" t="str">
            <v>Nguyễn Trọng Nhân</v>
          </cell>
          <cell r="F189" t="str">
            <v>12/07/1982</v>
          </cell>
          <cell r="G189">
            <v>30144</v>
          </cell>
          <cell r="H189" t="str">
            <v>12/07/2039</v>
          </cell>
          <cell r="I189">
            <v>50963</v>
          </cell>
          <cell r="J189">
            <v>50983</v>
          </cell>
        </row>
        <row r="190">
          <cell r="E190" t="str">
            <v>Nguyễn Thanh Hào</v>
          </cell>
          <cell r="F190" t="str">
            <v>08/01/1987</v>
          </cell>
          <cell r="G190">
            <v>31785</v>
          </cell>
          <cell r="H190" t="str">
            <v>08/01/2044</v>
          </cell>
          <cell r="I190">
            <v>52604</v>
          </cell>
          <cell r="J190">
            <v>52628</v>
          </cell>
        </row>
        <row r="191">
          <cell r="E191" t="str">
            <v>Phạm Tiến Mạnh</v>
          </cell>
          <cell r="F191" t="str">
            <v>03/12/1987</v>
          </cell>
          <cell r="G191">
            <v>32114</v>
          </cell>
          <cell r="H191" t="str">
            <v>03/12/2044</v>
          </cell>
          <cell r="I191">
            <v>52934</v>
          </cell>
          <cell r="J191">
            <v>52963</v>
          </cell>
        </row>
        <row r="192">
          <cell r="E192" t="str">
            <v>Mai Xuân Thức</v>
          </cell>
          <cell r="F192" t="str">
            <v>28/12/1994</v>
          </cell>
          <cell r="G192">
            <v>34696</v>
          </cell>
          <cell r="H192" t="str">
            <v>28/12/2051</v>
          </cell>
          <cell r="I192">
            <v>55515</v>
          </cell>
          <cell r="J192">
            <v>55519</v>
          </cell>
        </row>
        <row r="193">
          <cell r="E193" t="str">
            <v>Đỗ Chí Cường</v>
          </cell>
          <cell r="F193" t="str">
            <v>15/06/1981</v>
          </cell>
          <cell r="G193">
            <v>29752</v>
          </cell>
          <cell r="H193" t="str">
            <v>15/06/2038</v>
          </cell>
          <cell r="I193">
            <v>50571</v>
          </cell>
          <cell r="J193">
            <v>50587</v>
          </cell>
        </row>
        <row r="194">
          <cell r="E194" t="str">
            <v>Đinh Thái Giang</v>
          </cell>
          <cell r="F194" t="str">
            <v>14/11/1997</v>
          </cell>
          <cell r="G194">
            <v>35748</v>
          </cell>
          <cell r="I194">
            <v>56567</v>
          </cell>
          <cell r="J194">
            <v>56584</v>
          </cell>
        </row>
        <row r="195">
          <cell r="E195" t="str">
            <v>Nguyễn Thanh Tú</v>
          </cell>
          <cell r="F195" t="str">
            <v>28/02/1990</v>
          </cell>
          <cell r="G195">
            <v>32932</v>
          </cell>
          <cell r="H195" t="str">
            <v>28/02/2047</v>
          </cell>
          <cell r="I195">
            <v>53751</v>
          </cell>
          <cell r="J195">
            <v>53752</v>
          </cell>
        </row>
        <row r="196">
          <cell r="E196" t="str">
            <v>Nguyễn Đình Hùng</v>
          </cell>
          <cell r="F196" t="str">
            <v>27/03/1975</v>
          </cell>
          <cell r="G196">
            <v>27480</v>
          </cell>
          <cell r="H196" t="str">
            <v>27/03/2032</v>
          </cell>
          <cell r="I196">
            <v>48300</v>
          </cell>
          <cell r="J196">
            <v>48305</v>
          </cell>
        </row>
        <row r="197">
          <cell r="E197" t="str">
            <v>Lưu Công Luân</v>
          </cell>
          <cell r="F197" t="str">
            <v>10/10/1973</v>
          </cell>
          <cell r="G197">
            <v>26947</v>
          </cell>
          <cell r="H197">
            <v>47788</v>
          </cell>
          <cell r="I197">
            <v>47766</v>
          </cell>
          <cell r="J197">
            <v>47788</v>
          </cell>
        </row>
        <row r="198">
          <cell r="E198" t="str">
            <v>Nguyễn Văn Trường</v>
          </cell>
          <cell r="F198" t="str">
            <v>27/01/1975</v>
          </cell>
          <cell r="G198">
            <v>27421</v>
          </cell>
          <cell r="H198" t="str">
            <v>27/01/2032</v>
          </cell>
          <cell r="I198">
            <v>48240</v>
          </cell>
          <cell r="J198">
            <v>48245</v>
          </cell>
        </row>
        <row r="199">
          <cell r="E199" t="str">
            <v>Hoàng Kim Rạng</v>
          </cell>
          <cell r="F199" t="str">
            <v>27/03/1983</v>
          </cell>
          <cell r="G199">
            <v>30402</v>
          </cell>
          <cell r="H199" t="str">
            <v>27/03/2040</v>
          </cell>
          <cell r="I199">
            <v>51222</v>
          </cell>
          <cell r="J199">
            <v>51227</v>
          </cell>
        </row>
        <row r="200">
          <cell r="E200" t="str">
            <v>Võ Đăng Quang</v>
          </cell>
          <cell r="F200" t="str">
            <v>09/03/1984</v>
          </cell>
          <cell r="G200">
            <v>30750</v>
          </cell>
          <cell r="H200" t="str">
            <v>09/03/2041</v>
          </cell>
          <cell r="I200">
            <v>51569</v>
          </cell>
          <cell r="J200">
            <v>51592</v>
          </cell>
        </row>
        <row r="201">
          <cell r="E201" t="str">
            <v>Nguyễn Tiến Đạt</v>
          </cell>
          <cell r="F201" t="str">
            <v>18/08/2001</v>
          </cell>
          <cell r="G201">
            <v>37121</v>
          </cell>
          <cell r="H201" t="str">
            <v>18/08/2058</v>
          </cell>
          <cell r="I201">
            <v>57940</v>
          </cell>
          <cell r="J201">
            <v>57954</v>
          </cell>
        </row>
        <row r="202">
          <cell r="E202" t="str">
            <v>Nguyễn Hoàng Duy</v>
          </cell>
          <cell r="F202" t="str">
            <v>27/12/1996</v>
          </cell>
          <cell r="G202">
            <v>35426</v>
          </cell>
          <cell r="H202" t="str">
            <v>27/12/2053</v>
          </cell>
          <cell r="I202">
            <v>56245</v>
          </cell>
          <cell r="J202">
            <v>56250</v>
          </cell>
        </row>
        <row r="203">
          <cell r="E203" t="str">
            <v>Bùi Ngọc Nam</v>
          </cell>
          <cell r="F203" t="str">
            <v>10/05/1992</v>
          </cell>
          <cell r="G203">
            <v>33734</v>
          </cell>
          <cell r="H203" t="str">
            <v>10/05/2049</v>
          </cell>
          <cell r="I203">
            <v>54553</v>
          </cell>
          <cell r="J203">
            <v>54575</v>
          </cell>
        </row>
        <row r="204">
          <cell r="E204" t="str">
            <v>Hồ Hữu Đức</v>
          </cell>
          <cell r="F204" t="str">
            <v>10/10/1996</v>
          </cell>
          <cell r="G204">
            <v>35348</v>
          </cell>
          <cell r="I204">
            <v>56167</v>
          </cell>
          <cell r="J204">
            <v>56189</v>
          </cell>
        </row>
        <row r="205">
          <cell r="E205" t="str">
            <v>Nguyễn Phúc Ân</v>
          </cell>
          <cell r="F205" t="str">
            <v>19/08/1989</v>
          </cell>
          <cell r="G205">
            <v>32739</v>
          </cell>
          <cell r="I205">
            <v>53558</v>
          </cell>
          <cell r="J205">
            <v>53571</v>
          </cell>
        </row>
        <row r="206">
          <cell r="E206" t="str">
            <v>Phạm Đình Quốc</v>
          </cell>
          <cell r="F206" t="str">
            <v>10/09/1984</v>
          </cell>
          <cell r="G206">
            <v>30935</v>
          </cell>
          <cell r="H206" t="str">
            <v>10/09/2041</v>
          </cell>
          <cell r="I206">
            <v>51754</v>
          </cell>
          <cell r="J206">
            <v>51775</v>
          </cell>
        </row>
        <row r="207">
          <cell r="E207" t="str">
            <v>Trần Thanh Tân</v>
          </cell>
          <cell r="F207" t="str">
            <v>10/05/1993</v>
          </cell>
          <cell r="G207">
            <v>34099</v>
          </cell>
          <cell r="I207">
            <v>54918</v>
          </cell>
          <cell r="J207">
            <v>54940</v>
          </cell>
        </row>
        <row r="208">
          <cell r="E208" t="str">
            <v>Nguyễn Xuân Trung</v>
          </cell>
          <cell r="F208" t="str">
            <v>07/01/1995</v>
          </cell>
          <cell r="G208">
            <v>34706</v>
          </cell>
        </row>
        <row r="209">
          <cell r="E209" t="str">
            <v>Trần Văn Nghị</v>
          </cell>
          <cell r="F209" t="str">
            <v>06/10/1971</v>
          </cell>
          <cell r="G209">
            <v>26212</v>
          </cell>
          <cell r="H209">
            <v>47058</v>
          </cell>
          <cell r="I209">
            <v>47032</v>
          </cell>
          <cell r="J209">
            <v>47058</v>
          </cell>
        </row>
        <row r="210">
          <cell r="E210" t="str">
            <v>Dương Anh Nam</v>
          </cell>
          <cell r="F210" t="str">
            <v>20/12/1975</v>
          </cell>
          <cell r="G210">
            <v>27748</v>
          </cell>
          <cell r="H210" t="str">
            <v>20/12/2032</v>
          </cell>
          <cell r="I210">
            <v>48568</v>
          </cell>
          <cell r="J210">
            <v>48580</v>
          </cell>
        </row>
        <row r="211">
          <cell r="E211" t="str">
            <v>Nguyễn Đăng Nghĩa</v>
          </cell>
          <cell r="F211" t="str">
            <v>18/12/1974</v>
          </cell>
          <cell r="G211">
            <v>27381</v>
          </cell>
          <cell r="H211" t="str">
            <v>18/12/2031</v>
          </cell>
          <cell r="I211">
            <v>48200</v>
          </cell>
          <cell r="J211">
            <v>48214</v>
          </cell>
        </row>
        <row r="212">
          <cell r="E212" t="str">
            <v>Đỗ Xuân Ninh</v>
          </cell>
          <cell r="F212" t="str">
            <v>18/08/1971</v>
          </cell>
          <cell r="G212">
            <v>26163</v>
          </cell>
          <cell r="H212">
            <v>46997</v>
          </cell>
          <cell r="I212">
            <v>46983</v>
          </cell>
          <cell r="J212">
            <v>46997</v>
          </cell>
        </row>
        <row r="213">
          <cell r="E213" t="str">
            <v>Võ Ngọc Trai</v>
          </cell>
          <cell r="F213" t="str">
            <v>30/12/1982</v>
          </cell>
          <cell r="G213">
            <v>30315</v>
          </cell>
          <cell r="H213" t="str">
            <v>30/12/2039</v>
          </cell>
          <cell r="I213">
            <v>51134</v>
          </cell>
          <cell r="J213">
            <v>51136</v>
          </cell>
        </row>
        <row r="214">
          <cell r="E214" t="str">
            <v>Phương Hoài</v>
          </cell>
          <cell r="F214" t="str">
            <v>06/03/1991</v>
          </cell>
          <cell r="G214">
            <v>33303</v>
          </cell>
          <cell r="H214" t="str">
            <v>06/03/2048</v>
          </cell>
          <cell r="I214">
            <v>54123</v>
          </cell>
          <cell r="J214">
            <v>54149</v>
          </cell>
        </row>
        <row r="215">
          <cell r="E215" t="str">
            <v>Nguyễn Vinh Quan</v>
          </cell>
          <cell r="F215" t="str">
            <v>30/01/1995</v>
          </cell>
          <cell r="G215">
            <v>34729</v>
          </cell>
          <cell r="H215" t="str">
            <v>30/01/2052</v>
          </cell>
          <cell r="I215">
            <v>55548</v>
          </cell>
          <cell r="J215">
            <v>55550</v>
          </cell>
        </row>
        <row r="216">
          <cell r="E216" t="str">
            <v>Nguyễn Trung Hậu</v>
          </cell>
          <cell r="F216" t="str">
            <v>09/10/1990</v>
          </cell>
          <cell r="G216">
            <v>33155</v>
          </cell>
          <cell r="H216" t="str">
            <v>09/10/2047</v>
          </cell>
          <cell r="I216">
            <v>53974</v>
          </cell>
          <cell r="J216">
            <v>53997</v>
          </cell>
        </row>
        <row r="217">
          <cell r="E217" t="str">
            <v>Nguyễn Anh Tuấn</v>
          </cell>
          <cell r="F217" t="str">
            <v>26/11/1991</v>
          </cell>
          <cell r="G217">
            <v>33568</v>
          </cell>
          <cell r="I217">
            <v>54388</v>
          </cell>
          <cell r="J217">
            <v>54393</v>
          </cell>
        </row>
        <row r="218">
          <cell r="E218" t="str">
            <v>Khê Thanh Tuấn</v>
          </cell>
          <cell r="F218" t="str">
            <v>29/06/2001</v>
          </cell>
          <cell r="G218">
            <v>37071</v>
          </cell>
        </row>
        <row r="219">
          <cell r="E219" t="str">
            <v>Lý Ngọc Hùng</v>
          </cell>
          <cell r="F219" t="str">
            <v>05/03/1993</v>
          </cell>
          <cell r="G219">
            <v>34033</v>
          </cell>
        </row>
        <row r="220">
          <cell r="E220" t="str">
            <v>Trần Nguyễn Châu Thành Nhân</v>
          </cell>
          <cell r="F220" t="str">
            <v>07/05/1991</v>
          </cell>
          <cell r="G220">
            <v>33365</v>
          </cell>
          <cell r="I220">
            <v>54185</v>
          </cell>
          <cell r="J220">
            <v>54210</v>
          </cell>
        </row>
        <row r="221">
          <cell r="E221" t="str">
            <v>Huỳnh Thanh Toàn</v>
          </cell>
          <cell r="F221" t="str">
            <v>09/10/1994</v>
          </cell>
          <cell r="G221">
            <v>34616</v>
          </cell>
        </row>
        <row r="222">
          <cell r="E222" t="str">
            <v>Nguyễn Văn Sơn</v>
          </cell>
          <cell r="F222" t="str">
            <v>27/06/1990</v>
          </cell>
          <cell r="G222">
            <v>33051</v>
          </cell>
        </row>
        <row r="223">
          <cell r="E223" t="str">
            <v>Huỳnh Thanh Tài</v>
          </cell>
          <cell r="F223" t="str">
            <v>23/04/1995</v>
          </cell>
          <cell r="G223">
            <v>34812</v>
          </cell>
        </row>
        <row r="224">
          <cell r="E224" t="str">
            <v>Phạm Huy Hoàng</v>
          </cell>
          <cell r="F224" t="str">
            <v>10/07/1975</v>
          </cell>
          <cell r="G224">
            <v>27585</v>
          </cell>
          <cell r="H224" t="str">
            <v>10/07/2032</v>
          </cell>
          <cell r="I224">
            <v>48405</v>
          </cell>
          <cell r="J224">
            <v>48427</v>
          </cell>
        </row>
        <row r="225">
          <cell r="E225" t="str">
            <v>Lê Bá Khanh</v>
          </cell>
          <cell r="F225" t="str">
            <v>01/01/1969</v>
          </cell>
          <cell r="G225">
            <v>25204</v>
          </cell>
          <cell r="H225">
            <v>45778</v>
          </cell>
          <cell r="I225">
            <v>45748</v>
          </cell>
          <cell r="J225">
            <v>45778</v>
          </cell>
        </row>
        <row r="226">
          <cell r="E226" t="str">
            <v xml:space="preserve">Nguyễn Văn Tình </v>
          </cell>
          <cell r="F226" t="str">
            <v>10/02/1973</v>
          </cell>
          <cell r="G226">
            <v>26705</v>
          </cell>
          <cell r="H226" t="str">
            <v>01/07/2032</v>
          </cell>
          <cell r="I226">
            <v>48396</v>
          </cell>
          <cell r="J226">
            <v>48427</v>
          </cell>
        </row>
        <row r="227">
          <cell r="E227" t="str">
            <v>Đặng Xuân Thư</v>
          </cell>
          <cell r="F227" t="str">
            <v>02/06/1975</v>
          </cell>
          <cell r="G227">
            <v>27547</v>
          </cell>
          <cell r="H227" t="str">
            <v>02/06/2032</v>
          </cell>
          <cell r="I227">
            <v>48367</v>
          </cell>
          <cell r="J227">
            <v>48396</v>
          </cell>
        </row>
        <row r="228">
          <cell r="E228" t="str">
            <v>Nguyễn Thế Mạnh</v>
          </cell>
          <cell r="F228" t="str">
            <v>17/02/1978</v>
          </cell>
          <cell r="G228">
            <v>28538</v>
          </cell>
          <cell r="H228" t="str">
            <v>17/02/2035</v>
          </cell>
          <cell r="I228">
            <v>49357</v>
          </cell>
          <cell r="J228">
            <v>49369</v>
          </cell>
        </row>
        <row r="229">
          <cell r="E229" t="str">
            <v>Lê Ngọc Dũng</v>
          </cell>
          <cell r="F229" t="str">
            <v>27/10/1984</v>
          </cell>
          <cell r="G229">
            <v>30982</v>
          </cell>
          <cell r="H229" t="str">
            <v>27/10/2041</v>
          </cell>
          <cell r="I229">
            <v>51801</v>
          </cell>
          <cell r="J229">
            <v>51806</v>
          </cell>
        </row>
        <row r="230">
          <cell r="E230" t="str">
            <v>Võ Thành Công</v>
          </cell>
          <cell r="F230" t="str">
            <v>12/05/1988</v>
          </cell>
          <cell r="G230">
            <v>32275</v>
          </cell>
          <cell r="H230" t="str">
            <v>12/05/2045</v>
          </cell>
          <cell r="I230">
            <v>53094</v>
          </cell>
          <cell r="J230">
            <v>53114</v>
          </cell>
        </row>
        <row r="231">
          <cell r="E231" t="str">
            <v>Đặng Bá Lâm</v>
          </cell>
          <cell r="F231" t="str">
            <v>04/08/1994</v>
          </cell>
          <cell r="G231">
            <v>34550</v>
          </cell>
          <cell r="H231" t="str">
            <v>04/08/2051</v>
          </cell>
          <cell r="I231">
            <v>55369</v>
          </cell>
          <cell r="J231">
            <v>55397</v>
          </cell>
        </row>
        <row r="232">
          <cell r="E232" t="str">
            <v>Trần Kỳ Vĩ</v>
          </cell>
          <cell r="F232" t="str">
            <v>11/08/1994</v>
          </cell>
          <cell r="G232">
            <v>34557</v>
          </cell>
          <cell r="H232" t="str">
            <v>11/08/2051</v>
          </cell>
          <cell r="I232">
            <v>55376</v>
          </cell>
          <cell r="J232">
            <v>55397</v>
          </cell>
        </row>
        <row r="233">
          <cell r="E233" t="str">
            <v>Trần Đình Khải</v>
          </cell>
          <cell r="F233" t="str">
            <v>03/10/1997</v>
          </cell>
          <cell r="G233">
            <v>35706</v>
          </cell>
          <cell r="H233" t="str">
            <v>03/10/2054</v>
          </cell>
          <cell r="I233">
            <v>56525</v>
          </cell>
          <cell r="J233">
            <v>56554</v>
          </cell>
        </row>
        <row r="234">
          <cell r="E234" t="str">
            <v>Bùi Huy Hoàng</v>
          </cell>
          <cell r="F234" t="str">
            <v>14/07/1989</v>
          </cell>
          <cell r="G234">
            <v>32703</v>
          </cell>
          <cell r="H234" t="str">
            <v>14/07/2046</v>
          </cell>
          <cell r="I234">
            <v>53522</v>
          </cell>
          <cell r="J234">
            <v>53540</v>
          </cell>
        </row>
        <row r="235">
          <cell r="E235" t="str">
            <v>Lê Trung Kiên</v>
          </cell>
          <cell r="F235" t="str">
            <v>23/11/1997</v>
          </cell>
          <cell r="G235">
            <v>35757</v>
          </cell>
          <cell r="J235">
            <v>32</v>
          </cell>
        </row>
        <row r="236">
          <cell r="E236" t="str">
            <v>Đỗ Văn Thắng</v>
          </cell>
          <cell r="F236" t="str">
            <v>09/10/1996</v>
          </cell>
          <cell r="G236">
            <v>35347</v>
          </cell>
        </row>
        <row r="237">
          <cell r="E237" t="str">
            <v>Nguyễn Ngọc Trịnh</v>
          </cell>
          <cell r="F237" t="str">
            <v>12/12/1997</v>
          </cell>
          <cell r="G237">
            <v>35776</v>
          </cell>
        </row>
        <row r="238">
          <cell r="E238" t="str">
            <v>Nguyễn Văn Boan</v>
          </cell>
          <cell r="F238" t="str">
            <v>27/02/1993</v>
          </cell>
          <cell r="G238">
            <v>34027</v>
          </cell>
        </row>
        <row r="239">
          <cell r="E239" t="str">
            <v>Lê Hùng Sơn</v>
          </cell>
          <cell r="F239" t="str">
            <v>01/01/2002</v>
          </cell>
          <cell r="G239">
            <v>37257</v>
          </cell>
        </row>
        <row r="240">
          <cell r="E240" t="str">
            <v>Nguyễn Hải Linh</v>
          </cell>
          <cell r="F240" t="str">
            <v>04/04/1990</v>
          </cell>
          <cell r="G240">
            <v>32967</v>
          </cell>
        </row>
        <row r="241">
          <cell r="E241" t="str">
            <v>Võ Công Tương</v>
          </cell>
          <cell r="F241" t="str">
            <v>30/10/1972</v>
          </cell>
          <cell r="G241">
            <v>26602</v>
          </cell>
          <cell r="H241">
            <v>47423</v>
          </cell>
          <cell r="I241">
            <v>47421</v>
          </cell>
          <cell r="J241">
            <v>47423</v>
          </cell>
        </row>
        <row r="242">
          <cell r="E242" t="str">
            <v>Phan Đình Long</v>
          </cell>
          <cell r="F242" t="str">
            <v>29/03/1989</v>
          </cell>
          <cell r="G242">
            <v>32596</v>
          </cell>
          <cell r="H242" t="str">
            <v>29/03/2046</v>
          </cell>
          <cell r="I242">
            <v>53415</v>
          </cell>
          <cell r="J242">
            <v>53418</v>
          </cell>
        </row>
        <row r="243">
          <cell r="E243" t="str">
            <v>Mai Thành Long</v>
          </cell>
          <cell r="F243" t="str">
            <v>11/05/1988</v>
          </cell>
          <cell r="G243">
            <v>32274</v>
          </cell>
          <cell r="H243" t="str">
            <v>11/05/2045</v>
          </cell>
          <cell r="I243">
            <v>53093</v>
          </cell>
          <cell r="J243">
            <v>53114</v>
          </cell>
        </row>
        <row r="244">
          <cell r="E244" t="str">
            <v>Phạm Minh Duy</v>
          </cell>
          <cell r="F244" t="str">
            <v>24/08/1989</v>
          </cell>
          <cell r="G244">
            <v>32744</v>
          </cell>
          <cell r="H244" t="str">
            <v>24/08/2046</v>
          </cell>
          <cell r="I244">
            <v>53563</v>
          </cell>
          <cell r="J244">
            <v>53571</v>
          </cell>
        </row>
        <row r="245">
          <cell r="E245" t="str">
            <v>Nguyễn Ngọc Cường</v>
          </cell>
          <cell r="F245" t="str">
            <v>12/01/1993</v>
          </cell>
          <cell r="G245">
            <v>33981</v>
          </cell>
          <cell r="H245" t="str">
            <v>12/01/2050</v>
          </cell>
          <cell r="I245">
            <v>54800</v>
          </cell>
          <cell r="J245">
            <v>54820</v>
          </cell>
        </row>
        <row r="246">
          <cell r="E246" t="str">
            <v>Nguyễn Tấn Huy</v>
          </cell>
          <cell r="F246" t="str">
            <v>22/12/1987</v>
          </cell>
          <cell r="G246">
            <v>32133</v>
          </cell>
          <cell r="H246" t="str">
            <v>22/12/2044</v>
          </cell>
          <cell r="I246">
            <v>52953</v>
          </cell>
          <cell r="J246">
            <v>52963</v>
          </cell>
        </row>
        <row r="247">
          <cell r="E247" t="str">
            <v>Võ Thành Tân</v>
          </cell>
          <cell r="F247" t="str">
            <v xml:space="preserve"> </v>
          </cell>
          <cell r="G247">
            <v>35471</v>
          </cell>
          <cell r="H247" t="str">
            <v>10/02/2054</v>
          </cell>
          <cell r="I247">
            <v>56290</v>
          </cell>
          <cell r="J247">
            <v>56309</v>
          </cell>
        </row>
        <row r="248">
          <cell r="E248" t="str">
            <v>Nguyễn Thế Huynh</v>
          </cell>
          <cell r="F248" t="str">
            <v>25/04/1999</v>
          </cell>
          <cell r="G248">
            <v>36275</v>
          </cell>
          <cell r="H248" t="str">
            <v>25/04/2056</v>
          </cell>
          <cell r="I248">
            <v>57095</v>
          </cell>
          <cell r="J248">
            <v>57101</v>
          </cell>
        </row>
        <row r="249">
          <cell r="E249" t="str">
            <v>Nguyễn Văn Vương</v>
          </cell>
          <cell r="F249" t="str">
            <v>09/04/1996</v>
          </cell>
          <cell r="G249">
            <v>35164</v>
          </cell>
          <cell r="H249" t="str">
            <v>09/04/2053</v>
          </cell>
          <cell r="I249">
            <v>55983</v>
          </cell>
          <cell r="J249">
            <v>56005</v>
          </cell>
        </row>
        <row r="250">
          <cell r="E250" t="str">
            <v>Phạm Minh Thắng</v>
          </cell>
          <cell r="F250" t="str">
            <v>20/05/1988</v>
          </cell>
          <cell r="G250">
            <v>32283</v>
          </cell>
          <cell r="I250">
            <v>53102</v>
          </cell>
          <cell r="J250">
            <v>53114</v>
          </cell>
        </row>
        <row r="251">
          <cell r="E251" t="str">
            <v>Phan Thành Thái</v>
          </cell>
          <cell r="F251" t="str">
            <v>10/07/2000</v>
          </cell>
          <cell r="G251">
            <v>36717</v>
          </cell>
        </row>
        <row r="252">
          <cell r="E252" t="str">
            <v>Đỗ Cao Quốc Thịnh</v>
          </cell>
          <cell r="F252" t="str">
            <v>09/08/1995</v>
          </cell>
          <cell r="G252">
            <v>34920</v>
          </cell>
        </row>
        <row r="253">
          <cell r="E253" t="str">
            <v>Lê Tiến Đạt</v>
          </cell>
          <cell r="F253" t="str">
            <v>15/03/1995</v>
          </cell>
          <cell r="G253">
            <v>34773</v>
          </cell>
        </row>
        <row r="254">
          <cell r="E254" t="str">
            <v>Trần Huỳnh Minh Hoài</v>
          </cell>
          <cell r="F254" t="str">
            <v>26/3/2002</v>
          </cell>
          <cell r="G254">
            <v>37341</v>
          </cell>
        </row>
        <row r="255">
          <cell r="E255" t="str">
            <v>Đào Xuân Thịnh</v>
          </cell>
          <cell r="F255" t="str">
            <v>28/02/2001</v>
          </cell>
          <cell r="G255">
            <v>36950</v>
          </cell>
        </row>
        <row r="256">
          <cell r="E256" t="str">
            <v>Đỗ Cao Mầu</v>
          </cell>
          <cell r="F256" t="str">
            <v>10/04/1971</v>
          </cell>
          <cell r="G256">
            <v>26033</v>
          </cell>
          <cell r="H256">
            <v>46874</v>
          </cell>
          <cell r="I256">
            <v>46853</v>
          </cell>
          <cell r="J256">
            <v>46874</v>
          </cell>
        </row>
        <row r="257">
          <cell r="E257" t="str">
            <v>Thái Hoàng Huy</v>
          </cell>
          <cell r="F257" t="str">
            <v>15/12/1970</v>
          </cell>
          <cell r="G257">
            <v>25917</v>
          </cell>
          <cell r="H257">
            <v>46661</v>
          </cell>
          <cell r="I257">
            <v>46645</v>
          </cell>
          <cell r="J257">
            <v>46661</v>
          </cell>
        </row>
        <row r="258">
          <cell r="E258" t="str">
            <v>Bùi Đình Thăng</v>
          </cell>
          <cell r="F258" t="str">
            <v>24/07/1976</v>
          </cell>
          <cell r="G258">
            <v>27965</v>
          </cell>
          <cell r="H258" t="str">
            <v>24/07/2033</v>
          </cell>
          <cell r="I258">
            <v>48784</v>
          </cell>
          <cell r="J258">
            <v>48792</v>
          </cell>
        </row>
        <row r="259">
          <cell r="E259" t="str">
            <v xml:space="preserve">Phạm Xuân Bình </v>
          </cell>
          <cell r="F259" t="str">
            <v>02/01/1972</v>
          </cell>
          <cell r="G259">
            <v>26300</v>
          </cell>
          <cell r="H259">
            <v>47150</v>
          </cell>
          <cell r="I259">
            <v>47120</v>
          </cell>
          <cell r="J259">
            <v>47150</v>
          </cell>
        </row>
        <row r="260">
          <cell r="E260" t="str">
            <v>Phan Đình Tuấn</v>
          </cell>
          <cell r="F260" t="str">
            <v>09/09/1993</v>
          </cell>
          <cell r="G260">
            <v>34221</v>
          </cell>
          <cell r="H260" t="str">
            <v>09/09/2050</v>
          </cell>
          <cell r="I260">
            <v>55040</v>
          </cell>
          <cell r="J260">
            <v>55062</v>
          </cell>
        </row>
        <row r="261">
          <cell r="E261" t="str">
            <v>Lò Văn Tứ</v>
          </cell>
          <cell r="F261" t="str">
            <v>21/08/1974</v>
          </cell>
          <cell r="G261">
            <v>27262</v>
          </cell>
          <cell r="H261" t="str">
            <v>21/08/2031</v>
          </cell>
          <cell r="I261">
            <v>48081</v>
          </cell>
          <cell r="J261">
            <v>48092</v>
          </cell>
        </row>
        <row r="262">
          <cell r="E262" t="str">
            <v>Phùng Minh Thanh</v>
          </cell>
          <cell r="F262" t="str">
            <v>06/03/1991</v>
          </cell>
          <cell r="G262">
            <v>33303</v>
          </cell>
          <cell r="H262" t="str">
            <v>06/03/2048</v>
          </cell>
          <cell r="I262">
            <v>54123</v>
          </cell>
          <cell r="J262">
            <v>54149</v>
          </cell>
        </row>
        <row r="263">
          <cell r="E263" t="str">
            <v>Nguyễn Minh Tiến</v>
          </cell>
          <cell r="F263" t="str">
            <v>01/05/1995</v>
          </cell>
          <cell r="G263">
            <v>34820</v>
          </cell>
          <cell r="I263">
            <v>55640</v>
          </cell>
          <cell r="J263">
            <v>55671</v>
          </cell>
        </row>
        <row r="264">
          <cell r="E264" t="str">
            <v>Nguyễn Đoàn Anh Tuấn</v>
          </cell>
          <cell r="F264" t="str">
            <v>16/01/2000</v>
          </cell>
          <cell r="G264">
            <v>36541</v>
          </cell>
        </row>
        <row r="265">
          <cell r="E265" t="str">
            <v>Lê Đức Anh</v>
          </cell>
          <cell r="F265" t="str">
            <v>24/09/1997</v>
          </cell>
          <cell r="G265">
            <v>35697</v>
          </cell>
        </row>
        <row r="266">
          <cell r="E266" t="str">
            <v>Lương Văn Đức</v>
          </cell>
          <cell r="F266" t="str">
            <v>02/03/1963</v>
          </cell>
          <cell r="G266">
            <v>23072</v>
          </cell>
          <cell r="H266">
            <v>45292</v>
          </cell>
          <cell r="I266">
            <v>45262</v>
          </cell>
          <cell r="J266">
            <v>45292</v>
          </cell>
        </row>
        <row r="267">
          <cell r="E267" t="str">
            <v>Nguyễn Trung Lương</v>
          </cell>
          <cell r="F267" t="str">
            <v>06/01/1977</v>
          </cell>
          <cell r="G267">
            <v>28131</v>
          </cell>
          <cell r="H267">
            <v>50802</v>
          </cell>
          <cell r="I267">
            <v>50776</v>
          </cell>
          <cell r="J267">
            <v>50802</v>
          </cell>
        </row>
        <row r="268">
          <cell r="E268" t="str">
            <v>Nguyễn Mai Phương</v>
          </cell>
          <cell r="F268" t="str">
            <v>09/11/1978</v>
          </cell>
          <cell r="G268">
            <v>28803</v>
          </cell>
          <cell r="H268">
            <v>51471</v>
          </cell>
          <cell r="I268">
            <v>51449</v>
          </cell>
          <cell r="J268">
            <v>51471</v>
          </cell>
        </row>
        <row r="269">
          <cell r="E269" t="str">
            <v>Trương Quang Hải</v>
          </cell>
          <cell r="F269" t="str">
            <v>08/11/1968</v>
          </cell>
          <cell r="G269">
            <v>25150</v>
          </cell>
          <cell r="H269">
            <v>47818</v>
          </cell>
          <cell r="I269">
            <v>47795</v>
          </cell>
          <cell r="J269">
            <v>47818</v>
          </cell>
        </row>
        <row r="270">
          <cell r="E270" t="str">
            <v>Ngô Thanh Hoàng</v>
          </cell>
          <cell r="F270" t="str">
            <v>19/09/1977</v>
          </cell>
          <cell r="G270">
            <v>28387</v>
          </cell>
          <cell r="H270">
            <v>51044</v>
          </cell>
          <cell r="I270">
            <v>51032</v>
          </cell>
          <cell r="J270">
            <v>51044</v>
          </cell>
        </row>
        <row r="271">
          <cell r="E271" t="str">
            <v>Trần Dự Sang</v>
          </cell>
          <cell r="F271" t="str">
            <v>20/01/1971</v>
          </cell>
          <cell r="G271">
            <v>25953</v>
          </cell>
          <cell r="H271">
            <v>48611</v>
          </cell>
          <cell r="I271">
            <v>48599</v>
          </cell>
          <cell r="J271">
            <v>48611</v>
          </cell>
        </row>
        <row r="272">
          <cell r="E272" t="str">
            <v>Lưu Đức Thắng</v>
          </cell>
          <cell r="F272" t="str">
            <v>23/05/1984</v>
          </cell>
          <cell r="G272">
            <v>30825</v>
          </cell>
          <cell r="H272">
            <v>53479</v>
          </cell>
          <cell r="I272">
            <v>53470</v>
          </cell>
          <cell r="J272">
            <v>53479</v>
          </cell>
        </row>
        <row r="273">
          <cell r="E273" t="str">
            <v>Nguyễn Minh Phương</v>
          </cell>
          <cell r="F273" t="str">
            <v>02/09/1980</v>
          </cell>
          <cell r="G273">
            <v>29466</v>
          </cell>
          <cell r="H273" t="str">
            <v>02/09/2037</v>
          </cell>
          <cell r="I273">
            <v>50285</v>
          </cell>
          <cell r="J273">
            <v>50314</v>
          </cell>
        </row>
        <row r="274">
          <cell r="E274" t="str">
            <v xml:space="preserve">Phạm Xuân Bình </v>
          </cell>
          <cell r="F274" t="str">
            <v>05/02/1987</v>
          </cell>
          <cell r="G274">
            <v>31813</v>
          </cell>
          <cell r="H274" t="str">
            <v>05/02/2044</v>
          </cell>
          <cell r="I274">
            <v>52632</v>
          </cell>
          <cell r="J274">
            <v>52657</v>
          </cell>
        </row>
        <row r="275">
          <cell r="E275" t="str">
            <v>Nguyễn Linh Chi</v>
          </cell>
          <cell r="F275" t="str">
            <v>22/01/1988</v>
          </cell>
          <cell r="G275">
            <v>32164</v>
          </cell>
          <cell r="H275">
            <v>52263</v>
          </cell>
          <cell r="I275">
            <v>52253</v>
          </cell>
          <cell r="J275">
            <v>52263</v>
          </cell>
        </row>
        <row r="276">
          <cell r="E276" t="str">
            <v>Nguyễn Thị Mai Thanh</v>
          </cell>
          <cell r="F276" t="str">
            <v>25/12/1972</v>
          </cell>
          <cell r="G276">
            <v>26658</v>
          </cell>
          <cell r="H276">
            <v>45292</v>
          </cell>
          <cell r="I276">
            <v>45285</v>
          </cell>
          <cell r="J276">
            <v>45292</v>
          </cell>
        </row>
        <row r="277">
          <cell r="E277" t="str">
            <v>Lưu Bích Hồng</v>
          </cell>
          <cell r="F277" t="str">
            <v>02/02/1982</v>
          </cell>
          <cell r="G277">
            <v>29984</v>
          </cell>
          <cell r="H277">
            <v>50100</v>
          </cell>
          <cell r="I277">
            <v>50073</v>
          </cell>
          <cell r="J277">
            <v>50100</v>
          </cell>
        </row>
        <row r="278">
          <cell r="E278" t="str">
            <v>Trần Thị Diệu Hòa</v>
          </cell>
          <cell r="F278" t="str">
            <v>09/07/1985</v>
          </cell>
          <cell r="G278">
            <v>31237</v>
          </cell>
          <cell r="H278">
            <v>51349</v>
          </cell>
          <cell r="I278">
            <v>51326</v>
          </cell>
          <cell r="J278">
            <v>51349</v>
          </cell>
        </row>
        <row r="279">
          <cell r="E279" t="str">
            <v>Đỗ Thị Thanh Bình</v>
          </cell>
          <cell r="F279" t="str">
            <v>04/11/1974</v>
          </cell>
          <cell r="G279">
            <v>27337</v>
          </cell>
          <cell r="H279">
            <v>46357</v>
          </cell>
          <cell r="I279">
            <v>46330</v>
          </cell>
          <cell r="J279">
            <v>46357</v>
          </cell>
        </row>
        <row r="280">
          <cell r="E280" t="str">
            <v>Võ Văn Hiển</v>
          </cell>
          <cell r="F280" t="str">
            <v>22/08/1971</v>
          </cell>
          <cell r="G280">
            <v>26167</v>
          </cell>
          <cell r="H280">
            <v>46997</v>
          </cell>
          <cell r="I280">
            <v>46987</v>
          </cell>
          <cell r="J280">
            <v>46997</v>
          </cell>
        </row>
        <row r="281">
          <cell r="E281" t="str">
            <v>Mai Văn Hiệp</v>
          </cell>
          <cell r="F281" t="str">
            <v>10/08/1981</v>
          </cell>
          <cell r="G281">
            <v>29808</v>
          </cell>
          <cell r="H281" t="str">
            <v>10/08/2038</v>
          </cell>
          <cell r="I281">
            <v>50627</v>
          </cell>
          <cell r="J281">
            <v>50649</v>
          </cell>
        </row>
        <row r="282">
          <cell r="E282" t="str">
            <v>Nguyễn Khải Thuận</v>
          </cell>
          <cell r="F282" t="str">
            <v>10/04/1983</v>
          </cell>
          <cell r="G282">
            <v>30416</v>
          </cell>
          <cell r="H282" t="str">
            <v>10/04/2040</v>
          </cell>
          <cell r="I282">
            <v>51236</v>
          </cell>
          <cell r="J282">
            <v>51257</v>
          </cell>
        </row>
        <row r="283">
          <cell r="E283" t="str">
            <v>Trương Hồng Hà</v>
          </cell>
          <cell r="F283" t="str">
            <v>02/06/1976</v>
          </cell>
          <cell r="G283">
            <v>27913</v>
          </cell>
          <cell r="H283" t="str">
            <v>02/06/2033</v>
          </cell>
          <cell r="I283">
            <v>48732</v>
          </cell>
          <cell r="J283">
            <v>48761</v>
          </cell>
        </row>
        <row r="284">
          <cell r="E284" t="str">
            <v>Nguyễn Thu Thanh</v>
          </cell>
          <cell r="F284" t="str">
            <v>15/12/1981</v>
          </cell>
          <cell r="G284">
            <v>29935</v>
          </cell>
          <cell r="H284">
            <v>50041</v>
          </cell>
          <cell r="I284">
            <v>50024</v>
          </cell>
          <cell r="J284">
            <v>50041</v>
          </cell>
        </row>
        <row r="285">
          <cell r="E285" t="str">
            <v>Nguyễn Kim Tuấn</v>
          </cell>
          <cell r="F285" t="str">
            <v>10/10/1972</v>
          </cell>
          <cell r="G285">
            <v>26582</v>
          </cell>
          <cell r="H285">
            <v>47423</v>
          </cell>
          <cell r="I285">
            <v>47401</v>
          </cell>
          <cell r="J285">
            <v>47423</v>
          </cell>
        </row>
        <row r="286">
          <cell r="E286" t="str">
            <v>Đoàn Ngọc Phước</v>
          </cell>
          <cell r="F286" t="str">
            <v>14/04/1980</v>
          </cell>
          <cell r="G286">
            <v>29325</v>
          </cell>
          <cell r="H286" t="str">
            <v>14/04/2037</v>
          </cell>
          <cell r="I286">
            <v>50144</v>
          </cell>
          <cell r="J286">
            <v>50161</v>
          </cell>
        </row>
        <row r="287">
          <cell r="E287" t="str">
            <v>Huỳnh Ngọc Huy</v>
          </cell>
          <cell r="F287" t="str">
            <v>19/10/1981</v>
          </cell>
          <cell r="G287">
            <v>29878</v>
          </cell>
          <cell r="H287" t="str">
            <v>19/10/2038</v>
          </cell>
          <cell r="I287">
            <v>50697</v>
          </cell>
          <cell r="J287">
            <v>50710</v>
          </cell>
        </row>
        <row r="288">
          <cell r="E288" t="str">
            <v>Nguyễn Văn Nhì</v>
          </cell>
          <cell r="F288" t="str">
            <v>01/10/1987</v>
          </cell>
          <cell r="G288">
            <v>32051</v>
          </cell>
          <cell r="H288" t="str">
            <v>01/10/2044</v>
          </cell>
          <cell r="I288">
            <v>52871</v>
          </cell>
          <cell r="J288">
            <v>52902</v>
          </cell>
        </row>
        <row r="289">
          <cell r="E289" t="str">
            <v>Võ Ngọc Tùng</v>
          </cell>
          <cell r="F289" t="str">
            <v>02/01/1975</v>
          </cell>
          <cell r="G289">
            <v>27396</v>
          </cell>
          <cell r="H289" t="str">
            <v>02/01/2032</v>
          </cell>
          <cell r="I289">
            <v>48215</v>
          </cell>
          <cell r="J289">
            <v>48245</v>
          </cell>
        </row>
        <row r="290">
          <cell r="E290" t="str">
            <v>Hồ Thị Kiều Vy</v>
          </cell>
          <cell r="F290" t="str">
            <v>04/04/1986</v>
          </cell>
          <cell r="G290">
            <v>31506</v>
          </cell>
          <cell r="H290">
            <v>51622</v>
          </cell>
          <cell r="I290">
            <v>51595</v>
          </cell>
          <cell r="J290">
            <v>51622</v>
          </cell>
        </row>
        <row r="291">
          <cell r="E291" t="str">
            <v>Phạm Thị Hường</v>
          </cell>
          <cell r="F291" t="str">
            <v>20/06/1984</v>
          </cell>
          <cell r="G291">
            <v>30853</v>
          </cell>
          <cell r="H291">
            <v>50952</v>
          </cell>
          <cell r="I291">
            <v>50941</v>
          </cell>
          <cell r="J291">
            <v>50952</v>
          </cell>
        </row>
        <row r="292">
          <cell r="E292" t="str">
            <v>Đinh Văn Phước</v>
          </cell>
          <cell r="F292" t="str">
            <v>23/08/1968</v>
          </cell>
          <cell r="G292">
            <v>25073</v>
          </cell>
          <cell r="H292">
            <v>45536</v>
          </cell>
          <cell r="I292">
            <v>45527</v>
          </cell>
          <cell r="J292">
            <v>45536</v>
          </cell>
        </row>
        <row r="293">
          <cell r="E293" t="str">
            <v>Nguyễn Đức Vũ</v>
          </cell>
          <cell r="F293" t="str">
            <v>16/03/1985</v>
          </cell>
          <cell r="G293">
            <v>31122</v>
          </cell>
          <cell r="H293" t="str">
            <v>16/03/2042</v>
          </cell>
          <cell r="I293">
            <v>51941</v>
          </cell>
          <cell r="J293">
            <v>51957</v>
          </cell>
        </row>
        <row r="294">
          <cell r="E294" t="str">
            <v>Bùi Nguyễn Trúc Linh</v>
          </cell>
          <cell r="F294" t="str">
            <v>01/01/1978</v>
          </cell>
          <cell r="G294">
            <v>28491</v>
          </cell>
          <cell r="H294">
            <v>48122</v>
          </cell>
          <cell r="I294">
            <v>48092</v>
          </cell>
          <cell r="J294">
            <v>48122</v>
          </cell>
        </row>
        <row r="295">
          <cell r="E295" t="str">
            <v>Cao Hòa Thanh</v>
          </cell>
          <cell r="F295" t="str">
            <v>02/05/1987</v>
          </cell>
          <cell r="G295">
            <v>31899</v>
          </cell>
          <cell r="H295" t="str">
            <v>02/05/2044</v>
          </cell>
          <cell r="I295">
            <v>52719</v>
          </cell>
          <cell r="J295">
            <v>52749</v>
          </cell>
        </row>
        <row r="296">
          <cell r="E296" t="str">
            <v>Lê Thị Ngọc Mai</v>
          </cell>
          <cell r="F296" t="str">
            <v>21/10/1986</v>
          </cell>
          <cell r="G296">
            <v>31706</v>
          </cell>
          <cell r="H296">
            <v>51806</v>
          </cell>
          <cell r="I296">
            <v>51795</v>
          </cell>
          <cell r="J296">
            <v>51806</v>
          </cell>
        </row>
        <row r="297">
          <cell r="E297" t="str">
            <v>Lê Thị Mộng Thu</v>
          </cell>
          <cell r="F297" t="str">
            <v>01/07/1983</v>
          </cell>
          <cell r="G297">
            <v>30498</v>
          </cell>
          <cell r="H297">
            <v>50618</v>
          </cell>
          <cell r="I297">
            <v>50587</v>
          </cell>
          <cell r="J297">
            <v>50618</v>
          </cell>
        </row>
        <row r="298">
          <cell r="E298" t="str">
            <v>Nguyễn Huỳnh Hữu Hậu</v>
          </cell>
          <cell r="F298" t="str">
            <v>22/11/1972</v>
          </cell>
          <cell r="G298">
            <v>26625</v>
          </cell>
          <cell r="H298">
            <v>47453</v>
          </cell>
          <cell r="I298">
            <v>47444</v>
          </cell>
          <cell r="J298">
            <v>47453</v>
          </cell>
        </row>
        <row r="299">
          <cell r="E299" t="str">
            <v>Nguyễn Trọng Bảy</v>
          </cell>
          <cell r="F299" t="str">
            <v>19/05/1973</v>
          </cell>
          <cell r="G299">
            <v>26803</v>
          </cell>
          <cell r="H299">
            <v>47635</v>
          </cell>
          <cell r="I299">
            <v>47622</v>
          </cell>
          <cell r="J299">
            <v>47635</v>
          </cell>
        </row>
        <row r="300">
          <cell r="E300" t="str">
            <v>Võ Văn Vận</v>
          </cell>
          <cell r="F300" t="str">
            <v>10/11/1986</v>
          </cell>
          <cell r="G300">
            <v>31726</v>
          </cell>
          <cell r="H300" t="str">
            <v>10/11/2043</v>
          </cell>
          <cell r="I300">
            <v>52545</v>
          </cell>
          <cell r="J300">
            <v>52566</v>
          </cell>
        </row>
        <row r="301">
          <cell r="E301" t="str">
            <v>Nguyễn Văn Hoàng</v>
          </cell>
          <cell r="F301" t="str">
            <v>01/08/1992</v>
          </cell>
          <cell r="G301">
            <v>33817</v>
          </cell>
          <cell r="H301" t="str">
            <v>01/08/2049</v>
          </cell>
          <cell r="I301">
            <v>54636</v>
          </cell>
          <cell r="J301">
            <v>54667</v>
          </cell>
        </row>
        <row r="302">
          <cell r="E302" t="str">
            <v>Nguyễn Trọng Vương</v>
          </cell>
          <cell r="F302" t="str">
            <v>07/03/1984</v>
          </cell>
          <cell r="G302">
            <v>30748</v>
          </cell>
          <cell r="H302" t="str">
            <v>07/03/2041</v>
          </cell>
          <cell r="I302">
            <v>51567</v>
          </cell>
          <cell r="J302">
            <v>51592</v>
          </cell>
        </row>
        <row r="303">
          <cell r="E303" t="str">
            <v>Nguyễn Cao Cường</v>
          </cell>
          <cell r="F303" t="str">
            <v>26/09/1987</v>
          </cell>
          <cell r="G303">
            <v>32046</v>
          </cell>
          <cell r="H303" t="str">
            <v>26/09/2044</v>
          </cell>
          <cell r="I303">
            <v>52866</v>
          </cell>
          <cell r="J303">
            <v>52871</v>
          </cell>
        </row>
        <row r="304">
          <cell r="E304" t="str">
            <v>Võ Thiện Toàn</v>
          </cell>
          <cell r="F304" t="str">
            <v>06/04/1993</v>
          </cell>
          <cell r="G304">
            <v>34065</v>
          </cell>
          <cell r="H304" t="str">
            <v>06/04/2050</v>
          </cell>
          <cell r="I304">
            <v>54884</v>
          </cell>
          <cell r="J304">
            <v>54909</v>
          </cell>
        </row>
        <row r="305">
          <cell r="E305" t="str">
            <v>Đặng Nhật Đoàn</v>
          </cell>
          <cell r="F305" t="str">
            <v>20/03/1994</v>
          </cell>
          <cell r="G305">
            <v>34413</v>
          </cell>
          <cell r="H305" t="str">
            <v>20/03/2051</v>
          </cell>
          <cell r="I305">
            <v>55232</v>
          </cell>
          <cell r="J305">
            <v>55244</v>
          </cell>
        </row>
        <row r="306">
          <cell r="E306" t="str">
            <v>Huỳnh Phi Hoàng</v>
          </cell>
          <cell r="F306" t="str">
            <v>05/03/1990</v>
          </cell>
          <cell r="G306">
            <v>32937</v>
          </cell>
          <cell r="I306">
            <v>53756</v>
          </cell>
          <cell r="J306">
            <v>53783</v>
          </cell>
        </row>
        <row r="307">
          <cell r="E307" t="str">
            <v>Phạm Thế Mỹ</v>
          </cell>
          <cell r="F307" t="str">
            <v>30/12/1989</v>
          </cell>
          <cell r="G307">
            <v>32872</v>
          </cell>
          <cell r="H307" t="str">
            <v>30/12/2046</v>
          </cell>
          <cell r="I307">
            <v>53691</v>
          </cell>
          <cell r="J307">
            <v>53693</v>
          </cell>
        </row>
        <row r="308">
          <cell r="E308" t="str">
            <v>Nguyễn Hồng Diệp</v>
          </cell>
          <cell r="F308" t="str">
            <v>08/05/2000</v>
          </cell>
          <cell r="G308">
            <v>36654</v>
          </cell>
        </row>
        <row r="309">
          <cell r="E309" t="str">
            <v>Nguyễn Lê Hải Long</v>
          </cell>
          <cell r="F309" t="str">
            <v>18/01/1995</v>
          </cell>
          <cell r="G309">
            <v>34717</v>
          </cell>
        </row>
        <row r="310">
          <cell r="E310" t="str">
            <v>Phạm Minh Thơ</v>
          </cell>
          <cell r="F310" t="str">
            <v>02/05/1970</v>
          </cell>
          <cell r="G310">
            <v>25690</v>
          </cell>
          <cell r="H310">
            <v>46357</v>
          </cell>
          <cell r="I310">
            <v>46328</v>
          </cell>
          <cell r="J310">
            <v>46357</v>
          </cell>
        </row>
        <row r="311">
          <cell r="E311" t="str">
            <v>Nguyễn Thành Niên</v>
          </cell>
          <cell r="F311" t="str">
            <v>11/06/1973</v>
          </cell>
          <cell r="G311">
            <v>26826</v>
          </cell>
          <cell r="H311">
            <v>47665</v>
          </cell>
          <cell r="I311">
            <v>47645</v>
          </cell>
          <cell r="J311">
            <v>47665</v>
          </cell>
        </row>
        <row r="312">
          <cell r="E312" t="str">
            <v>Võ Thanh Đồng</v>
          </cell>
          <cell r="F312" t="str">
            <v>01/02/1971</v>
          </cell>
          <cell r="G312">
            <v>25965</v>
          </cell>
          <cell r="H312">
            <v>46722</v>
          </cell>
          <cell r="I312">
            <v>46692</v>
          </cell>
          <cell r="J312">
            <v>46722</v>
          </cell>
        </row>
        <row r="313">
          <cell r="E313" t="str">
            <v>Võ Quang Thịnh</v>
          </cell>
          <cell r="F313" t="str">
            <v>02/10/1970</v>
          </cell>
          <cell r="G313">
            <v>25843</v>
          </cell>
          <cell r="H313">
            <v>46600</v>
          </cell>
          <cell r="I313">
            <v>46570</v>
          </cell>
          <cell r="J313">
            <v>46600</v>
          </cell>
        </row>
        <row r="314">
          <cell r="E314" t="str">
            <v>Nguyễn Xuân Quang</v>
          </cell>
          <cell r="F314" t="str">
            <v>22/01/1991</v>
          </cell>
          <cell r="G314">
            <v>33260</v>
          </cell>
          <cell r="H314" t="str">
            <v>22/01/2048</v>
          </cell>
          <cell r="I314">
            <v>54079</v>
          </cell>
          <cell r="J314">
            <v>54089</v>
          </cell>
        </row>
        <row r="315">
          <cell r="E315" t="str">
            <v>Lương Công Tín</v>
          </cell>
          <cell r="F315" t="str">
            <v>03/03/1994</v>
          </cell>
          <cell r="G315">
            <v>34396</v>
          </cell>
          <cell r="H315" t="str">
            <v>03/03/2051</v>
          </cell>
          <cell r="I315">
            <v>55215</v>
          </cell>
          <cell r="J315">
            <v>55244</v>
          </cell>
        </row>
        <row r="316">
          <cell r="E316" t="str">
            <v>Nguyễn Thanh Trí</v>
          </cell>
          <cell r="F316" t="str">
            <v>07/07/1970</v>
          </cell>
          <cell r="G316">
            <v>25756</v>
          </cell>
          <cell r="H316">
            <v>46508</v>
          </cell>
          <cell r="I316">
            <v>46484</v>
          </cell>
          <cell r="J316">
            <v>46508</v>
          </cell>
        </row>
        <row r="317">
          <cell r="E317" t="str">
            <v>Nguyễn Quốc Trung</v>
          </cell>
          <cell r="F317" t="str">
            <v>27/10/1994</v>
          </cell>
          <cell r="G317">
            <v>34634</v>
          </cell>
          <cell r="H317" t="str">
            <v>27/10/2051</v>
          </cell>
          <cell r="I317">
            <v>55453</v>
          </cell>
          <cell r="J317">
            <v>55458</v>
          </cell>
        </row>
        <row r="318">
          <cell r="E318" t="str">
            <v>Huỳnh Anh Quốc</v>
          </cell>
          <cell r="F318" t="str">
            <v>22/04/1996</v>
          </cell>
          <cell r="G318">
            <v>35177</v>
          </cell>
          <cell r="H318" t="str">
            <v>22/04/2053</v>
          </cell>
          <cell r="I318">
            <v>55996</v>
          </cell>
          <cell r="J318">
            <v>56005</v>
          </cell>
        </row>
        <row r="319">
          <cell r="E319" t="str">
            <v>Nguyễn Đình Sửu</v>
          </cell>
          <cell r="F319" t="str">
            <v>10/02/2003</v>
          </cell>
          <cell r="G319">
            <v>37662</v>
          </cell>
        </row>
        <row r="320">
          <cell r="E320" t="str">
            <v>Nguyễn Phong Huỳnh</v>
          </cell>
          <cell r="F320" t="str">
            <v>26/12/1991</v>
          </cell>
          <cell r="G320">
            <v>33598</v>
          </cell>
          <cell r="I320">
            <v>54418</v>
          </cell>
          <cell r="J320">
            <v>54424</v>
          </cell>
        </row>
        <row r="321">
          <cell r="E321" t="str">
            <v>Lương Công Minh</v>
          </cell>
          <cell r="F321" t="str">
            <v>09/09/1992</v>
          </cell>
          <cell r="G321" t="str">
            <v>09/09/1992</v>
          </cell>
          <cell r="I321">
            <v>54675</v>
          </cell>
          <cell r="J321">
            <v>54697</v>
          </cell>
        </row>
        <row r="322">
          <cell r="E322" t="str">
            <v>Lê Trung Thắng</v>
          </cell>
          <cell r="F322" t="str">
            <v>30/08/1976</v>
          </cell>
          <cell r="G322">
            <v>28002</v>
          </cell>
          <cell r="H322" t="str">
            <v>30/08/2033</v>
          </cell>
          <cell r="I322">
            <v>48821</v>
          </cell>
          <cell r="J322">
            <v>48823</v>
          </cell>
        </row>
        <row r="323">
          <cell r="E323" t="str">
            <v>Nguyễn Công Sơn</v>
          </cell>
          <cell r="F323" t="str">
            <v>10/12/1977</v>
          </cell>
          <cell r="G323">
            <v>28469</v>
          </cell>
          <cell r="H323" t="str">
            <v>10/12/2034</v>
          </cell>
          <cell r="I323">
            <v>49288</v>
          </cell>
          <cell r="J323">
            <v>49310</v>
          </cell>
        </row>
        <row r="324">
          <cell r="E324" t="str">
            <v>Nguyễn Văn Tươi</v>
          </cell>
          <cell r="F324" t="str">
            <v>29/01/1979</v>
          </cell>
          <cell r="G324">
            <v>28884</v>
          </cell>
          <cell r="H324" t="str">
            <v>29/01/2036</v>
          </cell>
          <cell r="I324">
            <v>49703</v>
          </cell>
          <cell r="J324">
            <v>49706</v>
          </cell>
        </row>
        <row r="325">
          <cell r="E325" t="str">
            <v>Nguyễn Hà Kim Long</v>
          </cell>
          <cell r="F325" t="str">
            <v>23/01/1989</v>
          </cell>
          <cell r="G325">
            <v>32531</v>
          </cell>
          <cell r="H325" t="str">
            <v>23/01/2046</v>
          </cell>
          <cell r="I325">
            <v>53350</v>
          </cell>
          <cell r="J325">
            <v>53359</v>
          </cell>
        </row>
        <row r="326">
          <cell r="E326" t="str">
            <v>Nguyễn Vĩnh Phúc</v>
          </cell>
          <cell r="F326" t="str">
            <v>12/04/1989</v>
          </cell>
          <cell r="G326">
            <v>32610</v>
          </cell>
          <cell r="H326" t="str">
            <v>12/04/2046</v>
          </cell>
          <cell r="I326">
            <v>53429</v>
          </cell>
          <cell r="J326">
            <v>53448</v>
          </cell>
        </row>
        <row r="327">
          <cell r="E327" t="str">
            <v>Huỳnh Phát Đạt</v>
          </cell>
          <cell r="F327" t="str">
            <v>13/11/1986</v>
          </cell>
          <cell r="G327">
            <v>31729</v>
          </cell>
          <cell r="H327" t="str">
            <v>13/11/2043</v>
          </cell>
          <cell r="I327">
            <v>52548</v>
          </cell>
          <cell r="J327">
            <v>52566</v>
          </cell>
        </row>
        <row r="328">
          <cell r="E328" t="str">
            <v>Nguyễn Văn Bình</v>
          </cell>
          <cell r="F328" t="str">
            <v>07/10/1979</v>
          </cell>
          <cell r="G328">
            <v>29135</v>
          </cell>
          <cell r="H328" t="str">
            <v>07/10/2036</v>
          </cell>
          <cell r="I328">
            <v>49955</v>
          </cell>
          <cell r="J328">
            <v>49980</v>
          </cell>
        </row>
        <row r="329">
          <cell r="E329" t="str">
            <v>Lê Duy Hiệp</v>
          </cell>
          <cell r="F329" t="str">
            <v>23/08/1997</v>
          </cell>
          <cell r="G329">
            <v>35665</v>
          </cell>
        </row>
        <row r="330">
          <cell r="E330" t="str">
            <v>Nguyễn Quốc Dũng</v>
          </cell>
          <cell r="F330" t="str">
            <v>15/02/1997</v>
          </cell>
          <cell r="G330">
            <v>35476</v>
          </cell>
        </row>
        <row r="331">
          <cell r="E331" t="str">
            <v>Nguyễn Tấn Thịnh</v>
          </cell>
          <cell r="F331" t="str">
            <v>08/11/2000</v>
          </cell>
          <cell r="G331">
            <v>36838</v>
          </cell>
        </row>
        <row r="332">
          <cell r="E332" t="str">
            <v>Lê Hoàng Anh</v>
          </cell>
          <cell r="F332" t="str">
            <v>26/11/1976</v>
          </cell>
          <cell r="G332">
            <v>28090</v>
          </cell>
          <cell r="H332" t="str">
            <v>26/11/2033</v>
          </cell>
          <cell r="I332">
            <v>48909</v>
          </cell>
          <cell r="J332">
            <v>48914</v>
          </cell>
        </row>
        <row r="333">
          <cell r="E333" t="str">
            <v>Đinh Văn Thanh</v>
          </cell>
          <cell r="F333" t="str">
            <v>13/10/1975</v>
          </cell>
          <cell r="G333">
            <v>27680</v>
          </cell>
          <cell r="H333" t="str">
            <v>13/10/2032</v>
          </cell>
          <cell r="I333">
            <v>48500</v>
          </cell>
          <cell r="J333">
            <v>48519</v>
          </cell>
        </row>
        <row r="334">
          <cell r="E334" t="str">
            <v>Trần Đình Phi</v>
          </cell>
          <cell r="F334" t="str">
            <v>20/02/1978</v>
          </cell>
          <cell r="G334">
            <v>28541</v>
          </cell>
          <cell r="H334" t="str">
            <v>20/02/2035</v>
          </cell>
          <cell r="I334">
            <v>49360</v>
          </cell>
          <cell r="J334">
            <v>49369</v>
          </cell>
        </row>
        <row r="335">
          <cell r="E335" t="str">
            <v>Nguyễn Công Sanh</v>
          </cell>
          <cell r="F335" t="str">
            <v>22/11/1973</v>
          </cell>
          <cell r="G335">
            <v>26990</v>
          </cell>
          <cell r="H335">
            <v>47818</v>
          </cell>
          <cell r="I335">
            <v>47809</v>
          </cell>
          <cell r="J335">
            <v>47818</v>
          </cell>
        </row>
        <row r="336">
          <cell r="E336" t="str">
            <v>Nguyễn Thanh Nhân</v>
          </cell>
          <cell r="F336" t="str">
            <v>20/10/1991</v>
          </cell>
          <cell r="G336">
            <v>33531</v>
          </cell>
          <cell r="H336" t="str">
            <v>20/10/2048</v>
          </cell>
          <cell r="I336">
            <v>54351</v>
          </cell>
          <cell r="J336">
            <v>54363</v>
          </cell>
        </row>
        <row r="337">
          <cell r="E337" t="str">
            <v>Trần Văn Đức</v>
          </cell>
          <cell r="F337" t="str">
            <v>18/09/1988</v>
          </cell>
          <cell r="G337">
            <v>32404</v>
          </cell>
          <cell r="H337" t="str">
            <v>18/09/2045</v>
          </cell>
          <cell r="I337">
            <v>53223</v>
          </cell>
          <cell r="J337">
            <v>53236</v>
          </cell>
        </row>
        <row r="338">
          <cell r="E338" t="str">
            <v>Trần Quốc Dũng</v>
          </cell>
          <cell r="F338" t="str">
            <v>31/07/1994</v>
          </cell>
          <cell r="G338">
            <v>34546</v>
          </cell>
          <cell r="H338" t="str">
            <v>31/07/2051</v>
          </cell>
          <cell r="I338">
            <v>55365</v>
          </cell>
          <cell r="J338">
            <v>55366</v>
          </cell>
        </row>
        <row r="339">
          <cell r="E339" t="str">
            <v>Nguyễn Ngọc Tiến</v>
          </cell>
          <cell r="F339" t="str">
            <v>14/01/1996</v>
          </cell>
          <cell r="G339">
            <v>35078</v>
          </cell>
          <cell r="H339" t="str">
            <v>14/01/2053</v>
          </cell>
          <cell r="I339">
            <v>55898</v>
          </cell>
          <cell r="J339">
            <v>55916</v>
          </cell>
        </row>
        <row r="340">
          <cell r="E340" t="str">
            <v>Biện Huỳnh Vi Tính</v>
          </cell>
          <cell r="F340" t="str">
            <v>10/12/1994</v>
          </cell>
          <cell r="G340">
            <v>34678</v>
          </cell>
          <cell r="H340" t="str">
            <v>10/12/2051</v>
          </cell>
          <cell r="I340">
            <v>55497</v>
          </cell>
          <cell r="J340">
            <v>55519</v>
          </cell>
        </row>
        <row r="341">
          <cell r="E341" t="str">
            <v>Trần Xuân Dậu</v>
          </cell>
          <cell r="F341" t="str">
            <v>03/04/1994</v>
          </cell>
          <cell r="G341">
            <v>34427</v>
          </cell>
          <cell r="H341" t="str">
            <v>03/04/2051</v>
          </cell>
          <cell r="I341">
            <v>55246</v>
          </cell>
          <cell r="J341">
            <v>55274</v>
          </cell>
        </row>
        <row r="342">
          <cell r="E342" t="str">
            <v>Dương Tấn Bảo</v>
          </cell>
          <cell r="F342" t="str">
            <v>20/02/1986</v>
          </cell>
          <cell r="G342">
            <v>31463</v>
          </cell>
          <cell r="H342" t="str">
            <v>20/02/2043</v>
          </cell>
          <cell r="I342">
            <v>52282</v>
          </cell>
          <cell r="J342">
            <v>52291</v>
          </cell>
        </row>
        <row r="343">
          <cell r="E343" t="str">
            <v>Trần Hoàng Phúc</v>
          </cell>
          <cell r="F343" t="str">
            <v>20/06/1994</v>
          </cell>
          <cell r="G343">
            <v>34505</v>
          </cell>
          <cell r="I343">
            <v>55324</v>
          </cell>
          <cell r="J343">
            <v>55335</v>
          </cell>
        </row>
        <row r="344">
          <cell r="E344" t="str">
            <v>Lê Thành Khoan</v>
          </cell>
          <cell r="F344" t="str">
            <v>23/03/1993</v>
          </cell>
          <cell r="G344">
            <v>34051</v>
          </cell>
        </row>
        <row r="345">
          <cell r="E345" t="str">
            <v>Dương Tấn Quang</v>
          </cell>
          <cell r="F345" t="str">
            <v>18/07/1994</v>
          </cell>
          <cell r="G345">
            <v>34533</v>
          </cell>
        </row>
        <row r="346">
          <cell r="E346" t="str">
            <v>Nguyễn Hữu Tín</v>
          </cell>
          <cell r="F346" t="str">
            <v>02/01/1969</v>
          </cell>
          <cell r="G346">
            <v>25205</v>
          </cell>
          <cell r="H346">
            <v>45778</v>
          </cell>
          <cell r="I346">
            <v>45749</v>
          </cell>
          <cell r="J346">
            <v>45778</v>
          </cell>
        </row>
        <row r="347">
          <cell r="E347" t="str">
            <v>Đinh Kim Hùng</v>
          </cell>
          <cell r="F347" t="str">
            <v>28/12/1974</v>
          </cell>
          <cell r="G347">
            <v>27391</v>
          </cell>
          <cell r="H347" t="str">
            <v>28/12/2031</v>
          </cell>
          <cell r="I347">
            <v>48210</v>
          </cell>
          <cell r="J347">
            <v>48214</v>
          </cell>
        </row>
        <row r="348">
          <cell r="E348" t="str">
            <v>Nguyễn Anh Tú</v>
          </cell>
          <cell r="F348" t="str">
            <v>20/06/1987</v>
          </cell>
          <cell r="G348">
            <v>31948</v>
          </cell>
          <cell r="H348" t="str">
            <v>20/06/2044</v>
          </cell>
          <cell r="I348">
            <v>52768</v>
          </cell>
          <cell r="J348">
            <v>52779</v>
          </cell>
        </row>
        <row r="349">
          <cell r="E349" t="str">
            <v>Mai Văn Thống</v>
          </cell>
          <cell r="F349" t="str">
            <v>20/02/1991</v>
          </cell>
          <cell r="G349">
            <v>33289</v>
          </cell>
          <cell r="H349" t="str">
            <v>20/02/2048</v>
          </cell>
          <cell r="I349">
            <v>54108</v>
          </cell>
          <cell r="J349">
            <v>54118</v>
          </cell>
        </row>
        <row r="350">
          <cell r="E350" t="str">
            <v>Vương Tứ Hậu</v>
          </cell>
          <cell r="F350" t="str">
            <v>01/01/1994</v>
          </cell>
          <cell r="G350">
            <v>34335</v>
          </cell>
          <cell r="H350" t="str">
            <v>01/01/2051</v>
          </cell>
          <cell r="I350">
            <v>55154</v>
          </cell>
          <cell r="J350">
            <v>55185</v>
          </cell>
        </row>
        <row r="351">
          <cell r="E351" t="str">
            <v>Trần Đức Hoàng</v>
          </cell>
          <cell r="F351" t="str">
            <v>09/08/1995</v>
          </cell>
          <cell r="G351">
            <v>34920</v>
          </cell>
          <cell r="H351" t="str">
            <v>09/08/2052</v>
          </cell>
          <cell r="I351">
            <v>55740</v>
          </cell>
          <cell r="J351">
            <v>55763</v>
          </cell>
        </row>
        <row r="352">
          <cell r="E352" t="str">
            <v>Lê Hồng Vinh</v>
          </cell>
          <cell r="F352" t="str">
            <v>15/03/1994</v>
          </cell>
          <cell r="G352">
            <v>34408</v>
          </cell>
          <cell r="H352" t="str">
            <v>15/03/2051</v>
          </cell>
          <cell r="I352">
            <v>55227</v>
          </cell>
          <cell r="J352">
            <v>55244</v>
          </cell>
        </row>
        <row r="353">
          <cell r="E353" t="str">
            <v>Võ Trung Nghĩa</v>
          </cell>
          <cell r="F353" t="str">
            <v>21/11/1993</v>
          </cell>
          <cell r="G353">
            <v>34294</v>
          </cell>
          <cell r="H353" t="str">
            <v>21/11/2050</v>
          </cell>
          <cell r="I353">
            <v>55113</v>
          </cell>
          <cell r="J353">
            <v>55123</v>
          </cell>
        </row>
        <row r="354">
          <cell r="E354" t="str">
            <v>Trần Hoàng Khuê</v>
          </cell>
          <cell r="F354" t="str">
            <v>10/04/1993</v>
          </cell>
          <cell r="G354">
            <v>34069</v>
          </cell>
          <cell r="H354" t="str">
            <v>10/04/2050</v>
          </cell>
          <cell r="I354">
            <v>54888</v>
          </cell>
          <cell r="J354">
            <v>54909</v>
          </cell>
        </row>
        <row r="355">
          <cell r="E355" t="str">
            <v>Nguyễn Thanh Tuấn</v>
          </cell>
          <cell r="F355" t="str">
            <v>15/10/1993</v>
          </cell>
          <cell r="G355">
            <v>34257</v>
          </cell>
          <cell r="H355" t="str">
            <v>15/10/2050</v>
          </cell>
          <cell r="I355">
            <v>55076</v>
          </cell>
          <cell r="J355">
            <v>55093</v>
          </cell>
        </row>
        <row r="356">
          <cell r="E356" t="str">
            <v>Huỳnh Văn Phúc</v>
          </cell>
          <cell r="F356" t="str">
            <v>10/12/1995</v>
          </cell>
          <cell r="G356">
            <v>35043</v>
          </cell>
        </row>
        <row r="357">
          <cell r="E357" t="str">
            <v>Ngô Thái Long</v>
          </cell>
          <cell r="F357" t="str">
            <v>13/05/1998</v>
          </cell>
          <cell r="G357">
            <v>35928</v>
          </cell>
        </row>
        <row r="358">
          <cell r="E358" t="str">
            <v>Đinh Ngọc Tiên</v>
          </cell>
          <cell r="F358" t="str">
            <v>26/02/1990</v>
          </cell>
          <cell r="G358">
            <v>32930</v>
          </cell>
          <cell r="H358" t="str">
            <v>26/02/2047</v>
          </cell>
          <cell r="I358">
            <v>53749</v>
          </cell>
          <cell r="J358">
            <v>53752</v>
          </cell>
        </row>
        <row r="359">
          <cell r="E359" t="str">
            <v>Nguyễn Ngọc Quang</v>
          </cell>
          <cell r="F359" t="str">
            <v>23/12/1972</v>
          </cell>
          <cell r="G359">
            <v>26656</v>
          </cell>
          <cell r="H359">
            <v>47484</v>
          </cell>
          <cell r="I359">
            <v>47475</v>
          </cell>
          <cell r="J359">
            <v>47484</v>
          </cell>
        </row>
        <row r="360">
          <cell r="E360" t="str">
            <v>Bùi Hữu Cư</v>
          </cell>
          <cell r="F360" t="str">
            <v>20/10/1967</v>
          </cell>
          <cell r="G360">
            <v>24765</v>
          </cell>
          <cell r="H360">
            <v>45139</v>
          </cell>
          <cell r="I360">
            <v>45127</v>
          </cell>
          <cell r="J360">
            <v>45139</v>
          </cell>
        </row>
        <row r="361">
          <cell r="E361" t="str">
            <v>Lê Hoài Vũ</v>
          </cell>
          <cell r="F361" t="str">
            <v>17/05/1977</v>
          </cell>
          <cell r="G361">
            <v>28262</v>
          </cell>
          <cell r="H361" t="str">
            <v>17/05/2034</v>
          </cell>
          <cell r="I361">
            <v>49081</v>
          </cell>
          <cell r="J361">
            <v>49096</v>
          </cell>
        </row>
        <row r="362">
          <cell r="E362" t="str">
            <v>Phạm Văn Đăng</v>
          </cell>
          <cell r="F362" t="str">
            <v>10/03/1970</v>
          </cell>
          <cell r="G362">
            <v>25637</v>
          </cell>
          <cell r="H362">
            <v>46296</v>
          </cell>
          <cell r="I362">
            <v>46275</v>
          </cell>
          <cell r="J362">
            <v>46296</v>
          </cell>
        </row>
        <row r="363">
          <cell r="E363" t="str">
            <v>Dương Tuấn Mỹ</v>
          </cell>
          <cell r="F363" t="str">
            <v>10/09/1988</v>
          </cell>
          <cell r="G363">
            <v>32396</v>
          </cell>
          <cell r="H363" t="str">
            <v>10/09/2045</v>
          </cell>
          <cell r="I363">
            <v>53215</v>
          </cell>
          <cell r="J363">
            <v>53236</v>
          </cell>
        </row>
        <row r="364">
          <cell r="E364" t="str">
            <v>Ngô Quang Khởi</v>
          </cell>
          <cell r="F364" t="str">
            <v>25/11/1994</v>
          </cell>
          <cell r="G364">
            <v>34663</v>
          </cell>
          <cell r="H364" t="str">
            <v>25/11/2051</v>
          </cell>
          <cell r="I364">
            <v>55482</v>
          </cell>
          <cell r="J364">
            <v>55488</v>
          </cell>
        </row>
        <row r="365">
          <cell r="E365" t="str">
            <v>Tô Việt Thông</v>
          </cell>
          <cell r="F365" t="str">
            <v>15/01/1987</v>
          </cell>
          <cell r="G365">
            <v>31792</v>
          </cell>
          <cell r="H365" t="str">
            <v>15/01/2044</v>
          </cell>
          <cell r="I365">
            <v>52611</v>
          </cell>
          <cell r="J365">
            <v>52628</v>
          </cell>
        </row>
        <row r="366">
          <cell r="E366" t="str">
            <v>Phạm Ngọc Tuyền</v>
          </cell>
          <cell r="F366" t="str">
            <v>20/03/1992</v>
          </cell>
          <cell r="G366">
            <v>33683</v>
          </cell>
          <cell r="H366" t="str">
            <v>20/03/2049</v>
          </cell>
          <cell r="I366">
            <v>54502</v>
          </cell>
          <cell r="J366">
            <v>54514</v>
          </cell>
        </row>
        <row r="367">
          <cell r="E367" t="str">
            <v>Nguyễn Xuân Anh</v>
          </cell>
          <cell r="F367" t="str">
            <v>19/07/1995</v>
          </cell>
          <cell r="G367">
            <v>34899</v>
          </cell>
          <cell r="H367" t="str">
            <v>19/07/2052</v>
          </cell>
          <cell r="I367">
            <v>55719</v>
          </cell>
          <cell r="J367">
            <v>55732</v>
          </cell>
        </row>
        <row r="368">
          <cell r="E368" t="str">
            <v>Phan Ngọc Cảnh</v>
          </cell>
          <cell r="F368" t="str">
            <v>16/03/1994</v>
          </cell>
          <cell r="G368">
            <v>34409</v>
          </cell>
          <cell r="I368">
            <v>55228</v>
          </cell>
          <cell r="J368">
            <v>55244</v>
          </cell>
        </row>
        <row r="369">
          <cell r="E369" t="str">
            <v>Nguyễn Hoàng Thông</v>
          </cell>
          <cell r="F369" t="str">
            <v>06/06/2002</v>
          </cell>
          <cell r="G369">
            <v>37413</v>
          </cell>
        </row>
        <row r="370">
          <cell r="E370" t="str">
            <v>Trần Đình Tụ</v>
          </cell>
          <cell r="F370" t="str">
            <v>11/08/1975</v>
          </cell>
          <cell r="G370">
            <v>27617</v>
          </cell>
          <cell r="H370" t="str">
            <v>11/08/2032</v>
          </cell>
          <cell r="I370">
            <v>48437</v>
          </cell>
          <cell r="J370">
            <v>48458</v>
          </cell>
        </row>
        <row r="371">
          <cell r="E371" t="str">
            <v>Trần Ngọc Mạnh</v>
          </cell>
          <cell r="F371" t="str">
            <v>01/10/1972</v>
          </cell>
          <cell r="G371">
            <v>26573</v>
          </cell>
          <cell r="H371">
            <v>47423</v>
          </cell>
          <cell r="I371">
            <v>47392</v>
          </cell>
          <cell r="J371">
            <v>47423</v>
          </cell>
        </row>
        <row r="372">
          <cell r="E372" t="str">
            <v>Đặng Ngọc Hùng</v>
          </cell>
          <cell r="F372" t="str">
            <v>12/11/1977</v>
          </cell>
          <cell r="G372">
            <v>28441</v>
          </cell>
          <cell r="H372" t="str">
            <v>12/11/2034</v>
          </cell>
          <cell r="I372">
            <v>49260</v>
          </cell>
          <cell r="J372">
            <v>49279</v>
          </cell>
        </row>
        <row r="373">
          <cell r="E373" t="str">
            <v>Nguyễn Văn Dương</v>
          </cell>
          <cell r="F373" t="str">
            <v>16/09/1969</v>
          </cell>
          <cell r="G373">
            <v>25462</v>
          </cell>
          <cell r="H373">
            <v>46023</v>
          </cell>
          <cell r="I373">
            <v>46007</v>
          </cell>
          <cell r="J373">
            <v>46023</v>
          </cell>
        </row>
        <row r="374">
          <cell r="E374" t="str">
            <v>Đặng Văn Long</v>
          </cell>
          <cell r="F374" t="str">
            <v>22/08/1970</v>
          </cell>
          <cell r="G374">
            <v>25802</v>
          </cell>
          <cell r="H374">
            <v>46539</v>
          </cell>
          <cell r="I374">
            <v>46529</v>
          </cell>
          <cell r="J374">
            <v>46539</v>
          </cell>
        </row>
        <row r="375">
          <cell r="E375" t="str">
            <v>Lê Nguyên Lộc</v>
          </cell>
          <cell r="F375" t="str">
            <v>23/09/1988</v>
          </cell>
          <cell r="G375">
            <v>32409</v>
          </cell>
          <cell r="H375" t="str">
            <v>23/09/2045</v>
          </cell>
          <cell r="I375">
            <v>53228</v>
          </cell>
          <cell r="J375">
            <v>53236</v>
          </cell>
        </row>
        <row r="376">
          <cell r="E376" t="str">
            <v>Nguyễn Thanh Phong</v>
          </cell>
          <cell r="F376" t="str">
            <v>12/11/1994</v>
          </cell>
          <cell r="G376">
            <v>34650</v>
          </cell>
          <cell r="H376" t="str">
            <v>12/11/2051</v>
          </cell>
          <cell r="I376">
            <v>55469</v>
          </cell>
          <cell r="J376">
            <v>55488</v>
          </cell>
        </row>
        <row r="377">
          <cell r="E377" t="str">
            <v>Nguyễn Đức Khoa</v>
          </cell>
          <cell r="F377" t="str">
            <v>01/06/1988</v>
          </cell>
          <cell r="G377">
            <v>32295</v>
          </cell>
          <cell r="H377" t="str">
            <v>01/06/2045</v>
          </cell>
          <cell r="I377">
            <v>53114</v>
          </cell>
          <cell r="J377">
            <v>53144</v>
          </cell>
        </row>
        <row r="378">
          <cell r="E378" t="str">
            <v>Huỳnh Tiên Tri</v>
          </cell>
          <cell r="F378" t="str">
            <v>15/12/1994</v>
          </cell>
          <cell r="G378">
            <v>34683</v>
          </cell>
          <cell r="H378" t="str">
            <v>15/12/2051</v>
          </cell>
          <cell r="I378">
            <v>55502</v>
          </cell>
          <cell r="J378">
            <v>55519</v>
          </cell>
        </row>
        <row r="379">
          <cell r="E379" t="str">
            <v>Dương Bình Thi</v>
          </cell>
          <cell r="F379" t="str">
            <v>27/03/1985</v>
          </cell>
          <cell r="G379">
            <v>31133</v>
          </cell>
          <cell r="H379" t="str">
            <v>27/03/2042</v>
          </cell>
          <cell r="I379">
            <v>51952</v>
          </cell>
          <cell r="J379">
            <v>51957</v>
          </cell>
        </row>
        <row r="380">
          <cell r="E380" t="str">
            <v>Lê Huy Tường</v>
          </cell>
          <cell r="F380" t="str">
            <v>24/07/1994</v>
          </cell>
          <cell r="G380">
            <v>34539</v>
          </cell>
          <cell r="H380" t="str">
            <v>24/07/2051</v>
          </cell>
          <cell r="I380">
            <v>55358</v>
          </cell>
          <cell r="J380">
            <v>55366</v>
          </cell>
        </row>
        <row r="381">
          <cell r="E381" t="str">
            <v>Nguyễn Đức Dũng</v>
          </cell>
          <cell r="F381" t="str">
            <v>04/02/1972</v>
          </cell>
          <cell r="G381">
            <v>26333</v>
          </cell>
          <cell r="H381">
            <v>47178</v>
          </cell>
          <cell r="I381">
            <v>47153</v>
          </cell>
          <cell r="J381">
            <v>47178</v>
          </cell>
        </row>
        <row r="382">
          <cell r="E382" t="str">
            <v>Dương Tùng Lâm</v>
          </cell>
          <cell r="F382" t="str">
            <v>17/07/1994</v>
          </cell>
          <cell r="G382">
            <v>34532</v>
          </cell>
          <cell r="H382" t="str">
            <v>17/07/2051</v>
          </cell>
          <cell r="I382">
            <v>55351</v>
          </cell>
          <cell r="J382">
            <v>55366</v>
          </cell>
        </row>
        <row r="383">
          <cell r="E383" t="str">
            <v>Phạm Hồng Sơn</v>
          </cell>
          <cell r="F383" t="str">
            <v>17/12/1969</v>
          </cell>
          <cell r="G383">
            <v>25554</v>
          </cell>
          <cell r="H383">
            <v>46204</v>
          </cell>
          <cell r="I383">
            <v>46190</v>
          </cell>
          <cell r="J383">
            <v>46204</v>
          </cell>
        </row>
        <row r="384">
          <cell r="E384" t="str">
            <v>Phùng Văn Thiêm</v>
          </cell>
          <cell r="F384" t="str">
            <v>30/08/1973</v>
          </cell>
          <cell r="G384">
            <v>26906</v>
          </cell>
          <cell r="H384">
            <v>47727</v>
          </cell>
          <cell r="I384">
            <v>47725</v>
          </cell>
          <cell r="J384">
            <v>47727</v>
          </cell>
        </row>
        <row r="385">
          <cell r="E385" t="str">
            <v>Nguyễn Trung Khoa</v>
          </cell>
          <cell r="F385" t="str">
            <v>20/10/1973</v>
          </cell>
          <cell r="G385">
            <v>26957</v>
          </cell>
          <cell r="H385">
            <v>47788</v>
          </cell>
          <cell r="I385">
            <v>47776</v>
          </cell>
          <cell r="J385">
            <v>47788</v>
          </cell>
        </row>
        <row r="386">
          <cell r="E386" t="str">
            <v>Nguyễn Quang Thuấn</v>
          </cell>
          <cell r="F386" t="str">
            <v>26/07/1986</v>
          </cell>
          <cell r="G386">
            <v>31619</v>
          </cell>
          <cell r="H386" t="str">
            <v>26/07/2043</v>
          </cell>
          <cell r="I386">
            <v>52438</v>
          </cell>
          <cell r="J386">
            <v>52444</v>
          </cell>
        </row>
        <row r="387">
          <cell r="E387" t="str">
            <v>Nguyễn Dương Chí Hoàng</v>
          </cell>
          <cell r="F387" t="str">
            <v>15/02/1992</v>
          </cell>
          <cell r="G387">
            <v>33649</v>
          </cell>
          <cell r="H387" t="str">
            <v>15/02/2049</v>
          </cell>
          <cell r="I387">
            <v>54469</v>
          </cell>
          <cell r="J387">
            <v>54483</v>
          </cell>
        </row>
        <row r="388">
          <cell r="E388" t="str">
            <v>Nguyễn Thành Phú</v>
          </cell>
          <cell r="F388" t="str">
            <v>26/10/1993</v>
          </cell>
          <cell r="G388">
            <v>34268</v>
          </cell>
          <cell r="H388" t="str">
            <v>26/10/2050</v>
          </cell>
          <cell r="I388">
            <v>55087</v>
          </cell>
          <cell r="J388">
            <v>55093</v>
          </cell>
        </row>
        <row r="389">
          <cell r="E389" t="str">
            <v>Phạm Ngọc Chương</v>
          </cell>
          <cell r="F389" t="str">
            <v>27/07/1992</v>
          </cell>
          <cell r="G389">
            <v>33812</v>
          </cell>
        </row>
        <row r="390">
          <cell r="E390" t="str">
            <v>Nguyễn Nhật Quang</v>
          </cell>
          <cell r="F390" t="str">
            <v>22/06/1997</v>
          </cell>
          <cell r="G390">
            <v>35603</v>
          </cell>
          <cell r="I390">
            <v>56422</v>
          </cell>
          <cell r="J390">
            <v>56431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1">
          <cell r="B11" t="str">
            <v>Bùi Văn Khương</v>
          </cell>
          <cell r="C11" t="str">
            <v>Ninh Giang, Hoa Lư, Ninh Bình</v>
          </cell>
          <cell r="D11" t="str">
            <v>0102045033</v>
          </cell>
          <cell r="E11" t="str">
            <v>0102045033</v>
          </cell>
          <cell r="F11" t="str">
            <v>DN4790102045033</v>
          </cell>
          <cell r="G11" t="str">
            <v>02/07/1981</v>
          </cell>
          <cell r="H11" t="str">
            <v>Nam</v>
          </cell>
          <cell r="I11" t="str">
            <v>79 - 034</v>
          </cell>
          <cell r="J11">
            <v>8143200</v>
          </cell>
        </row>
        <row r="12">
          <cell r="B12" t="str">
            <v>Nguyễn Thị Thúy Hằng</v>
          </cell>
          <cell r="C12" t="str">
            <v>phòng 308-C1</v>
          </cell>
          <cell r="D12" t="str">
            <v>0115070947</v>
          </cell>
          <cell r="E12" t="str">
            <v/>
          </cell>
          <cell r="F12" t="str">
            <v>DN4790115070947</v>
          </cell>
          <cell r="G12" t="str">
            <v>12/08/1983</v>
          </cell>
          <cell r="H12" t="str">
            <v>Nữ</v>
          </cell>
          <cell r="I12" t="str">
            <v>79 - 462</v>
          </cell>
          <cell r="J12">
            <v>7909200</v>
          </cell>
        </row>
        <row r="13">
          <cell r="B13" t="str">
            <v>Nguyễn Ngọc Hoàn</v>
          </cell>
          <cell r="C13" t="str">
            <v>177 Hoàng Văn Thụ</v>
          </cell>
          <cell r="D13" t="str">
            <v>0125925066</v>
          </cell>
          <cell r="E13" t="str">
            <v/>
          </cell>
          <cell r="F13" t="str">
            <v>DN4790125925066</v>
          </cell>
          <cell r="G13" t="str">
            <v>17/08/1990</v>
          </cell>
          <cell r="H13" t="str">
            <v>Nam</v>
          </cell>
          <cell r="I13" t="str">
            <v>79 - 009</v>
          </cell>
          <cell r="J13">
            <v>6364800</v>
          </cell>
        </row>
        <row r="14">
          <cell r="B14" t="str">
            <v>Nguyễn Văn Bình</v>
          </cell>
          <cell r="C14" t="str">
            <v>57 A Sau Ga Nha Trang,Khánh Hòa</v>
          </cell>
          <cell r="D14" t="str">
            <v>0200053635</v>
          </cell>
          <cell r="E14" t="str">
            <v>0200053635</v>
          </cell>
          <cell r="F14" t="str">
            <v>DN4790200053635</v>
          </cell>
          <cell r="G14" t="str">
            <v>07/10/1979</v>
          </cell>
          <cell r="H14" t="str">
            <v>Nam</v>
          </cell>
          <cell r="I14" t="str">
            <v>56 - 012</v>
          </cell>
          <cell r="J14">
            <v>7238400</v>
          </cell>
        </row>
        <row r="15">
          <cell r="B15" t="str">
            <v>Nguyễn Thanh Trí</v>
          </cell>
          <cell r="C15" t="str">
            <v>Vĩnh Hải, Nha Trang, Khánh Hòa</v>
          </cell>
          <cell r="D15" t="str">
            <v>0200053636</v>
          </cell>
          <cell r="E15" t="str">
            <v>0200053636</v>
          </cell>
          <cell r="F15" t="str">
            <v>DN4790200053636</v>
          </cell>
          <cell r="G15" t="str">
            <v>07/07/1970</v>
          </cell>
          <cell r="H15" t="str">
            <v>Nam</v>
          </cell>
          <cell r="I15" t="str">
            <v>56 - 183</v>
          </cell>
          <cell r="J15">
            <v>6572800</v>
          </cell>
        </row>
        <row r="16">
          <cell r="B16" t="str">
            <v>Nguyễn Văn Trường</v>
          </cell>
          <cell r="C16" t="str">
            <v>Công Hải, Ninh hải, Ninh Thuận</v>
          </cell>
          <cell r="D16" t="str">
            <v>0200053638</v>
          </cell>
          <cell r="E16" t="str">
            <v>0200053638</v>
          </cell>
          <cell r="F16" t="str">
            <v>DN4790200053638</v>
          </cell>
          <cell r="G16" t="str">
            <v>27/01/1975</v>
          </cell>
          <cell r="H16" t="str">
            <v>Nam</v>
          </cell>
          <cell r="I16" t="str">
            <v>58 - 114</v>
          </cell>
          <cell r="J16">
            <v>6752800</v>
          </cell>
        </row>
        <row r="17">
          <cell r="B17" t="str">
            <v>Trịnh Quang Huy</v>
          </cell>
          <cell r="C17" t="str">
            <v>Tân Nghĩa, Hàm Tân, Bình Thuận</v>
          </cell>
          <cell r="D17" t="str">
            <v>0200053639</v>
          </cell>
          <cell r="E17" t="str">
            <v>0200053639</v>
          </cell>
          <cell r="F17" t="str">
            <v>DN4790200053639</v>
          </cell>
          <cell r="G17" t="str">
            <v>06/12/1975</v>
          </cell>
          <cell r="H17" t="str">
            <v>Nam</v>
          </cell>
          <cell r="I17" t="str">
            <v>75 - 013</v>
          </cell>
          <cell r="J17">
            <v>6973200</v>
          </cell>
        </row>
        <row r="18">
          <cell r="B18" t="str">
            <v>Phan Quốc Mạnh</v>
          </cell>
          <cell r="C18" t="str">
            <v>Tân Nghĩa, Hàm Tân, Bình Thuận</v>
          </cell>
          <cell r="D18" t="str">
            <v>0200053640</v>
          </cell>
          <cell r="E18" t="str">
            <v>0200053640</v>
          </cell>
          <cell r="F18" t="str">
            <v>DN4790200053640</v>
          </cell>
          <cell r="G18" t="str">
            <v>16/02/1978</v>
          </cell>
          <cell r="H18" t="str">
            <v>Nam</v>
          </cell>
          <cell r="I18" t="str">
            <v>60 - 040</v>
          </cell>
          <cell r="J18">
            <v>7238400</v>
          </cell>
        </row>
        <row r="19">
          <cell r="B19" t="str">
            <v>Dương Ngọc Thắng</v>
          </cell>
          <cell r="C19" t="str">
            <v>575/11/5 CMT8, P.15, Q.10, Tp.HCM</v>
          </cell>
          <cell r="D19" t="str">
            <v>0200127091</v>
          </cell>
          <cell r="E19" t="str">
            <v>0200127091</v>
          </cell>
          <cell r="F19" t="str">
            <v>DN4790200127091</v>
          </cell>
          <cell r="G19" t="str">
            <v>07/07/1965</v>
          </cell>
          <cell r="H19" t="str">
            <v>Nam</v>
          </cell>
          <cell r="I19" t="str">
            <v>79 - 025</v>
          </cell>
          <cell r="J19">
            <v>13525200</v>
          </cell>
        </row>
        <row r="20">
          <cell r="B20" t="str">
            <v>Nguyễn Mai Phương</v>
          </cell>
          <cell r="C20" t="str">
            <v>Vùng 10,TrungLươngAnNghiệpTuyAn PhuYên</v>
          </cell>
          <cell r="D20" t="str">
            <v>0200133753</v>
          </cell>
          <cell r="E20" t="str">
            <v>0200133753</v>
          </cell>
          <cell r="F20" t="str">
            <v>DN4790200133753</v>
          </cell>
          <cell r="G20" t="str">
            <v>09/11/1978</v>
          </cell>
          <cell r="H20" t="str">
            <v>Nam</v>
          </cell>
          <cell r="I20" t="str">
            <v>79 - 009</v>
          </cell>
          <cell r="J20">
            <v>8486400</v>
          </cell>
        </row>
        <row r="21">
          <cell r="B21" t="str">
            <v>Huỳnh Ngọc Huy</v>
          </cell>
          <cell r="C21" t="str">
            <v>87 Lê Trung Kiên, Tuy Hòa, Phú Yên</v>
          </cell>
          <cell r="D21" t="str">
            <v>0200133755</v>
          </cell>
          <cell r="E21" t="str">
            <v>0200133755</v>
          </cell>
          <cell r="F21" t="str">
            <v>DN4790200133755</v>
          </cell>
          <cell r="G21" t="str">
            <v>19/10/1981</v>
          </cell>
          <cell r="H21" t="str">
            <v>Nam</v>
          </cell>
          <cell r="I21" t="str">
            <v>54 - 162</v>
          </cell>
          <cell r="J21">
            <v>6572800</v>
          </cell>
        </row>
        <row r="22">
          <cell r="B22" t="str">
            <v>Phạm Văn Nhân</v>
          </cell>
          <cell r="C22" t="str">
            <v>Xuân Trường, Xuân Lộc, Đồng Nai</v>
          </cell>
          <cell r="D22" t="str">
            <v>0200133756</v>
          </cell>
          <cell r="E22" t="str">
            <v>0200133756</v>
          </cell>
          <cell r="F22" t="str">
            <v>DN4790200133756</v>
          </cell>
          <cell r="G22" t="str">
            <v>27/07/1981</v>
          </cell>
          <cell r="H22" t="str">
            <v>Nam</v>
          </cell>
          <cell r="I22" t="str">
            <v>79 - 034</v>
          </cell>
          <cell r="J22">
            <v>8377200</v>
          </cell>
        </row>
        <row r="23">
          <cell r="B23" t="str">
            <v>Trần Văn Chương</v>
          </cell>
          <cell r="C23" t="str">
            <v>25 KP4, Trảng Bom, Thống Nhất, Đồng Nai</v>
          </cell>
          <cell r="D23" t="str">
            <v>0201154321</v>
          </cell>
          <cell r="E23" t="str">
            <v>0201154321</v>
          </cell>
          <cell r="F23" t="str">
            <v>DN4790201154321</v>
          </cell>
          <cell r="G23" t="str">
            <v>26/01/1976</v>
          </cell>
          <cell r="H23" t="str">
            <v>Nam</v>
          </cell>
          <cell r="I23" t="str">
            <v>79 - 036</v>
          </cell>
          <cell r="J23">
            <v>8143200</v>
          </cell>
        </row>
        <row r="24">
          <cell r="B24" t="str">
            <v>Nguyễn Công Sanh</v>
          </cell>
          <cell r="C24" t="str">
            <v>Lương Sơn, Vĩnh Lương, Khánh Hòa</v>
          </cell>
          <cell r="D24" t="str">
            <v>0201154322</v>
          </cell>
          <cell r="E24" t="str">
            <v>0201154322</v>
          </cell>
          <cell r="F24" t="str">
            <v>DN4790201154322</v>
          </cell>
          <cell r="G24" t="str">
            <v>29/11/1973</v>
          </cell>
          <cell r="H24" t="str">
            <v>Nam</v>
          </cell>
          <cell r="I24" t="str">
            <v>56 - 051</v>
          </cell>
          <cell r="J24">
            <v>6572800</v>
          </cell>
        </row>
        <row r="25">
          <cell r="B25" t="str">
            <v>Đinh Thị Hằng</v>
          </cell>
          <cell r="C25" t="str">
            <v>16B5 Huỳnh Hữu Bạc, P4, Q. Tân Bình</v>
          </cell>
          <cell r="D25" t="str">
            <v>0202043272</v>
          </cell>
          <cell r="E25" t="str">
            <v>0202043272</v>
          </cell>
          <cell r="F25" t="str">
            <v>DN4790202043272</v>
          </cell>
          <cell r="G25" t="str">
            <v>19/04/1975</v>
          </cell>
          <cell r="H25" t="str">
            <v>Nữ</v>
          </cell>
          <cell r="I25" t="str">
            <v>79 - 034</v>
          </cell>
          <cell r="J25">
            <v>8845200</v>
          </cell>
        </row>
        <row r="26">
          <cell r="B26" t="str">
            <v>Nguyễn Văn Tươi</v>
          </cell>
          <cell r="C26" t="str">
            <v>161/34Tổ20B HàRa,Vùng 4,Vĩnh Phước, KH</v>
          </cell>
          <cell r="D26" t="str">
            <v>0202043273</v>
          </cell>
          <cell r="E26" t="str">
            <v>0202043273</v>
          </cell>
          <cell r="F26" t="str">
            <v>DN4790202043273</v>
          </cell>
          <cell r="G26" t="str">
            <v>29/01/1979</v>
          </cell>
          <cell r="H26" t="str">
            <v>Nam</v>
          </cell>
          <cell r="I26" t="str">
            <v>56 - 197</v>
          </cell>
          <cell r="J26">
            <v>6572800</v>
          </cell>
        </row>
        <row r="27">
          <cell r="B27" t="str">
            <v>Phan Xuân Thìn</v>
          </cell>
          <cell r="C27" t="str">
            <v>Gia Ray, Xuân Lộc, Đồng Nai</v>
          </cell>
          <cell r="D27" t="str">
            <v>0202043275</v>
          </cell>
          <cell r="E27" t="str">
            <v>0202043275</v>
          </cell>
          <cell r="F27" t="str">
            <v>DN4790202043275</v>
          </cell>
          <cell r="G27" t="str">
            <v>07/10/1978</v>
          </cell>
          <cell r="H27" t="str">
            <v>Nam</v>
          </cell>
          <cell r="I27" t="str">
            <v>75 - 013</v>
          </cell>
          <cell r="J27">
            <v>7394400</v>
          </cell>
        </row>
        <row r="28">
          <cell r="B28" t="str">
            <v>Ngô Thị Loan</v>
          </cell>
          <cell r="C28" t="str">
            <v>158/7/34 Hoàng Hoa Thám,P12,Tân Bình</v>
          </cell>
          <cell r="D28" t="str">
            <v>0202077336</v>
          </cell>
          <cell r="E28" t="str">
            <v>0202077336</v>
          </cell>
          <cell r="F28" t="str">
            <v>DN4790202077336</v>
          </cell>
          <cell r="G28" t="str">
            <v>05/01/1979</v>
          </cell>
          <cell r="H28" t="str">
            <v>Nữ</v>
          </cell>
          <cell r="I28" t="str">
            <v>79 - 034</v>
          </cell>
          <cell r="J28">
            <v>10015200</v>
          </cell>
        </row>
        <row r="29">
          <cell r="B29" t="str">
            <v>Thân Trọng Thảo Vy</v>
          </cell>
          <cell r="C29" t="str">
            <v>18/119/D2 Ng Thị Minh Khai, P Đa Kao, Q1</v>
          </cell>
          <cell r="D29" t="str">
            <v>0202131685</v>
          </cell>
          <cell r="E29" t="str">
            <v>0202131685</v>
          </cell>
          <cell r="F29" t="str">
            <v>DN4790202131685</v>
          </cell>
          <cell r="G29" t="str">
            <v>25/08/1979</v>
          </cell>
          <cell r="H29" t="str">
            <v>Nữ</v>
          </cell>
          <cell r="I29" t="str">
            <v>79 - 025</v>
          </cell>
          <cell r="J29">
            <v>8845200</v>
          </cell>
        </row>
        <row r="30">
          <cell r="B30" t="str">
            <v>Đào Hải Duyên</v>
          </cell>
          <cell r="C30" t="str">
            <v>286/22C An Dương Vương, P13, Q 6</v>
          </cell>
          <cell r="D30" t="str">
            <v>0202131689</v>
          </cell>
          <cell r="E30" t="str">
            <v>0202131689</v>
          </cell>
          <cell r="F30" t="str">
            <v>DN4790202131689</v>
          </cell>
          <cell r="G30" t="str">
            <v>15/01/1978</v>
          </cell>
          <cell r="H30" t="str">
            <v>Nữ</v>
          </cell>
          <cell r="I30" t="str">
            <v>79 - 016</v>
          </cell>
          <cell r="J30">
            <v>8845200</v>
          </cell>
        </row>
        <row r="31">
          <cell r="B31" t="str">
            <v>Nguyễn Hồng Thắng</v>
          </cell>
          <cell r="C31" t="str">
            <v>Đô Vinh,Phan Rang-Tháp Chàm,NThuận</v>
          </cell>
          <cell r="D31" t="str">
            <v>0202131690</v>
          </cell>
          <cell r="E31" t="str">
            <v>0202131690</v>
          </cell>
          <cell r="F31" t="str">
            <v>DN4790202131690</v>
          </cell>
          <cell r="G31" t="str">
            <v>16/11/1979</v>
          </cell>
          <cell r="H31" t="str">
            <v>Nam</v>
          </cell>
          <cell r="I31" t="str">
            <v>79 - 426</v>
          </cell>
          <cell r="J31">
            <v>7581600</v>
          </cell>
        </row>
        <row r="32">
          <cell r="B32" t="str">
            <v>Ngô Thị Thu Hương</v>
          </cell>
          <cell r="C32" t="str">
            <v>285/192 CMT8, p12, q10</v>
          </cell>
          <cell r="D32" t="str">
            <v>0202134210</v>
          </cell>
          <cell r="E32" t="str">
            <v>0202134210</v>
          </cell>
          <cell r="F32" t="str">
            <v>DN4790202134210</v>
          </cell>
          <cell r="G32" t="str">
            <v>26/07/1976</v>
          </cell>
          <cell r="H32" t="str">
            <v>Nữ</v>
          </cell>
          <cell r="I32" t="str">
            <v>79 - 027</v>
          </cell>
          <cell r="J32">
            <v>8845200</v>
          </cell>
        </row>
        <row r="33">
          <cell r="B33" t="str">
            <v>Bùi Nguyễn Trúc Linh</v>
          </cell>
          <cell r="C33" t="str">
            <v>9A Thái Nguyên, Nha Trang, Khánh Hòa</v>
          </cell>
          <cell r="D33" t="str">
            <v>0202189233</v>
          </cell>
          <cell r="E33" t="str">
            <v>0202189233</v>
          </cell>
          <cell r="F33" t="str">
            <v>DN4790202189233</v>
          </cell>
          <cell r="G33" t="str">
            <v>01/01/1978</v>
          </cell>
          <cell r="H33" t="str">
            <v>Nữ</v>
          </cell>
          <cell r="I33" t="str">
            <v>56 - 183</v>
          </cell>
          <cell r="J33">
            <v>6572800</v>
          </cell>
        </row>
        <row r="34">
          <cell r="B34" t="str">
            <v>Lê Thị Hồng Huệ</v>
          </cell>
          <cell r="C34" t="str">
            <v>Đô Vinh, Phan Rang - Tháp Chàm, Ninh Thuận</v>
          </cell>
          <cell r="D34" t="str">
            <v>0202189234</v>
          </cell>
          <cell r="E34" t="str">
            <v>0202189234</v>
          </cell>
          <cell r="F34" t="str">
            <v>DN4790202189234</v>
          </cell>
          <cell r="G34" t="str">
            <v>01/05/1979</v>
          </cell>
          <cell r="H34" t="str">
            <v>Nữ</v>
          </cell>
          <cell r="I34" t="str">
            <v>79 - 030</v>
          </cell>
          <cell r="J34">
            <v>10015200</v>
          </cell>
        </row>
        <row r="35">
          <cell r="B35" t="str">
            <v>Mai Văn Vĩnh</v>
          </cell>
          <cell r="C35" t="str">
            <v>Khu tập thể ĐS , Biên Hòa, Đồng Nai</v>
          </cell>
          <cell r="D35" t="str">
            <v>0203025076</v>
          </cell>
          <cell r="E35" t="str">
            <v>0203025076</v>
          </cell>
          <cell r="F35" t="str">
            <v>DN4790203025076</v>
          </cell>
          <cell r="G35" t="str">
            <v>20/01/1981</v>
          </cell>
          <cell r="H35" t="str">
            <v>Nam</v>
          </cell>
          <cell r="I35" t="str">
            <v>79 - 036</v>
          </cell>
          <cell r="J35">
            <v>7394400</v>
          </cell>
        </row>
        <row r="36">
          <cell r="B36" t="str">
            <v>Đoàn Ngọc Phước</v>
          </cell>
          <cell r="C36" t="str">
            <v>164A Lê Trung Kiên, Tuy Hòa, Phú Yên</v>
          </cell>
          <cell r="D36" t="str">
            <v>0203025077</v>
          </cell>
          <cell r="E36" t="str">
            <v>0203025077</v>
          </cell>
          <cell r="F36" t="str">
            <v>DN4790203025077</v>
          </cell>
          <cell r="G36" t="str">
            <v>14/04/1980</v>
          </cell>
          <cell r="H36" t="str">
            <v>Nam</v>
          </cell>
          <cell r="I36" t="str">
            <v>54 - 162</v>
          </cell>
          <cell r="J36">
            <v>6572800</v>
          </cell>
        </row>
        <row r="37">
          <cell r="B37" t="str">
            <v>Nguyễn Văn An</v>
          </cell>
          <cell r="C37" t="str">
            <v>Yên Nghĩa, ý Yên, Nam Định</v>
          </cell>
          <cell r="D37" t="str">
            <v>0203132462</v>
          </cell>
          <cell r="E37" t="str">
            <v>0203132462</v>
          </cell>
          <cell r="F37" t="str">
            <v>DN4790203132462</v>
          </cell>
          <cell r="G37" t="str">
            <v>07/10/1980</v>
          </cell>
          <cell r="H37" t="str">
            <v>Nam</v>
          </cell>
          <cell r="I37" t="str">
            <v>75 - 012</v>
          </cell>
          <cell r="J37">
            <v>7394400</v>
          </cell>
        </row>
        <row r="38">
          <cell r="B38" t="str">
            <v>Vũ Quang Sáp</v>
          </cell>
          <cell r="C38" t="str">
            <v>519 Phạm Văn Hai, P3, Q. Tân Bình</v>
          </cell>
          <cell r="D38" t="str">
            <v>0203232846</v>
          </cell>
          <cell r="E38" t="str">
            <v>0203232846</v>
          </cell>
          <cell r="F38" t="str">
            <v>DN4790203232846</v>
          </cell>
          <cell r="G38" t="str">
            <v>11/07/1968</v>
          </cell>
          <cell r="H38" t="str">
            <v>Nam</v>
          </cell>
          <cell r="I38" t="str">
            <v>79 - 025</v>
          </cell>
          <cell r="J38">
            <v>8845200</v>
          </cell>
        </row>
        <row r="39">
          <cell r="B39" t="str">
            <v>Trương Hồng Hà</v>
          </cell>
          <cell r="C39" t="str">
            <v>15B Nguyễn Huệ, P2, Tuy Hòa, Phú Yên</v>
          </cell>
          <cell r="D39" t="str">
            <v>0203232847</v>
          </cell>
          <cell r="E39" t="str">
            <v>0203232847</v>
          </cell>
          <cell r="F39" t="str">
            <v>DN4790203232847</v>
          </cell>
          <cell r="G39" t="str">
            <v>02/06/1976</v>
          </cell>
          <cell r="H39" t="str">
            <v>Nam</v>
          </cell>
          <cell r="I39" t="str">
            <v>54 - 162</v>
          </cell>
          <cell r="J39">
            <v>7238400</v>
          </cell>
        </row>
        <row r="40">
          <cell r="B40" t="str">
            <v>Đoàn Thế Thanh Lộc</v>
          </cell>
          <cell r="C40" t="str">
            <v>28/81D Trần Bình Trọng, P1, Q5,TP.HCM</v>
          </cell>
          <cell r="D40" t="str">
            <v>0203309823</v>
          </cell>
          <cell r="E40" t="str">
            <v>0203309823</v>
          </cell>
          <cell r="F40" t="str">
            <v>DN4790203309823</v>
          </cell>
          <cell r="G40" t="str">
            <v>11/04/1984</v>
          </cell>
          <cell r="H40" t="str">
            <v>Nữ</v>
          </cell>
          <cell r="I40" t="str">
            <v>79 - 016</v>
          </cell>
          <cell r="J40">
            <v>6645600</v>
          </cell>
        </row>
        <row r="41">
          <cell r="B41" t="str">
            <v>Trần Văn Hiếu</v>
          </cell>
          <cell r="C41" t="str">
            <v>144/7A Đỗ Văn Sửu, P10, Q5,TP.HCM</v>
          </cell>
          <cell r="D41" t="str">
            <v>0203342926</v>
          </cell>
          <cell r="E41" t="str">
            <v>0203342926</v>
          </cell>
          <cell r="F41" t="str">
            <v>DN4790203342926</v>
          </cell>
          <cell r="G41" t="str">
            <v>30/08/1976</v>
          </cell>
          <cell r="H41" t="str">
            <v>Nam</v>
          </cell>
          <cell r="I41" t="str">
            <v>79 - 037</v>
          </cell>
          <cell r="J41">
            <v>8049600</v>
          </cell>
        </row>
        <row r="42">
          <cell r="B42" t="str">
            <v>Nguyễn Hải Ninh</v>
          </cell>
          <cell r="C42" t="str">
            <v>350Thống Nhất,P Rang-Tháp chàm,Nthuận</v>
          </cell>
          <cell r="D42" t="str">
            <v>0203342927</v>
          </cell>
          <cell r="E42" t="str">
            <v>0203342927</v>
          </cell>
          <cell r="F42" t="str">
            <v>DN4790203342927</v>
          </cell>
          <cell r="G42" t="str">
            <v>22/04/1979</v>
          </cell>
          <cell r="H42" t="str">
            <v>Nam</v>
          </cell>
          <cell r="I42" t="str">
            <v>79 - 025</v>
          </cell>
          <cell r="J42">
            <v>10483200</v>
          </cell>
        </row>
        <row r="43">
          <cell r="B43" t="str">
            <v>Nguyễn Thu Thanh</v>
          </cell>
          <cell r="C43" t="str">
            <v>Tuy Hòa Phú Yên</v>
          </cell>
          <cell r="D43" t="str">
            <v>0204240923</v>
          </cell>
          <cell r="E43" t="str">
            <v>0204240923</v>
          </cell>
          <cell r="F43" t="str">
            <v>DN4790204240923</v>
          </cell>
          <cell r="G43" t="str">
            <v>15/12/1981</v>
          </cell>
          <cell r="H43" t="str">
            <v>Nữ</v>
          </cell>
          <cell r="I43" t="str">
            <v>54 - 162</v>
          </cell>
          <cell r="J43">
            <v>6988800</v>
          </cell>
        </row>
        <row r="44">
          <cell r="B44" t="str">
            <v>Nguyễn Thị Phương</v>
          </cell>
          <cell r="C44" t="str">
            <v>12/19A KP4,  Hiệp Bình Chánh,  Thủ Đức</v>
          </cell>
          <cell r="D44" t="str">
            <v>0204240924</v>
          </cell>
          <cell r="E44" t="str">
            <v>0204240924</v>
          </cell>
          <cell r="F44" t="str">
            <v>DN4790204240924</v>
          </cell>
          <cell r="G44" t="str">
            <v>30/10/1978</v>
          </cell>
          <cell r="H44" t="str">
            <v>Nữ</v>
          </cell>
          <cell r="I44" t="str">
            <v>79 - 034</v>
          </cell>
          <cell r="J44">
            <v>7862400</v>
          </cell>
        </row>
        <row r="45">
          <cell r="B45" t="str">
            <v>Phạm Tương Long Bảo</v>
          </cell>
          <cell r="C45" t="str">
            <v>KP5</v>
          </cell>
          <cell r="D45" t="str">
            <v>0204284991</v>
          </cell>
          <cell r="E45" t="str">
            <v>0204284991</v>
          </cell>
          <cell r="F45" t="str">
            <v>DN4790204284991</v>
          </cell>
          <cell r="G45" t="str">
            <v>03/05/1981</v>
          </cell>
          <cell r="H45" t="str">
            <v>Nam</v>
          </cell>
          <cell r="I45" t="str">
            <v>58 - 114</v>
          </cell>
          <cell r="J45">
            <v>8902400</v>
          </cell>
        </row>
        <row r="46">
          <cell r="B46" t="str">
            <v>Đoàn Duy Khang</v>
          </cell>
          <cell r="C46" t="str">
            <v>23 Trần Phú, Xuân An, Long Khánh, ĐNai</v>
          </cell>
          <cell r="D46" t="str">
            <v>0204284992</v>
          </cell>
          <cell r="E46" t="str">
            <v>0204284992</v>
          </cell>
          <cell r="F46" t="str">
            <v>DN4790204284992</v>
          </cell>
          <cell r="G46" t="str">
            <v>12/12/1981</v>
          </cell>
          <cell r="H46" t="str">
            <v>Nam</v>
          </cell>
          <cell r="I46" t="str">
            <v>79 - 034</v>
          </cell>
          <cell r="J46">
            <v>10483200</v>
          </cell>
        </row>
        <row r="47">
          <cell r="B47" t="str">
            <v>Nguyễn Minh Phương</v>
          </cell>
          <cell r="C47" t="str">
            <v>Thái Nguyên, Phước Tân, Nha Trang</v>
          </cell>
          <cell r="D47" t="str">
            <v>0204284993</v>
          </cell>
          <cell r="E47" t="str">
            <v>0204284993</v>
          </cell>
          <cell r="F47" t="str">
            <v>DN4790204284993</v>
          </cell>
          <cell r="G47" t="str">
            <v>02/09/1980</v>
          </cell>
          <cell r="H47" t="str">
            <v>Nam</v>
          </cell>
          <cell r="I47" t="str">
            <v>56 - 012</v>
          </cell>
          <cell r="J47">
            <v>7238400</v>
          </cell>
        </row>
        <row r="48">
          <cell r="B48" t="str">
            <v>Phạm Hà Lan Viên</v>
          </cell>
          <cell r="C48" t="str">
            <v>21/10 đường số 4, KP2, HBC, thủ đức</v>
          </cell>
          <cell r="D48" t="str">
            <v>0204354518</v>
          </cell>
          <cell r="E48" t="str">
            <v>0204354518</v>
          </cell>
          <cell r="F48" t="str">
            <v>DN4790204354518</v>
          </cell>
          <cell r="G48" t="str">
            <v>08/02/1980</v>
          </cell>
          <cell r="H48" t="str">
            <v>Nữ</v>
          </cell>
          <cell r="I48" t="str">
            <v>79 - 031</v>
          </cell>
          <cell r="J48">
            <v>7394400</v>
          </cell>
        </row>
        <row r="49">
          <cell r="B49" t="str">
            <v>Lưu Đức Thắng</v>
          </cell>
          <cell r="C49" t="str">
            <v>11/5 Nguyễn Hồng Sơn, Nha Trang, KH</v>
          </cell>
          <cell r="D49" t="str">
            <v>0205191570</v>
          </cell>
          <cell r="E49" t="str">
            <v>0205191570</v>
          </cell>
          <cell r="F49" t="str">
            <v>DN4790205191570</v>
          </cell>
          <cell r="G49" t="str">
            <v>23/05/1984</v>
          </cell>
          <cell r="H49" t="str">
            <v>Nam</v>
          </cell>
          <cell r="I49" t="str">
            <v>56 - 177</v>
          </cell>
          <cell r="J49">
            <v>6572800</v>
          </cell>
        </row>
        <row r="50">
          <cell r="B50" t="str">
            <v>Trần Thị Ái Phương</v>
          </cell>
          <cell r="C50" t="str">
            <v>265 CMT8, P. Hoa Lư, Tp. Pleiku</v>
          </cell>
          <cell r="D50" t="str">
            <v>0205191572</v>
          </cell>
          <cell r="E50" t="str">
            <v>0205191572</v>
          </cell>
          <cell r="F50" t="str">
            <v>DN4790205191572</v>
          </cell>
          <cell r="G50" t="str">
            <v>22/01/1984</v>
          </cell>
          <cell r="H50" t="str">
            <v>Nữ</v>
          </cell>
          <cell r="I50" t="str">
            <v>79 - 036</v>
          </cell>
          <cell r="J50">
            <v>7207200</v>
          </cell>
        </row>
        <row r="51">
          <cell r="B51" t="str">
            <v>Trần Thụy Diễm Hằng</v>
          </cell>
          <cell r="C51" t="str">
            <v>15 Nguyễn Sắc Kim,Phù Thuỷ, Pthiết</v>
          </cell>
          <cell r="D51" t="str">
            <v>0205274494</v>
          </cell>
          <cell r="E51" t="str">
            <v>0205274494</v>
          </cell>
          <cell r="F51" t="str">
            <v>DN4790205274494</v>
          </cell>
          <cell r="G51" t="str">
            <v>26/09/1981</v>
          </cell>
          <cell r="H51" t="str">
            <v>Nữ</v>
          </cell>
          <cell r="I51" t="str">
            <v>79 - 028</v>
          </cell>
          <cell r="J51">
            <v>8377200</v>
          </cell>
        </row>
        <row r="52">
          <cell r="B52" t="str">
            <v>Trịnh Thế Anh</v>
          </cell>
          <cell r="C52" t="str">
            <v>KP5, ấp2, An Hòa, Long Thành, Đồng Nai</v>
          </cell>
          <cell r="D52" t="str">
            <v>0205274495</v>
          </cell>
          <cell r="E52" t="str">
            <v>0205274495</v>
          </cell>
          <cell r="F52" t="str">
            <v>DN4790205274495</v>
          </cell>
          <cell r="G52" t="str">
            <v>26/09/1981</v>
          </cell>
          <cell r="H52" t="str">
            <v>Nam</v>
          </cell>
          <cell r="I52" t="str">
            <v>79 - 034</v>
          </cell>
          <cell r="J52">
            <v>8143200</v>
          </cell>
        </row>
        <row r="53">
          <cell r="B53" t="str">
            <v>Trần Thanh Tùng</v>
          </cell>
          <cell r="C53" t="str">
            <v>268/1C Lý Thái Tổ</v>
          </cell>
          <cell r="D53" t="str">
            <v>0205320646</v>
          </cell>
          <cell r="E53" t="str">
            <v>0205320646</v>
          </cell>
          <cell r="F53" t="str">
            <v>DN4790205320646</v>
          </cell>
          <cell r="G53" t="str">
            <v>23/09/1978</v>
          </cell>
          <cell r="H53" t="str">
            <v>Nam</v>
          </cell>
          <cell r="I53" t="str">
            <v>79 - 030</v>
          </cell>
          <cell r="J53">
            <v>7862400</v>
          </cell>
        </row>
        <row r="54">
          <cell r="B54" t="str">
            <v>Phạm Văn Tài</v>
          </cell>
          <cell r="C54" t="str">
            <v>Aỏp 2, Tam Phước ,Chân Thành, Bến Tre</v>
          </cell>
          <cell r="D54" t="str">
            <v>0205365145</v>
          </cell>
          <cell r="E54" t="str">
            <v>0205365145</v>
          </cell>
          <cell r="F54" t="str">
            <v>DN4790205365145</v>
          </cell>
          <cell r="G54" t="str">
            <v>30/04/1984</v>
          </cell>
          <cell r="H54" t="str">
            <v>Nam</v>
          </cell>
          <cell r="I54" t="str">
            <v>79 - 016</v>
          </cell>
          <cell r="J54">
            <v>7909200</v>
          </cell>
        </row>
        <row r="55">
          <cell r="B55" t="str">
            <v>Trần Anh Tuấn</v>
          </cell>
          <cell r="C55" t="str">
            <v>Tổ 9, khối 11, Phường Cửa Nam, Vinh</v>
          </cell>
          <cell r="D55" t="str">
            <v>0206409282</v>
          </cell>
          <cell r="E55" t="str">
            <v>0206409282</v>
          </cell>
          <cell r="F55" t="str">
            <v>DN4790206409282</v>
          </cell>
          <cell r="G55" t="str">
            <v>24/09/1983</v>
          </cell>
          <cell r="H55" t="str">
            <v>Nam</v>
          </cell>
          <cell r="I55" t="str">
            <v>79 - 031</v>
          </cell>
          <cell r="J55">
            <v>10015200</v>
          </cell>
        </row>
        <row r="56">
          <cell r="B56" t="str">
            <v>Đào Xuân Đông</v>
          </cell>
          <cell r="C56" t="str">
            <v>51 tổ 19, Trung Sơn, Tam Điệp, Ninh Bình</v>
          </cell>
          <cell r="D56" t="str">
            <v>0206409284</v>
          </cell>
          <cell r="E56" t="str">
            <v>0206409284</v>
          </cell>
          <cell r="F56" t="str">
            <v>DN4790206409284</v>
          </cell>
          <cell r="G56" t="str">
            <v>20/02/1982</v>
          </cell>
          <cell r="H56" t="str">
            <v>Nam</v>
          </cell>
          <cell r="I56" t="str">
            <v>79 - 034</v>
          </cell>
          <cell r="J56">
            <v>9547200</v>
          </cell>
        </row>
        <row r="57">
          <cell r="B57" t="str">
            <v>Mai Văn Hiệp</v>
          </cell>
          <cell r="C57" t="str">
            <v>Nga Lĩnh, Nga Sơn, Thanh Hóa</v>
          </cell>
          <cell r="D57" t="str">
            <v>0207070504</v>
          </cell>
          <cell r="E57" t="str">
            <v>0207070504</v>
          </cell>
          <cell r="F57" t="str">
            <v>DN4790207070504</v>
          </cell>
          <cell r="G57" t="str">
            <v>10/08/1981</v>
          </cell>
          <cell r="H57" t="str">
            <v>Nam</v>
          </cell>
          <cell r="I57" t="str">
            <v>56 - 183</v>
          </cell>
          <cell r="J57">
            <v>6198400</v>
          </cell>
        </row>
        <row r="58">
          <cell r="B58" t="str">
            <v>Nguyễn Thị Thu Vân</v>
          </cell>
          <cell r="C58" t="str">
            <v>24A Cao Thắng, Bình Hưng, Phan Thiết</v>
          </cell>
          <cell r="D58" t="str">
            <v>0207099197</v>
          </cell>
          <cell r="E58" t="str">
            <v>0207099197</v>
          </cell>
          <cell r="F58" t="str">
            <v>DN4790207099197</v>
          </cell>
          <cell r="G58" t="str">
            <v>22/12/1982</v>
          </cell>
          <cell r="H58" t="str">
            <v>Nữ</v>
          </cell>
          <cell r="I58" t="str">
            <v>79 - 025</v>
          </cell>
          <cell r="J58">
            <v>6406400</v>
          </cell>
        </row>
        <row r="59">
          <cell r="B59" t="str">
            <v>Nguyễn Thị Tài</v>
          </cell>
          <cell r="C59" t="str">
            <v>Thôn Hữu Thượng,Yên Mỹ,ý Yên,N.Định</v>
          </cell>
          <cell r="D59" t="str">
            <v>0207136928</v>
          </cell>
          <cell r="E59" t="str">
            <v>0207136928</v>
          </cell>
          <cell r="F59" t="str">
            <v>DN4790207136928</v>
          </cell>
          <cell r="G59" t="str">
            <v>10/10/1985</v>
          </cell>
          <cell r="H59" t="str">
            <v>Nữ</v>
          </cell>
          <cell r="I59" t="str">
            <v>79 - 037</v>
          </cell>
          <cell r="J59">
            <v>7020000</v>
          </cell>
        </row>
        <row r="60">
          <cell r="B60" t="str">
            <v>Nguyễn Khải Thuận</v>
          </cell>
          <cell r="C60" t="str">
            <v>Khóm 6, Ba Ngòi, Cam Ranh, Khánh Hòa</v>
          </cell>
          <cell r="D60" t="str">
            <v>0207173267</v>
          </cell>
          <cell r="E60" t="str">
            <v>0207173267</v>
          </cell>
          <cell r="F60" t="str">
            <v>DN4790207173267</v>
          </cell>
          <cell r="G60" t="str">
            <v>10/04/1983</v>
          </cell>
          <cell r="H60" t="str">
            <v>Nam</v>
          </cell>
          <cell r="I60" t="str">
            <v>79 - 025</v>
          </cell>
          <cell r="J60">
            <v>6572800</v>
          </cell>
        </row>
        <row r="61">
          <cell r="B61" t="str">
            <v>Nguyễn Đức Vũ</v>
          </cell>
          <cell r="C61" t="str">
            <v>Lãnh Vân,Xuân Lãnh, Đồng Xuân,Phú Yên</v>
          </cell>
          <cell r="D61" t="str">
            <v>0207244784</v>
          </cell>
          <cell r="E61" t="str">
            <v>0207244784</v>
          </cell>
          <cell r="F61" t="str">
            <v>DN4790207244784</v>
          </cell>
          <cell r="G61" t="str">
            <v>16/03/1985</v>
          </cell>
          <cell r="H61" t="str">
            <v>Nam</v>
          </cell>
          <cell r="I61" t="str">
            <v>56 - 001</v>
          </cell>
          <cell r="J61">
            <v>6572800</v>
          </cell>
        </row>
        <row r="62">
          <cell r="B62" t="str">
            <v>Lê Quang Tùng</v>
          </cell>
          <cell r="C62" t="str">
            <v>Đô Vinh, Phan Rang, Tháp Chàm,Ninh Thuận</v>
          </cell>
          <cell r="D62" t="str">
            <v>0207244785</v>
          </cell>
          <cell r="E62" t="str">
            <v>0207244785</v>
          </cell>
          <cell r="F62" t="str">
            <v>DN4790207244785</v>
          </cell>
          <cell r="G62" t="str">
            <v>24/08/1986</v>
          </cell>
          <cell r="H62" t="str">
            <v>Nam</v>
          </cell>
          <cell r="I62" t="str">
            <v>58 - 114</v>
          </cell>
          <cell r="J62">
            <v>6614400</v>
          </cell>
        </row>
        <row r="63">
          <cell r="B63" t="str">
            <v>Võ Ngọc Trai</v>
          </cell>
          <cell r="C63" t="str">
            <v>Nghĩa Phương, Tư Nghĩa, Quảng Ngãi</v>
          </cell>
          <cell r="D63" t="str">
            <v>0207244786</v>
          </cell>
          <cell r="E63" t="str">
            <v>0207244786</v>
          </cell>
          <cell r="F63" t="str">
            <v>DN4790207244786</v>
          </cell>
          <cell r="G63" t="str">
            <v>30/12/1982</v>
          </cell>
          <cell r="H63" t="str">
            <v>Nam</v>
          </cell>
          <cell r="I63" t="str">
            <v>60 - 004</v>
          </cell>
          <cell r="J63">
            <v>6932800</v>
          </cell>
        </row>
        <row r="64">
          <cell r="B64" t="str">
            <v>Nguyễn Tài Phú</v>
          </cell>
          <cell r="C64" t="str">
            <v>Tổ 10, Thạch Bàn, Long Biên, Hà Nội</v>
          </cell>
          <cell r="D64" t="str">
            <v>0207277163</v>
          </cell>
          <cell r="E64" t="str">
            <v>0207277163</v>
          </cell>
          <cell r="F64" t="str">
            <v>DN4790207277163</v>
          </cell>
          <cell r="G64" t="str">
            <v>20/10/1983</v>
          </cell>
          <cell r="H64" t="str">
            <v>Nam</v>
          </cell>
          <cell r="I64" t="str">
            <v>79 - 034</v>
          </cell>
          <cell r="J64">
            <v>7909200</v>
          </cell>
        </row>
        <row r="65">
          <cell r="B65" t="str">
            <v>Huỳnh Trọng Hiệp</v>
          </cell>
          <cell r="C65" t="str">
            <v>164 Bạch Đằng, P24, Q. Bình Thạnh .</v>
          </cell>
          <cell r="D65" t="str">
            <v>0296289146</v>
          </cell>
          <cell r="E65" t="str">
            <v>0296289146</v>
          </cell>
          <cell r="F65" t="str">
            <v>DN4790296289146</v>
          </cell>
          <cell r="G65" t="str">
            <v>07/03/1970</v>
          </cell>
          <cell r="H65" t="str">
            <v>Nam</v>
          </cell>
          <cell r="I65" t="str">
            <v>79 - 024</v>
          </cell>
          <cell r="J65">
            <v>7862400</v>
          </cell>
        </row>
        <row r="66">
          <cell r="B66" t="str">
            <v>Nguyễn Văn Bản</v>
          </cell>
          <cell r="C66" t="str">
            <v>11C Khu tập thể ĐS Bình Triệu, Q. Thủ Đức</v>
          </cell>
          <cell r="D66" t="str">
            <v>0296289161</v>
          </cell>
          <cell r="E66" t="str">
            <v>0296289161</v>
          </cell>
          <cell r="F66" t="str">
            <v>DN4790296289161</v>
          </cell>
          <cell r="G66" t="str">
            <v>16/03/1967</v>
          </cell>
          <cell r="H66" t="str">
            <v>Nam</v>
          </cell>
          <cell r="I66" t="str">
            <v>79 - 536</v>
          </cell>
          <cell r="J66">
            <v>8845200</v>
          </cell>
        </row>
        <row r="67">
          <cell r="B67" t="str">
            <v>Trương Quang Hải</v>
          </cell>
          <cell r="C67" t="str">
            <v>K3 Ba Ngòi, Nha Trang, Khánh Hòa</v>
          </cell>
          <cell r="D67" t="str">
            <v>0296289179</v>
          </cell>
          <cell r="E67" t="str">
            <v>0296289179</v>
          </cell>
          <cell r="F67" t="str">
            <v>DN4790296289179</v>
          </cell>
          <cell r="G67" t="str">
            <v>08/11/1968</v>
          </cell>
          <cell r="H67" t="str">
            <v>Nam</v>
          </cell>
          <cell r="I67" t="str">
            <v>56 - 001</v>
          </cell>
          <cell r="J67">
            <v>7862400</v>
          </cell>
        </row>
        <row r="68">
          <cell r="B68" t="str">
            <v>Đinh Văn Phước</v>
          </cell>
          <cell r="C68" t="str">
            <v>Vĩnh Lương, Nha Trang,Khánh Hòa</v>
          </cell>
          <cell r="D68" t="str">
            <v>0296289203</v>
          </cell>
          <cell r="E68" t="str">
            <v>0296289203</v>
          </cell>
          <cell r="F68" t="str">
            <v>DN4790296289203</v>
          </cell>
          <cell r="G68" t="str">
            <v>23/08/1968</v>
          </cell>
          <cell r="H68" t="str">
            <v>Nam</v>
          </cell>
          <cell r="I68" t="str">
            <v>56 - 001</v>
          </cell>
          <cell r="J68">
            <v>7238400</v>
          </cell>
        </row>
        <row r="69">
          <cell r="B69" t="str">
            <v>Trần Dự Sang</v>
          </cell>
          <cell r="C69" t="str">
            <v>70/25 đường 2-4 Nha Trang , Khánh Hòa</v>
          </cell>
          <cell r="D69" t="str">
            <v>0296289210</v>
          </cell>
          <cell r="E69" t="str">
            <v>0296289210</v>
          </cell>
          <cell r="F69" t="str">
            <v>DN4790296289210</v>
          </cell>
          <cell r="G69" t="str">
            <v>20/01/1971</v>
          </cell>
          <cell r="H69" t="str">
            <v>Nam</v>
          </cell>
          <cell r="I69" t="str">
            <v>56 - 177</v>
          </cell>
          <cell r="J69">
            <v>7862400</v>
          </cell>
        </row>
        <row r="70">
          <cell r="B70" t="str">
            <v>Võ Thanh Đồng</v>
          </cell>
          <cell r="C70" t="str">
            <v>T1, TT.Ninh Hòa, Khánh Hòa</v>
          </cell>
          <cell r="D70" t="str">
            <v>0296289224</v>
          </cell>
          <cell r="E70" t="str">
            <v>0296289224</v>
          </cell>
          <cell r="F70" t="str">
            <v>DN4790296289224</v>
          </cell>
          <cell r="G70" t="str">
            <v>01/02/1971</v>
          </cell>
          <cell r="H70" t="str">
            <v>Nam</v>
          </cell>
          <cell r="I70" t="str">
            <v>56 - 003</v>
          </cell>
          <cell r="J70">
            <v>6988800</v>
          </cell>
        </row>
        <row r="71">
          <cell r="B71" t="str">
            <v>Nguyễn Trung Dũng</v>
          </cell>
          <cell r="C71" t="str">
            <v>51/364c quang trung, Phường 12, Quận Gò Vấp, Thành phố Hồ Chí Minh</v>
          </cell>
          <cell r="D71" t="str">
            <v>0296289240</v>
          </cell>
          <cell r="E71" t="str">
            <v>0296289240</v>
          </cell>
          <cell r="F71" t="str">
            <v>DN4790296289240</v>
          </cell>
          <cell r="G71" t="str">
            <v>20/10/1972</v>
          </cell>
          <cell r="H71" t="str">
            <v>Nam</v>
          </cell>
          <cell r="I71" t="str">
            <v>79 - 029</v>
          </cell>
          <cell r="J71">
            <v>7675200</v>
          </cell>
        </row>
        <row r="72">
          <cell r="B72" t="str">
            <v>Nguyễn Du</v>
          </cell>
          <cell r="C72" t="str">
            <v>Quảng Tiến, Thống Nhất, Đồng Nai</v>
          </cell>
          <cell r="D72" t="str">
            <v>0296289257</v>
          </cell>
          <cell r="E72" t="str">
            <v>0296289257</v>
          </cell>
          <cell r="F72" t="str">
            <v>DN4790296289257</v>
          </cell>
          <cell r="G72" t="str">
            <v>10/06/1972</v>
          </cell>
          <cell r="H72" t="str">
            <v>Nam</v>
          </cell>
          <cell r="I72" t="str">
            <v>75 - 012</v>
          </cell>
          <cell r="J72">
            <v>7862400</v>
          </cell>
        </row>
        <row r="73">
          <cell r="B73" t="str">
            <v>Tống Công Thăng</v>
          </cell>
          <cell r="C73" t="str">
            <v>Xuân Trường, Xuân Lộc, Đồng Nai</v>
          </cell>
          <cell r="D73" t="str">
            <v>0296289269</v>
          </cell>
          <cell r="E73" t="str">
            <v>0296289269</v>
          </cell>
          <cell r="F73" t="str">
            <v>DN4790296289269</v>
          </cell>
          <cell r="G73" t="str">
            <v>12/03/1972</v>
          </cell>
          <cell r="H73" t="str">
            <v>Nam</v>
          </cell>
          <cell r="I73" t="str">
            <v>75 - 013</v>
          </cell>
          <cell r="J73">
            <v>8143200</v>
          </cell>
        </row>
        <row r="74">
          <cell r="B74" t="str">
            <v>Đồng Thành Đoàn</v>
          </cell>
          <cell r="C74" t="str">
            <v>23 Trần Phú, Long Khánh, Đồng Nai</v>
          </cell>
          <cell r="D74" t="str">
            <v>0296289270</v>
          </cell>
          <cell r="E74" t="str">
            <v>0296289270</v>
          </cell>
          <cell r="F74" t="str">
            <v>DN4790296289270</v>
          </cell>
          <cell r="G74" t="str">
            <v>26/03/1975</v>
          </cell>
          <cell r="H74" t="str">
            <v>Nam</v>
          </cell>
          <cell r="I74" t="str">
            <v>60 - 040</v>
          </cell>
          <cell r="J74">
            <v>6988800</v>
          </cell>
        </row>
        <row r="75">
          <cell r="B75" t="str">
            <v>Nguyễn Văn Tình</v>
          </cell>
          <cell r="C75" t="str">
            <v>Xuân Thành, Xuân Lộc, Đồng Nai</v>
          </cell>
          <cell r="D75" t="str">
            <v>0296289272</v>
          </cell>
          <cell r="E75" t="str">
            <v>0296289272</v>
          </cell>
          <cell r="F75" t="str">
            <v>DN4790296289272</v>
          </cell>
          <cell r="G75" t="str">
            <v>26/03/1972</v>
          </cell>
          <cell r="H75" t="str">
            <v>Nam</v>
          </cell>
          <cell r="I75" t="str">
            <v>75 - 013</v>
          </cell>
          <cell r="J75">
            <v>7862400</v>
          </cell>
        </row>
        <row r="76">
          <cell r="B76" t="str">
            <v>Thái Hoàng Huy</v>
          </cell>
          <cell r="C76" t="str">
            <v>Suối Kiết, Tánh Linh, Bình Thuận</v>
          </cell>
          <cell r="D76" t="str">
            <v>0296289277</v>
          </cell>
          <cell r="E76" t="str">
            <v>0296289277</v>
          </cell>
          <cell r="F76" t="str">
            <v>DN4790296289277</v>
          </cell>
          <cell r="G76" t="str">
            <v>15/12/1970</v>
          </cell>
          <cell r="H76" t="str">
            <v>Nam</v>
          </cell>
          <cell r="I76" t="str">
            <v>60 - 013</v>
          </cell>
          <cell r="J76">
            <v>7348800</v>
          </cell>
        </row>
        <row r="77">
          <cell r="B77" t="str">
            <v>Phạm Văn Huyên</v>
          </cell>
          <cell r="C77" t="str">
            <v>Gia Ray, Xuân Lộc, Đồng Nai</v>
          </cell>
          <cell r="D77" t="str">
            <v>0296289279</v>
          </cell>
          <cell r="E77" t="str">
            <v>0296289279</v>
          </cell>
          <cell r="F77" t="str">
            <v>DN4790296289279</v>
          </cell>
          <cell r="G77" t="str">
            <v>23/06/1976</v>
          </cell>
          <cell r="H77" t="str">
            <v>Nam</v>
          </cell>
          <cell r="I77" t="str">
            <v>79 - 034</v>
          </cell>
          <cell r="J77">
            <v>7394400</v>
          </cell>
        </row>
        <row r="78">
          <cell r="B78" t="str">
            <v>Nguyễn Văn Thái</v>
          </cell>
          <cell r="C78" t="str">
            <v>Suối Cao, Xuân Lộc, Đồng Nai</v>
          </cell>
          <cell r="D78" t="str">
            <v>0296289280</v>
          </cell>
          <cell r="E78" t="str">
            <v>0296289280</v>
          </cell>
          <cell r="F78" t="str">
            <v>DN4790296289280</v>
          </cell>
          <cell r="G78" t="str">
            <v>10/11/1973</v>
          </cell>
          <cell r="H78" t="str">
            <v>Nam</v>
          </cell>
          <cell r="I78" t="str">
            <v>75 - 013</v>
          </cell>
          <cell r="J78">
            <v>6973200</v>
          </cell>
        </row>
        <row r="79">
          <cell r="B79" t="str">
            <v>Phạm Xuân Bình</v>
          </cell>
          <cell r="C79" t="str">
            <v>Tân Nghĩa, Hàm Tân, Bình Thuận</v>
          </cell>
          <cell r="D79" t="str">
            <v>0296289285</v>
          </cell>
          <cell r="E79" t="str">
            <v>0296289285</v>
          </cell>
          <cell r="F79" t="str">
            <v>DN4790296289285</v>
          </cell>
          <cell r="G79" t="str">
            <v>02/01/1972</v>
          </cell>
          <cell r="H79" t="str">
            <v>Nam</v>
          </cell>
          <cell r="I79" t="str">
            <v>60 - 019</v>
          </cell>
          <cell r="J79">
            <v>6932800</v>
          </cell>
        </row>
        <row r="80">
          <cell r="B80" t="str">
            <v>Nguyễn Xuân Long</v>
          </cell>
          <cell r="C80" t="str">
            <v>29/11 Nhị Đồng, Dĩ An, Bình Dương</v>
          </cell>
          <cell r="D80" t="str">
            <v>0296289296</v>
          </cell>
          <cell r="E80" t="str">
            <v>0296289296</v>
          </cell>
          <cell r="F80" t="str">
            <v>DN4790296289296</v>
          </cell>
          <cell r="G80" t="str">
            <v>20/01/1970</v>
          </cell>
          <cell r="H80" t="str">
            <v>Nam</v>
          </cell>
          <cell r="I80" t="str">
            <v>79 - 037</v>
          </cell>
          <cell r="J80">
            <v>7862400</v>
          </cell>
        </row>
        <row r="81">
          <cell r="B81" t="str">
            <v>Phạm Hồng Sơn</v>
          </cell>
          <cell r="C81" t="str">
            <v>Chí Thạnh, Tuy An, Phú Yên</v>
          </cell>
          <cell r="D81" t="str">
            <v>0296289316</v>
          </cell>
          <cell r="E81" t="str">
            <v>0296289316</v>
          </cell>
          <cell r="F81" t="str">
            <v>DN4790296289316</v>
          </cell>
          <cell r="G81" t="str">
            <v>17/12/1969</v>
          </cell>
          <cell r="H81" t="str">
            <v>Nam</v>
          </cell>
          <cell r="I81" t="str">
            <v>54 - 030</v>
          </cell>
          <cell r="J81">
            <v>7238400</v>
          </cell>
        </row>
        <row r="82">
          <cell r="B82" t="str">
            <v>Đặng Văn Long</v>
          </cell>
          <cell r="C82" t="str">
            <v>87 Lê Trung Kiên, Tuy Hòa, Phú Yên</v>
          </cell>
          <cell r="D82" t="str">
            <v>0296289317</v>
          </cell>
          <cell r="E82" t="str">
            <v>0296289317</v>
          </cell>
          <cell r="F82" t="str">
            <v>DN4790296289317</v>
          </cell>
          <cell r="G82" t="str">
            <v>22/08/1970</v>
          </cell>
          <cell r="H82" t="str">
            <v>Nam</v>
          </cell>
          <cell r="I82" t="str">
            <v>54 - 033</v>
          </cell>
          <cell r="J82">
            <v>6572800</v>
          </cell>
        </row>
        <row r="83">
          <cell r="B83" t="str">
            <v>Phạm Văn Dũng</v>
          </cell>
          <cell r="C83" t="str">
            <v>144/7C/13 XVNT, P15, Q.Bình Thạnh</v>
          </cell>
          <cell r="D83" t="str">
            <v>0296289342</v>
          </cell>
          <cell r="E83" t="str">
            <v>0296289342</v>
          </cell>
          <cell r="F83" t="str">
            <v>DN4790296289342</v>
          </cell>
          <cell r="G83" t="str">
            <v>06/08/1963</v>
          </cell>
          <cell r="H83" t="str">
            <v>Nam</v>
          </cell>
          <cell r="I83" t="str">
            <v>79 - 025</v>
          </cell>
          <cell r="J83">
            <v>14929200</v>
          </cell>
        </row>
        <row r="84">
          <cell r="B84" t="str">
            <v>Uông Nhật Phương</v>
          </cell>
          <cell r="C84" t="str">
            <v>Đô Vinh, Phan Rang  Tháp Chàm, Ninh Thuận</v>
          </cell>
          <cell r="D84" t="str">
            <v>0296289345</v>
          </cell>
          <cell r="E84" t="str">
            <v>0296289345</v>
          </cell>
          <cell r="F84" t="str">
            <v>DN4790296289345</v>
          </cell>
          <cell r="G84" t="str">
            <v>30/10/1974</v>
          </cell>
          <cell r="H84" t="str">
            <v>Nam</v>
          </cell>
          <cell r="I84" t="str">
            <v>79 - 034</v>
          </cell>
          <cell r="J84">
            <v>15912000</v>
          </cell>
        </row>
        <row r="85">
          <cell r="B85" t="str">
            <v>Nguyễn Thị Minh Loan</v>
          </cell>
          <cell r="C85" t="str">
            <v>Đô Vinh, Phan Rang Tháp Chàm, Ninh Thuận</v>
          </cell>
          <cell r="D85" t="str">
            <v>0296289351</v>
          </cell>
          <cell r="E85" t="str">
            <v>0296289351</v>
          </cell>
          <cell r="F85" t="str">
            <v>DN4790296289351</v>
          </cell>
          <cell r="G85" t="str">
            <v>13/01/1976</v>
          </cell>
          <cell r="H85" t="str">
            <v>Nữ</v>
          </cell>
          <cell r="I85" t="str">
            <v>58 - 114</v>
          </cell>
          <cell r="J85">
            <v>6240000</v>
          </cell>
        </row>
        <row r="86">
          <cell r="B86" t="str">
            <v>Phạm Công Thành</v>
          </cell>
          <cell r="C86" t="str">
            <v>409 Lô B C/c Sơn Kỳ</v>
          </cell>
          <cell r="D86" t="str">
            <v>0296289360</v>
          </cell>
          <cell r="E86" t="str">
            <v>0296289360</v>
          </cell>
          <cell r="F86" t="str">
            <v>DN4790296289360</v>
          </cell>
          <cell r="G86" t="str">
            <v>03/08/1969</v>
          </cell>
          <cell r="H86" t="str">
            <v>Nam</v>
          </cell>
          <cell r="I86" t="str">
            <v>79 - 025</v>
          </cell>
          <cell r="J86">
            <v>12729600</v>
          </cell>
        </row>
        <row r="87">
          <cell r="B87" t="str">
            <v>Đỗ Xuân Ninh</v>
          </cell>
          <cell r="C87" t="str">
            <v>Hải Ninh, Bắc Bình, Bình Thuận</v>
          </cell>
          <cell r="D87" t="str">
            <v>0296289373</v>
          </cell>
          <cell r="E87" t="str">
            <v>0296289373</v>
          </cell>
          <cell r="F87" t="str">
            <v>DN4790296289373</v>
          </cell>
          <cell r="G87" t="str">
            <v>18/08/1971</v>
          </cell>
          <cell r="H87" t="str">
            <v>Nam</v>
          </cell>
          <cell r="I87" t="str">
            <v>60 - 004</v>
          </cell>
          <cell r="J87">
            <v>7348800</v>
          </cell>
        </row>
        <row r="88">
          <cell r="B88" t="str">
            <v>Đậu Trường Thành</v>
          </cell>
          <cell r="C88" t="str">
            <v>Phước Mỹ, Phan Rang- Tháp Chàm, Ninh Thuận</v>
          </cell>
          <cell r="D88" t="str">
            <v>0296289386</v>
          </cell>
          <cell r="E88" t="str">
            <v>0296289386</v>
          </cell>
          <cell r="F88" t="str">
            <v>DN4790296289386</v>
          </cell>
          <cell r="G88" t="str">
            <v>14/07/1967</v>
          </cell>
          <cell r="H88" t="str">
            <v>Nam</v>
          </cell>
          <cell r="I88" t="str">
            <v>79 - 009</v>
          </cell>
          <cell r="J88">
            <v>12729600</v>
          </cell>
        </row>
        <row r="89">
          <cell r="B89" t="str">
            <v>Phan Quý Mạnh</v>
          </cell>
          <cell r="C89" t="str">
            <v>Công Hải, Ninh hải, Ninh Thuận</v>
          </cell>
          <cell r="D89" t="str">
            <v>0296289388</v>
          </cell>
          <cell r="E89" t="str">
            <v>0296289388</v>
          </cell>
          <cell r="F89" t="str">
            <v>DN4790296289388</v>
          </cell>
          <cell r="G89" t="str">
            <v>11/06/1970</v>
          </cell>
          <cell r="H89" t="str">
            <v>Nam</v>
          </cell>
          <cell r="I89" t="str">
            <v>58 - 007</v>
          </cell>
          <cell r="J89">
            <v>7168800</v>
          </cell>
        </row>
        <row r="90">
          <cell r="B90" t="str">
            <v>Lý Tiến Sỹ</v>
          </cell>
          <cell r="C90" t="str">
            <v>Đô Vinh, Phan Rang - Tháp Chàm, Ninh Thuận</v>
          </cell>
          <cell r="D90" t="str">
            <v>0296289390</v>
          </cell>
          <cell r="E90" t="str">
            <v>0296289390</v>
          </cell>
          <cell r="F90" t="str">
            <v>DN4790296289390</v>
          </cell>
          <cell r="G90" t="str">
            <v>15/10/1972</v>
          </cell>
          <cell r="H90" t="str">
            <v>Nam</v>
          </cell>
          <cell r="I90" t="str">
            <v>58 - 001</v>
          </cell>
          <cell r="J90">
            <v>7168800</v>
          </cell>
        </row>
        <row r="91">
          <cell r="B91" t="str">
            <v>Dương Việt Hằng</v>
          </cell>
          <cell r="C91" t="str">
            <v>81/16 Tổ 8 khu phố 4A</v>
          </cell>
          <cell r="D91" t="str">
            <v>0296289400</v>
          </cell>
          <cell r="E91" t="str">
            <v>0296289400</v>
          </cell>
          <cell r="F91" t="str">
            <v>DN4790296289400</v>
          </cell>
          <cell r="G91" t="str">
            <v>02/08/1973</v>
          </cell>
          <cell r="H91" t="str">
            <v>Nữ</v>
          </cell>
          <cell r="I91" t="str">
            <v>79 - 035</v>
          </cell>
          <cell r="J91">
            <v>7020000</v>
          </cell>
        </row>
        <row r="92">
          <cell r="B92" t="str">
            <v>Phan Hà Nam</v>
          </cell>
          <cell r="C92" t="str">
            <v>62/15/1Nhất Chi Mai, P13, Q. Tân Bình</v>
          </cell>
          <cell r="D92" t="str">
            <v>0296289413</v>
          </cell>
          <cell r="E92" t="str">
            <v>0296289413</v>
          </cell>
          <cell r="F92" t="str">
            <v>DN4790296289413</v>
          </cell>
          <cell r="G92" t="str">
            <v>17/08/1973</v>
          </cell>
          <cell r="H92" t="str">
            <v>Nam</v>
          </cell>
          <cell r="I92" t="str">
            <v>79 - 025</v>
          </cell>
          <cell r="J92">
            <v>8143200</v>
          </cell>
        </row>
        <row r="93">
          <cell r="B93" t="str">
            <v>Trần Thiện Minh Trí</v>
          </cell>
          <cell r="C93" t="str">
            <v>251/19 Lê Quang Đinh, F7, Q. Bình Thạnh</v>
          </cell>
          <cell r="D93" t="str">
            <v>0296289414</v>
          </cell>
          <cell r="E93" t="str">
            <v>0296289414</v>
          </cell>
          <cell r="F93" t="str">
            <v>DN4790296289414</v>
          </cell>
          <cell r="G93" t="str">
            <v>01/10/1968</v>
          </cell>
          <cell r="H93" t="str">
            <v>Nam</v>
          </cell>
          <cell r="I93" t="str">
            <v>79 - 030</v>
          </cell>
          <cell r="J93">
            <v>8143200</v>
          </cell>
        </row>
        <row r="94">
          <cell r="B94" t="str">
            <v>Nguyễn Văn Khoa</v>
          </cell>
          <cell r="C94" t="str">
            <v>195/2B Kha Vạn Cân Hiệp Bình Chánh,Th.Đức</v>
          </cell>
          <cell r="D94" t="str">
            <v>0296289439</v>
          </cell>
          <cell r="E94" t="str">
            <v>0296289439</v>
          </cell>
          <cell r="F94" t="str">
            <v>DN4790296289439</v>
          </cell>
          <cell r="G94" t="str">
            <v>12/03/1971</v>
          </cell>
          <cell r="H94" t="str">
            <v>Nam</v>
          </cell>
          <cell r="I94" t="str">
            <v>79 - 030</v>
          </cell>
          <cell r="J94">
            <v>7862400</v>
          </cell>
        </row>
        <row r="95">
          <cell r="B95" t="str">
            <v>Trần Quang Nghiêm</v>
          </cell>
          <cell r="C95" t="str">
            <v>1/37 Nguyễn Cư Trinh</v>
          </cell>
          <cell r="D95" t="str">
            <v>0296289442</v>
          </cell>
          <cell r="E95" t="str">
            <v>0296289442</v>
          </cell>
          <cell r="F95" t="str">
            <v>DN4790296289442</v>
          </cell>
          <cell r="G95" t="str">
            <v>02/06/1974</v>
          </cell>
          <cell r="H95" t="str">
            <v>Nam</v>
          </cell>
          <cell r="I95" t="str">
            <v>79 - 034</v>
          </cell>
          <cell r="J95">
            <v>7909200</v>
          </cell>
        </row>
        <row r="96">
          <cell r="B96" t="str">
            <v>Đàm Ngọc Mẫn</v>
          </cell>
          <cell r="C96" t="str">
            <v>7A, KP2, F Hiệp Bình Chánh, Q. Thủ Đức</v>
          </cell>
          <cell r="D96" t="str">
            <v>0296289443</v>
          </cell>
          <cell r="E96" t="str">
            <v>0296289443</v>
          </cell>
          <cell r="F96" t="str">
            <v>DN4790296289443</v>
          </cell>
          <cell r="G96" t="str">
            <v>15/12/1974</v>
          </cell>
          <cell r="H96" t="str">
            <v>Nam</v>
          </cell>
          <cell r="I96" t="str">
            <v>79 - 034</v>
          </cell>
          <cell r="J96">
            <v>13525200</v>
          </cell>
        </row>
        <row r="97">
          <cell r="B97" t="str">
            <v>Võ Quang Thịnh</v>
          </cell>
          <cell r="C97" t="str">
            <v>Ninh Quang, Ninh Hòa, Khánh Hòa</v>
          </cell>
          <cell r="D97" t="str">
            <v>0296289444</v>
          </cell>
          <cell r="E97" t="str">
            <v>0296289444</v>
          </cell>
          <cell r="F97" t="str">
            <v>DN4790296289444</v>
          </cell>
          <cell r="G97" t="str">
            <v>02/10/1970</v>
          </cell>
          <cell r="H97" t="str">
            <v>Nam</v>
          </cell>
          <cell r="I97" t="str">
            <v>56 - 105</v>
          </cell>
          <cell r="J97">
            <v>6988800</v>
          </cell>
        </row>
        <row r="98">
          <cell r="B98" t="str">
            <v>Trần Quang Nghị</v>
          </cell>
          <cell r="C98" t="str">
            <v>13/17 Thắng Lợi, Dĩ An, Bình Dương</v>
          </cell>
          <cell r="D98" t="str">
            <v>0296289448</v>
          </cell>
          <cell r="E98" t="str">
            <v>0296289448</v>
          </cell>
          <cell r="F98" t="str">
            <v>DN4790296289448</v>
          </cell>
          <cell r="G98" t="str">
            <v>22/11/1966</v>
          </cell>
          <cell r="H98" t="str">
            <v>Nam</v>
          </cell>
          <cell r="I98" t="str">
            <v>79 - 025</v>
          </cell>
          <cell r="J98">
            <v>9126000</v>
          </cell>
        </row>
        <row r="99">
          <cell r="B99" t="str">
            <v>Trần Ngọc Lợi</v>
          </cell>
          <cell r="C99" t="str">
            <v>21/2 KP.Bình Minh, Dĩ An Bình Dương</v>
          </cell>
          <cell r="D99" t="str">
            <v>0296289451</v>
          </cell>
          <cell r="E99" t="str">
            <v>0296289451</v>
          </cell>
          <cell r="F99" t="str">
            <v>DN4790296289451</v>
          </cell>
          <cell r="G99" t="str">
            <v>10/08/1968</v>
          </cell>
          <cell r="H99" t="str">
            <v>Nam</v>
          </cell>
          <cell r="I99" t="str">
            <v>79 - 037</v>
          </cell>
          <cell r="J99">
            <v>7862400</v>
          </cell>
        </row>
        <row r="100">
          <cell r="B100" t="str">
            <v>Ngô Công Chính</v>
          </cell>
          <cell r="C100" t="str">
            <v>260A/4 KP4, P. Tam Bình, Q. Thủ Đức</v>
          </cell>
          <cell r="D100" t="str">
            <v>0296289473</v>
          </cell>
          <cell r="E100" t="str">
            <v>0296289473</v>
          </cell>
          <cell r="F100" t="str">
            <v>DN4790296289473</v>
          </cell>
          <cell r="G100" t="str">
            <v>24/01/1974</v>
          </cell>
          <cell r="H100" t="str">
            <v>Nam</v>
          </cell>
          <cell r="I100" t="str">
            <v>79 - 030</v>
          </cell>
          <cell r="J100">
            <v>7394400</v>
          </cell>
        </row>
        <row r="101">
          <cell r="B101" t="str">
            <v>Đỗ Cao Mầu</v>
          </cell>
          <cell r="C101" t="str">
            <v>Đông Thuận, Tân Hà, Hàm Tân,Bình Thuận</v>
          </cell>
          <cell r="D101" t="str">
            <v>0296289475</v>
          </cell>
          <cell r="E101" t="str">
            <v>0296289475</v>
          </cell>
          <cell r="F101" t="str">
            <v>DN4790296289475</v>
          </cell>
          <cell r="G101" t="str">
            <v>10/04/1971</v>
          </cell>
          <cell r="H101" t="str">
            <v>Nam</v>
          </cell>
          <cell r="I101" t="str">
            <v>60 - 019</v>
          </cell>
          <cell r="J101">
            <v>7598400</v>
          </cell>
        </row>
        <row r="102">
          <cell r="B102" t="str">
            <v>Đỗ Văn Tuyến</v>
          </cell>
          <cell r="C102" t="str">
            <v>Quảng Tíên, Thống Nhất, Đồng Nai</v>
          </cell>
          <cell r="D102" t="str">
            <v>0296289478</v>
          </cell>
          <cell r="E102" t="str">
            <v>0296289478</v>
          </cell>
          <cell r="F102" t="str">
            <v>DN4790296289478</v>
          </cell>
          <cell r="G102" t="str">
            <v>15/08/1971</v>
          </cell>
          <cell r="H102" t="str">
            <v>Nam</v>
          </cell>
          <cell r="I102" t="str">
            <v>75 - 012</v>
          </cell>
          <cell r="J102">
            <v>8143200</v>
          </cell>
        </row>
        <row r="103">
          <cell r="B103" t="str">
            <v>Lê Đồng</v>
          </cell>
          <cell r="C103" t="str">
            <v>Ấp 94</v>
          </cell>
          <cell r="D103" t="str">
            <v>0296289479</v>
          </cell>
          <cell r="E103" t="str">
            <v>0296289479</v>
          </cell>
          <cell r="F103" t="str">
            <v>DN4790296289479</v>
          </cell>
          <cell r="G103" t="str">
            <v>25/08/1970</v>
          </cell>
          <cell r="H103" t="str">
            <v>Nam</v>
          </cell>
          <cell r="I103" t="str">
            <v>75 - 026</v>
          </cell>
          <cell r="J103">
            <v>6973200</v>
          </cell>
        </row>
        <row r="104">
          <cell r="B104" t="str">
            <v>Vũ Văn Thảo</v>
          </cell>
          <cell r="C104" t="str">
            <v>41/63 KP3 Bình Hưng hoà, Bình tân</v>
          </cell>
          <cell r="D104" t="str">
            <v>0296289480</v>
          </cell>
          <cell r="E104" t="str">
            <v>0296289480</v>
          </cell>
          <cell r="F104" t="str">
            <v>DN4790296289480</v>
          </cell>
          <cell r="G104" t="str">
            <v>04/08/1975</v>
          </cell>
          <cell r="H104" t="str">
            <v>Nam</v>
          </cell>
          <cell r="I104" t="str">
            <v>79 - 025</v>
          </cell>
          <cell r="J104">
            <v>8845200</v>
          </cell>
        </row>
        <row r="105">
          <cell r="B105" t="str">
            <v>Nguyễn Văn Thông</v>
          </cell>
          <cell r="C105" t="str">
            <v>11C tập thể ĐS,Hiệp Bình Chánh,Th.Đức</v>
          </cell>
          <cell r="D105" t="str">
            <v>0296289481</v>
          </cell>
          <cell r="E105" t="str">
            <v>0296289481</v>
          </cell>
          <cell r="F105" t="str">
            <v>DN4790296289481</v>
          </cell>
          <cell r="G105" t="str">
            <v>30/03/1974</v>
          </cell>
          <cell r="H105" t="str">
            <v>Nam</v>
          </cell>
          <cell r="I105" t="str">
            <v>79 - 030</v>
          </cell>
          <cell r="J105">
            <v>7581600</v>
          </cell>
        </row>
        <row r="106">
          <cell r="B106" t="str">
            <v>Tô Quang Toán</v>
          </cell>
          <cell r="C106" t="str">
            <v>Khu tập thể ĐS A4, Biên Hòa Đồng Nai</v>
          </cell>
          <cell r="D106" t="str">
            <v>0296289482</v>
          </cell>
          <cell r="E106" t="str">
            <v>0296289482</v>
          </cell>
          <cell r="F106" t="str">
            <v>DN4790296289482</v>
          </cell>
          <cell r="G106" t="str">
            <v>10/02/1971</v>
          </cell>
          <cell r="H106" t="str">
            <v>Nam</v>
          </cell>
          <cell r="I106" t="str">
            <v>75 - 003</v>
          </cell>
          <cell r="J106">
            <v>7909200</v>
          </cell>
        </row>
        <row r="107">
          <cell r="B107" t="str">
            <v>Trần Thị Ánh Hoa</v>
          </cell>
          <cell r="C107" t="str">
            <v>243/1 An Dương Vương P11 Q5 Tp.HCM</v>
          </cell>
          <cell r="D107" t="str">
            <v>0296289483</v>
          </cell>
          <cell r="E107" t="str">
            <v>0296289483</v>
          </cell>
          <cell r="F107" t="str">
            <v>DN4790296289483</v>
          </cell>
          <cell r="G107" t="str">
            <v>31/10/1976</v>
          </cell>
          <cell r="H107" t="str">
            <v>Nữ</v>
          </cell>
          <cell r="I107" t="str">
            <v>79 - 002</v>
          </cell>
          <cell r="J107">
            <v>10483200</v>
          </cell>
        </row>
        <row r="108">
          <cell r="B108" t="str">
            <v>Nguyễn Thành Niên</v>
          </cell>
          <cell r="C108" t="str">
            <v>Thanh Mỹ, Ninh Quang,Ninh Hòa Khánh Hòa</v>
          </cell>
          <cell r="D108" t="str">
            <v>0296289485</v>
          </cell>
          <cell r="E108" t="str">
            <v>0296289485</v>
          </cell>
          <cell r="F108" t="str">
            <v>DN4790296289485</v>
          </cell>
          <cell r="G108" t="str">
            <v>11/06/1973</v>
          </cell>
          <cell r="H108" t="str">
            <v>Nam</v>
          </cell>
          <cell r="I108" t="str">
            <v>56 - 105</v>
          </cell>
          <cell r="J108">
            <v>6988800</v>
          </cell>
        </row>
        <row r="109">
          <cell r="B109" t="str">
            <v>Lê Lương Hoàng</v>
          </cell>
          <cell r="C109" t="str">
            <v>Bảo An, Phan Rang- Tháp Chàm, Ninh Thuận</v>
          </cell>
          <cell r="D109" t="str">
            <v>0296289488</v>
          </cell>
          <cell r="E109" t="str">
            <v>0296289488</v>
          </cell>
          <cell r="F109" t="str">
            <v>DN4790296289488</v>
          </cell>
          <cell r="G109" t="str">
            <v>26/10/1975</v>
          </cell>
          <cell r="H109" t="str">
            <v>Nam</v>
          </cell>
          <cell r="I109" t="str">
            <v>58 - 114</v>
          </cell>
          <cell r="J109">
            <v>7862400</v>
          </cell>
        </row>
        <row r="110">
          <cell r="B110" t="str">
            <v>Nguyễn Vũ Tất Thắng</v>
          </cell>
          <cell r="C110" t="str">
            <v>tập thể Ga Hố Nai, Biên Hòa, Đồng Nai</v>
          </cell>
          <cell r="D110" t="str">
            <v>0296289489</v>
          </cell>
          <cell r="E110" t="str">
            <v>0296289489</v>
          </cell>
          <cell r="F110" t="str">
            <v>DN4790296289489</v>
          </cell>
          <cell r="G110" t="str">
            <v>08/10/1970</v>
          </cell>
          <cell r="H110" t="str">
            <v>Nam</v>
          </cell>
          <cell r="I110" t="str">
            <v>75 - 012</v>
          </cell>
          <cell r="J110">
            <v>7394400</v>
          </cell>
        </row>
        <row r="111">
          <cell r="B111" t="str">
            <v>Võ Văn Hiển</v>
          </cell>
          <cell r="C111" t="str">
            <v>Diên Điền, Diên Khánh, Khánh Hòa</v>
          </cell>
          <cell r="D111" t="str">
            <v>0296289494</v>
          </cell>
          <cell r="E111" t="str">
            <v>0296289494</v>
          </cell>
          <cell r="F111" t="str">
            <v>DN4790296289494</v>
          </cell>
          <cell r="G111" t="str">
            <v>22/08/1971</v>
          </cell>
          <cell r="H111" t="str">
            <v>Nam</v>
          </cell>
          <cell r="I111" t="str">
            <v>56 - 183</v>
          </cell>
          <cell r="J111">
            <v>7155200</v>
          </cell>
        </row>
        <row r="112">
          <cell r="B112" t="str">
            <v>Vũ Đình Hợp</v>
          </cell>
          <cell r="C112" t="str">
            <v>Quang Khải, Tứ Lộc, Hải Dương</v>
          </cell>
          <cell r="D112" t="str">
            <v>0296289496</v>
          </cell>
          <cell r="E112" t="str">
            <v>0296289496</v>
          </cell>
          <cell r="F112" t="str">
            <v>DN4790296289496</v>
          </cell>
          <cell r="G112" t="str">
            <v>05/04/1973</v>
          </cell>
          <cell r="H112" t="str">
            <v>Nam</v>
          </cell>
          <cell r="I112" t="str">
            <v>79 - 030</v>
          </cell>
          <cell r="J112">
            <v>7862400</v>
          </cell>
        </row>
        <row r="113">
          <cell r="B113" t="str">
            <v>Nguyễn Minh Hải</v>
          </cell>
          <cell r="C113" t="str">
            <v>Gia Ray, Xuân Lộc, Đồng Nai</v>
          </cell>
          <cell r="D113" t="str">
            <v>0296289498</v>
          </cell>
          <cell r="E113" t="str">
            <v>0296289498</v>
          </cell>
          <cell r="F113" t="str">
            <v>DN4790296289498</v>
          </cell>
          <cell r="G113" t="str">
            <v>07/09/1976</v>
          </cell>
          <cell r="H113" t="str">
            <v>Nam</v>
          </cell>
          <cell r="I113" t="str">
            <v>79 - 034</v>
          </cell>
          <cell r="J113">
            <v>7862400</v>
          </cell>
        </row>
        <row r="114">
          <cell r="B114" t="str">
            <v>Vũ Văn Quang</v>
          </cell>
          <cell r="C114" t="str">
            <v>246/2A XVNT, P.21, Q.Bình Thạnh, Tp.HCM</v>
          </cell>
          <cell r="D114" t="str">
            <v>0296289502</v>
          </cell>
          <cell r="E114" t="str">
            <v>0296289502</v>
          </cell>
          <cell r="F114" t="str">
            <v>DN4790296289502</v>
          </cell>
          <cell r="G114" t="str">
            <v>05/10/1968</v>
          </cell>
          <cell r="H114" t="str">
            <v>Nam</v>
          </cell>
          <cell r="I114" t="str">
            <v>79 - 030</v>
          </cell>
          <cell r="J114">
            <v>7862400</v>
          </cell>
        </row>
        <row r="115">
          <cell r="B115" t="str">
            <v>Vũ Mạnh Hùng</v>
          </cell>
          <cell r="C115" t="str">
            <v>Đô Vinh, Phan Rang -Tháp Chàm NinhThuận</v>
          </cell>
          <cell r="D115" t="str">
            <v>0296289504</v>
          </cell>
          <cell r="E115" t="str">
            <v>0296289504</v>
          </cell>
          <cell r="F115" t="str">
            <v>DN4790296289504</v>
          </cell>
          <cell r="G115" t="str">
            <v>15/12/1972</v>
          </cell>
          <cell r="H115" t="str">
            <v>Nam</v>
          </cell>
          <cell r="I115" t="str">
            <v>79 - 034</v>
          </cell>
          <cell r="J115">
            <v>8377200</v>
          </cell>
        </row>
        <row r="116">
          <cell r="B116" t="str">
            <v>Đặng Đức Hùng</v>
          </cell>
          <cell r="C116" t="str">
            <v>Hải Ninh, Bắc Bình, Bình Thuận</v>
          </cell>
          <cell r="D116" t="str">
            <v>0296289505</v>
          </cell>
          <cell r="E116" t="str">
            <v>0296289505</v>
          </cell>
          <cell r="F116" t="str">
            <v>DN4790296289505</v>
          </cell>
          <cell r="G116" t="str">
            <v>18/04/1973</v>
          </cell>
          <cell r="H116" t="str">
            <v>Nam</v>
          </cell>
          <cell r="I116" t="str">
            <v>58 - 007</v>
          </cell>
          <cell r="J116">
            <v>6752800</v>
          </cell>
        </row>
        <row r="117">
          <cell r="B117" t="str">
            <v>Nguyễn Hữu Tín</v>
          </cell>
          <cell r="C117" t="str">
            <v>Hiệp Giao, Vân Canh, Bình Định</v>
          </cell>
          <cell r="D117" t="str">
            <v>0297049244</v>
          </cell>
          <cell r="E117" t="str">
            <v>0297049244</v>
          </cell>
          <cell r="F117" t="str">
            <v>DN4790297049244</v>
          </cell>
          <cell r="G117" t="str">
            <v>02/01/1969</v>
          </cell>
          <cell r="H117" t="str">
            <v>Nam</v>
          </cell>
          <cell r="I117" t="str">
            <v>52 - 008</v>
          </cell>
          <cell r="J117">
            <v>7598400</v>
          </cell>
        </row>
        <row r="118">
          <cell r="B118" t="str">
            <v>Võ Công Tương</v>
          </cell>
          <cell r="C118" t="str">
            <v>Mương Mán, Hàm Thuận Nam, Bình Thuận</v>
          </cell>
          <cell r="D118" t="str">
            <v>0297049245</v>
          </cell>
          <cell r="E118" t="str">
            <v>0297049245</v>
          </cell>
          <cell r="F118" t="str">
            <v>DN4790297049245</v>
          </cell>
          <cell r="G118" t="str">
            <v>30/10/1972</v>
          </cell>
          <cell r="H118" t="str">
            <v>Nam</v>
          </cell>
          <cell r="I118" t="str">
            <v>75 - 281</v>
          </cell>
          <cell r="J118">
            <v>7862400</v>
          </cell>
        </row>
        <row r="119">
          <cell r="B119" t="str">
            <v>Bùi Duy Giáp</v>
          </cell>
          <cell r="C119" t="str">
            <v>Đông La, Đông Hưng, Thái Bình</v>
          </cell>
          <cell r="D119" t="str">
            <v>0297049246</v>
          </cell>
          <cell r="E119" t="str">
            <v>0297049246</v>
          </cell>
          <cell r="F119" t="str">
            <v>DN4790297049246</v>
          </cell>
          <cell r="G119" t="str">
            <v>17/02/1974</v>
          </cell>
          <cell r="H119" t="str">
            <v>Nam</v>
          </cell>
          <cell r="I119" t="str">
            <v>79 - 025</v>
          </cell>
          <cell r="J119">
            <v>10483200</v>
          </cell>
        </row>
        <row r="120">
          <cell r="B120" t="str">
            <v>Đinh Kim Hùng</v>
          </cell>
          <cell r="C120" t="str">
            <v>Công Hải, Ninh hải, Ninh Thuận</v>
          </cell>
          <cell r="D120" t="str">
            <v>0297049247</v>
          </cell>
          <cell r="E120" t="str">
            <v>0297049247</v>
          </cell>
          <cell r="F120" t="str">
            <v>DN4790297049247</v>
          </cell>
          <cell r="G120" t="str">
            <v>28/12/1974</v>
          </cell>
          <cell r="H120" t="str">
            <v>Nam</v>
          </cell>
          <cell r="I120" t="str">
            <v>52 - 008</v>
          </cell>
          <cell r="J120">
            <v>7348800</v>
          </cell>
        </row>
        <row r="121">
          <cell r="B121" t="str">
            <v>Nguyễn Trọng Bảy</v>
          </cell>
          <cell r="C121" t="str">
            <v>Khóm 3, Thị trấn Vạn Gĩa, Khánh Hòa</v>
          </cell>
          <cell r="D121" t="str">
            <v>0297049249</v>
          </cell>
          <cell r="E121" t="str">
            <v>0297049249</v>
          </cell>
          <cell r="F121" t="str">
            <v>DN4790297049249</v>
          </cell>
          <cell r="G121" t="str">
            <v>19/05/1973</v>
          </cell>
          <cell r="H121" t="str">
            <v>Nam</v>
          </cell>
          <cell r="I121" t="str">
            <v>56 - 002</v>
          </cell>
          <cell r="J121">
            <v>6988800</v>
          </cell>
        </row>
        <row r="122">
          <cell r="B122" t="str">
            <v>Nguyễn Văn Dương</v>
          </cell>
          <cell r="C122" t="str">
            <v>87 Lê Trung Kiên, Tuy Hòa, Phú Yên</v>
          </cell>
          <cell r="D122" t="str">
            <v>0297049250</v>
          </cell>
          <cell r="E122" t="str">
            <v>0297049250</v>
          </cell>
          <cell r="F122" t="str">
            <v>DN4790297049250</v>
          </cell>
          <cell r="G122" t="str">
            <v>16/09/1969</v>
          </cell>
          <cell r="H122" t="str">
            <v>Nam</v>
          </cell>
          <cell r="I122" t="str">
            <v>54 - 016</v>
          </cell>
          <cell r="J122">
            <v>6988800</v>
          </cell>
        </row>
        <row r="123">
          <cell r="B123" t="str">
            <v>Trần Văn Nghị</v>
          </cell>
          <cell r="C123" t="str">
            <v>Hải Ninh, Bắc Bình, Bình Thuận</v>
          </cell>
          <cell r="D123" t="str">
            <v>0297049251</v>
          </cell>
          <cell r="E123" t="str">
            <v>0297049251</v>
          </cell>
          <cell r="F123" t="str">
            <v>DN4790297049251</v>
          </cell>
          <cell r="G123" t="str">
            <v>06/10/1971</v>
          </cell>
          <cell r="H123" t="str">
            <v>Nam</v>
          </cell>
          <cell r="I123" t="str">
            <v>60 - 171</v>
          </cell>
          <cell r="J123">
            <v>7598400</v>
          </cell>
        </row>
        <row r="124">
          <cell r="B124" t="str">
            <v>Phan Văn Phái</v>
          </cell>
          <cell r="C124" t="str">
            <v>Suối Kiết, Tánh Linh, Bình Thuận</v>
          </cell>
          <cell r="D124" t="str">
            <v>0297049252</v>
          </cell>
          <cell r="E124" t="str">
            <v>0297049252</v>
          </cell>
          <cell r="F124" t="str">
            <v>DN4790297049252</v>
          </cell>
          <cell r="G124" t="str">
            <v>17/03/1971</v>
          </cell>
          <cell r="H124" t="str">
            <v>Nam</v>
          </cell>
          <cell r="I124" t="str">
            <v>75 - 013</v>
          </cell>
          <cell r="J124">
            <v>7394400</v>
          </cell>
        </row>
        <row r="125">
          <cell r="B125" t="str">
            <v>Lê Bá Khanh</v>
          </cell>
          <cell r="C125" t="str">
            <v>Hải Ninh, Bắc Bình, Bình Thuận</v>
          </cell>
          <cell r="D125" t="str">
            <v>0297049253</v>
          </cell>
          <cell r="E125" t="str">
            <v>0297049253</v>
          </cell>
          <cell r="F125" t="str">
            <v>DN4790297049253</v>
          </cell>
          <cell r="G125" t="str">
            <v>01/01/1969</v>
          </cell>
          <cell r="H125" t="str">
            <v>Nam</v>
          </cell>
          <cell r="I125" t="str">
            <v>60 - 005</v>
          </cell>
          <cell r="J125">
            <v>7168800</v>
          </cell>
        </row>
        <row r="126">
          <cell r="B126" t="str">
            <v>Phạm Mạnh Hùng</v>
          </cell>
          <cell r="C126" t="str">
            <v>23/32 KP Bình Minh, Dĩ An, Bình Dương</v>
          </cell>
          <cell r="D126" t="str">
            <v>0297049254</v>
          </cell>
          <cell r="E126" t="str">
            <v>0297049254</v>
          </cell>
          <cell r="F126" t="str">
            <v>DN4790297049254</v>
          </cell>
          <cell r="G126" t="str">
            <v>03/04/1972</v>
          </cell>
          <cell r="H126" t="str">
            <v>Nam</v>
          </cell>
          <cell r="I126" t="str">
            <v>79 - 034</v>
          </cell>
          <cell r="J126">
            <v>7862400</v>
          </cell>
        </row>
        <row r="127">
          <cell r="B127" t="str">
            <v>Vũ Ngọc Toán</v>
          </cell>
          <cell r="C127" t="str">
            <v>C18/1bis KP2, P. Tăng Nhơn Phú A, Q9</v>
          </cell>
          <cell r="D127" t="str">
            <v>0297049256</v>
          </cell>
          <cell r="E127" t="str">
            <v>0297049256</v>
          </cell>
          <cell r="F127" t="str">
            <v>DN4790297049256</v>
          </cell>
          <cell r="G127" t="str">
            <v>20/09/1970</v>
          </cell>
          <cell r="H127" t="str">
            <v>Nam</v>
          </cell>
          <cell r="I127" t="str">
            <v>79 - 036</v>
          </cell>
          <cell r="J127">
            <v>6973200</v>
          </cell>
        </row>
        <row r="128">
          <cell r="B128" t="str">
            <v>Nguyễn Thanh Tiến</v>
          </cell>
          <cell r="C128" t="str">
            <v>Phước Mỹ, Phan RangTháp Chàm,NinhThuận</v>
          </cell>
          <cell r="D128" t="str">
            <v>0297049257</v>
          </cell>
          <cell r="E128" t="str">
            <v>0297049257</v>
          </cell>
          <cell r="F128" t="str">
            <v>DN4790297049257</v>
          </cell>
          <cell r="G128" t="str">
            <v>18/10/1972</v>
          </cell>
          <cell r="H128" t="str">
            <v>Nam</v>
          </cell>
          <cell r="I128" t="str">
            <v>58 - 114</v>
          </cell>
          <cell r="J128">
            <v>7155200</v>
          </cell>
        </row>
        <row r="129">
          <cell r="B129" t="str">
            <v>Lê Trung Thắng</v>
          </cell>
          <cell r="C129" t="str">
            <v>Khu Tập thể TTTH Cay Cầy, Nha Trang, KH</v>
          </cell>
          <cell r="D129" t="str">
            <v>0297049260</v>
          </cell>
          <cell r="E129" t="str">
            <v>0297049260</v>
          </cell>
          <cell r="F129" t="str">
            <v>DN4790297049260</v>
          </cell>
          <cell r="G129" t="str">
            <v>30/08/1976</v>
          </cell>
          <cell r="H129" t="str">
            <v>Nam</v>
          </cell>
          <cell r="I129" t="str">
            <v>56 - 001</v>
          </cell>
          <cell r="J129">
            <v>6988800</v>
          </cell>
        </row>
        <row r="130">
          <cell r="B130" t="str">
            <v>Phạm Minh Thơ</v>
          </cell>
          <cell r="C130" t="str">
            <v>Vạn Hữu, Ninh Quang, Ninh Hòa Khánh Hòa</v>
          </cell>
          <cell r="D130" t="str">
            <v>0297049262</v>
          </cell>
          <cell r="E130" t="str">
            <v>0297049262</v>
          </cell>
          <cell r="F130" t="str">
            <v>DN4790297049262</v>
          </cell>
          <cell r="G130" t="str">
            <v>02/05/1970</v>
          </cell>
          <cell r="H130" t="str">
            <v>Nam</v>
          </cell>
          <cell r="I130" t="str">
            <v>56 - 105</v>
          </cell>
          <cell r="J130">
            <v>7238400</v>
          </cell>
        </row>
        <row r="131">
          <cell r="B131" t="str">
            <v>Vũ Xuân Toán</v>
          </cell>
          <cell r="C131" t="str">
            <v>Mương Mán, Hàm Thuận Nam, Bình Thuận</v>
          </cell>
          <cell r="D131" t="str">
            <v>0297049264</v>
          </cell>
          <cell r="E131" t="str">
            <v>0297049264</v>
          </cell>
          <cell r="F131" t="str">
            <v>DN4790297049264</v>
          </cell>
          <cell r="G131" t="str">
            <v>07/01/1972</v>
          </cell>
          <cell r="H131" t="str">
            <v>Nam</v>
          </cell>
          <cell r="I131" t="str">
            <v>60 - 099</v>
          </cell>
          <cell r="J131">
            <v>7155200</v>
          </cell>
        </row>
        <row r="132">
          <cell r="B132" t="str">
            <v>Đặng Xuân Thư</v>
          </cell>
          <cell r="C132" t="str">
            <v>Hồng Sơn, Hàm Thuận Bắc, Bình Thuận</v>
          </cell>
          <cell r="D132" t="str">
            <v>0297049267</v>
          </cell>
          <cell r="E132" t="str">
            <v>0297049267</v>
          </cell>
          <cell r="F132" t="str">
            <v>DN4790297049267</v>
          </cell>
          <cell r="G132" t="str">
            <v>02/06/1975</v>
          </cell>
          <cell r="H132" t="str">
            <v>Nam</v>
          </cell>
          <cell r="I132" t="str">
            <v>60 - 005</v>
          </cell>
          <cell r="J132">
            <v>7168800</v>
          </cell>
        </row>
        <row r="133">
          <cell r="B133" t="str">
            <v>Lê Anh Đức</v>
          </cell>
          <cell r="C133" t="str">
            <v>128/90 Đường 25, P18, Q. Tân Bình</v>
          </cell>
          <cell r="D133" t="str">
            <v>0298003063</v>
          </cell>
          <cell r="E133" t="str">
            <v>0298003063</v>
          </cell>
          <cell r="F133" t="str">
            <v>DN4790298003063</v>
          </cell>
          <cell r="G133" t="str">
            <v>12/03/1976</v>
          </cell>
          <cell r="H133" t="str">
            <v>Nam</v>
          </cell>
          <cell r="I133" t="str">
            <v>79 - 054</v>
          </cell>
          <cell r="J133">
            <v>7862400</v>
          </cell>
        </row>
        <row r="134">
          <cell r="B134" t="str">
            <v>Vũ Bá Ngọc</v>
          </cell>
          <cell r="C134" t="str">
            <v>121/59 Lê Thị Riêng, P. Bến Thành, Q1</v>
          </cell>
          <cell r="D134" t="str">
            <v>0298003064</v>
          </cell>
          <cell r="E134" t="str">
            <v>0298003064</v>
          </cell>
          <cell r="F134" t="str">
            <v>DN4790298003064</v>
          </cell>
          <cell r="G134" t="str">
            <v>18/04/1974</v>
          </cell>
          <cell r="H134" t="str">
            <v>Nam</v>
          </cell>
          <cell r="I134" t="str">
            <v>79 - 076</v>
          </cell>
          <cell r="J134">
            <v>7862400</v>
          </cell>
        </row>
        <row r="135">
          <cell r="B135" t="str">
            <v>Nguyễn Xuân Quảng</v>
          </cell>
          <cell r="C135" t="str">
            <v>khu tập thể ga Gò Vấp, P3, Q. Gò Vấp</v>
          </cell>
          <cell r="D135" t="str">
            <v>0298003066</v>
          </cell>
          <cell r="E135" t="str">
            <v>0298003066</v>
          </cell>
          <cell r="F135" t="str">
            <v>DN4790298003066</v>
          </cell>
          <cell r="G135" t="str">
            <v>06/03/1972</v>
          </cell>
          <cell r="H135" t="str">
            <v>Nam</v>
          </cell>
          <cell r="I135" t="str">
            <v>75 - 250</v>
          </cell>
          <cell r="J135">
            <v>6973200</v>
          </cell>
        </row>
        <row r="136">
          <cell r="B136" t="str">
            <v>Phạm Viết Chung</v>
          </cell>
          <cell r="C136" t="str">
            <v>Khu tập thể Ga Biên Hòa, Đồng Nai</v>
          </cell>
          <cell r="D136" t="str">
            <v>0298003067</v>
          </cell>
          <cell r="E136" t="str">
            <v>0298003067</v>
          </cell>
          <cell r="F136" t="str">
            <v>DN4790298003067</v>
          </cell>
          <cell r="G136" t="str">
            <v>06/02/1976</v>
          </cell>
          <cell r="H136" t="str">
            <v>Nam</v>
          </cell>
          <cell r="I136" t="str">
            <v>79 - 034</v>
          </cell>
          <cell r="J136">
            <v>7394400</v>
          </cell>
        </row>
        <row r="137">
          <cell r="B137" t="str">
            <v>Trần Văn Đoàn</v>
          </cell>
          <cell r="C137" t="str">
            <v>Xuân Lộc, Long Khánh, Đồng Nai</v>
          </cell>
          <cell r="D137" t="str">
            <v>0298003069</v>
          </cell>
          <cell r="E137" t="str">
            <v>0298003069</v>
          </cell>
          <cell r="F137" t="str">
            <v>DN4790298003069</v>
          </cell>
          <cell r="G137" t="str">
            <v>08/06/1971</v>
          </cell>
          <cell r="H137" t="str">
            <v>Nam</v>
          </cell>
          <cell r="I137" t="str">
            <v>75 - 281</v>
          </cell>
          <cell r="J137">
            <v>8143200</v>
          </cell>
        </row>
        <row r="138">
          <cell r="B138" t="str">
            <v>Lò Văn Tứ</v>
          </cell>
          <cell r="C138" t="str">
            <v>Tân Nghĩa, Hàm Tân, Bình Thuận</v>
          </cell>
          <cell r="D138" t="str">
            <v>0298003070</v>
          </cell>
          <cell r="E138" t="str">
            <v>0298003070</v>
          </cell>
          <cell r="F138" t="str">
            <v>DN4790298003070</v>
          </cell>
          <cell r="G138" t="str">
            <v>21/08/1974</v>
          </cell>
          <cell r="H138" t="str">
            <v>Nam</v>
          </cell>
          <cell r="I138" t="str">
            <v>60 - 019</v>
          </cell>
          <cell r="J138">
            <v>7515200</v>
          </cell>
        </row>
        <row r="139">
          <cell r="B139" t="str">
            <v>Nguyễn Quốc Hưng</v>
          </cell>
          <cell r="C139" t="str">
            <v>KP5 Long Bình, Biên Hòa, Đồng Nai</v>
          </cell>
          <cell r="D139" t="str">
            <v>0298003071</v>
          </cell>
          <cell r="E139" t="str">
            <v>0298003071</v>
          </cell>
          <cell r="F139" t="str">
            <v>DN4790298003071</v>
          </cell>
          <cell r="G139" t="str">
            <v>10/10/1977</v>
          </cell>
          <cell r="H139" t="str">
            <v>Nam</v>
          </cell>
          <cell r="I139" t="str">
            <v>79 - 034</v>
          </cell>
          <cell r="J139">
            <v>7581600</v>
          </cell>
        </row>
        <row r="140">
          <cell r="B140" t="str">
            <v>Phạm Văn Đính</v>
          </cell>
          <cell r="C140" t="str">
            <v>Mương Mán, Hàm Thuận Nam, Bình Thuận</v>
          </cell>
          <cell r="D140" t="str">
            <v>0298003072</v>
          </cell>
          <cell r="E140" t="str">
            <v>0298003072</v>
          </cell>
          <cell r="F140" t="str">
            <v>DN4790298003072</v>
          </cell>
          <cell r="G140" t="str">
            <v>26/12/1972</v>
          </cell>
          <cell r="H140" t="str">
            <v>Nam</v>
          </cell>
          <cell r="I140" t="str">
            <v>60 - 040</v>
          </cell>
          <cell r="J140">
            <v>6988800</v>
          </cell>
        </row>
        <row r="141">
          <cell r="B141" t="str">
            <v>Lương Quốc Dũng</v>
          </cell>
          <cell r="C141" t="str">
            <v>Công Hải, Ninh hải, Ninh Thuận</v>
          </cell>
          <cell r="D141" t="str">
            <v>0298003073</v>
          </cell>
          <cell r="E141" t="str">
            <v>0298003073</v>
          </cell>
          <cell r="F141" t="str">
            <v>DN4790298003073</v>
          </cell>
          <cell r="G141" t="str">
            <v>21/10/1977</v>
          </cell>
          <cell r="H141" t="str">
            <v>Nam</v>
          </cell>
          <cell r="I141" t="str">
            <v>58 - 114</v>
          </cell>
          <cell r="J141">
            <v>8070400</v>
          </cell>
        </row>
        <row r="142">
          <cell r="B142" t="str">
            <v>Nguyễn Chí Tánh</v>
          </cell>
          <cell r="C142" t="str">
            <v>Phước Diêm, Ninh Phước, Ninh Thuận</v>
          </cell>
          <cell r="D142" t="str">
            <v>0298003074</v>
          </cell>
          <cell r="E142" t="str">
            <v>0298003074</v>
          </cell>
          <cell r="F142" t="str">
            <v>DN4790298003074</v>
          </cell>
          <cell r="G142" t="str">
            <v>11/07/1976</v>
          </cell>
          <cell r="H142" t="str">
            <v>Nam</v>
          </cell>
          <cell r="I142" t="str">
            <v>58 - 007</v>
          </cell>
          <cell r="J142">
            <v>7418400</v>
          </cell>
        </row>
        <row r="143">
          <cell r="B143" t="str">
            <v>Phan Thái Mạnh</v>
          </cell>
          <cell r="C143" t="str">
            <v>Phước Diêm, Ninh Phước, Ninh Thuận</v>
          </cell>
          <cell r="D143" t="str">
            <v>0298003075</v>
          </cell>
          <cell r="E143" t="str">
            <v>0298003075</v>
          </cell>
          <cell r="F143" t="str">
            <v>DN4790298003075</v>
          </cell>
          <cell r="G143" t="str">
            <v>10/06/1976</v>
          </cell>
          <cell r="H143" t="str">
            <v>Nam</v>
          </cell>
          <cell r="I143" t="str">
            <v>79 - 034</v>
          </cell>
          <cell r="J143">
            <v>10015200</v>
          </cell>
        </row>
        <row r="144">
          <cell r="B144" t="str">
            <v>Lưu Công Luân</v>
          </cell>
          <cell r="C144" t="str">
            <v>Vĩnh Hảo, Tuy Phong, Bình Thuận</v>
          </cell>
          <cell r="D144" t="str">
            <v>0298003076</v>
          </cell>
          <cell r="E144" t="str">
            <v>0298003076</v>
          </cell>
          <cell r="F144" t="str">
            <v>DN4790298003076</v>
          </cell>
          <cell r="G144" t="str">
            <v>10/10/1973</v>
          </cell>
          <cell r="H144" t="str">
            <v>Nam</v>
          </cell>
          <cell r="I144" t="str">
            <v>60 - 004</v>
          </cell>
          <cell r="J144">
            <v>7168800</v>
          </cell>
        </row>
        <row r="145">
          <cell r="B145" t="str">
            <v>Phạm Huy Hoàng</v>
          </cell>
          <cell r="C145" t="str">
            <v>Sông Lũỷy, Bắc Bình, Bình Thuận</v>
          </cell>
          <cell r="D145" t="str">
            <v>0298003077</v>
          </cell>
          <cell r="E145" t="str">
            <v>0298003077</v>
          </cell>
          <cell r="F145" t="str">
            <v>DN4790298003077</v>
          </cell>
          <cell r="G145" t="str">
            <v>10/07/1975</v>
          </cell>
          <cell r="H145" t="str">
            <v>Nam</v>
          </cell>
          <cell r="I145" t="str">
            <v>60 - 005</v>
          </cell>
          <cell r="J145">
            <v>7418400</v>
          </cell>
        </row>
        <row r="146">
          <cell r="B146" t="str">
            <v>Nguyễn Đình Hùng</v>
          </cell>
          <cell r="C146" t="str">
            <v>Phước Diêm, Ninh Phước, Ninh Thuận</v>
          </cell>
          <cell r="D146" t="str">
            <v>0298003078</v>
          </cell>
          <cell r="E146" t="str">
            <v>0298003078</v>
          </cell>
          <cell r="F146" t="str">
            <v>DN4790298003078</v>
          </cell>
          <cell r="G146" t="str">
            <v>27/03/1975</v>
          </cell>
          <cell r="H146" t="str">
            <v>Nam</v>
          </cell>
          <cell r="I146" t="str">
            <v>58 - 001</v>
          </cell>
          <cell r="J146">
            <v>6752800</v>
          </cell>
        </row>
        <row r="147">
          <cell r="B147" t="str">
            <v>Phạm Trung Kết</v>
          </cell>
          <cell r="C147" t="str">
            <v>Đô Vinh, Phan Rang Tháp Chàm, Ninh Thuận</v>
          </cell>
          <cell r="D147" t="str">
            <v>0298003079</v>
          </cell>
          <cell r="E147" t="str">
            <v>0298003079</v>
          </cell>
          <cell r="F147" t="str">
            <v>DN4790298003079</v>
          </cell>
          <cell r="G147" t="str">
            <v>21/12/1972</v>
          </cell>
          <cell r="H147" t="str">
            <v>Nam</v>
          </cell>
          <cell r="I147" t="str">
            <v>58 - 114</v>
          </cell>
          <cell r="J147">
            <v>6572800</v>
          </cell>
        </row>
        <row r="148">
          <cell r="B148" t="str">
            <v>Nguyễn Thị Tuyết Trinh</v>
          </cell>
          <cell r="C148" t="str">
            <v>Đô Vinh, Phan Rang Tháp Chàm, Ninh Thuận</v>
          </cell>
          <cell r="D148" t="str">
            <v>0298003080</v>
          </cell>
          <cell r="E148" t="str">
            <v>0298003080</v>
          </cell>
          <cell r="F148" t="str">
            <v>DN4790298003080</v>
          </cell>
          <cell r="G148" t="str">
            <v>11/09/1974</v>
          </cell>
          <cell r="H148" t="str">
            <v>Nữ</v>
          </cell>
          <cell r="I148" t="str">
            <v>58 - 114</v>
          </cell>
          <cell r="J148">
            <v>6240000</v>
          </cell>
        </row>
        <row r="149">
          <cell r="B149" t="str">
            <v>Lê Hoàng Anh</v>
          </cell>
          <cell r="C149" t="str">
            <v>Thọ Thanh, Trường Xuân, Thanh Hóa</v>
          </cell>
          <cell r="D149" t="str">
            <v>0298003081</v>
          </cell>
          <cell r="E149" t="str">
            <v>0298003081</v>
          </cell>
          <cell r="F149" t="str">
            <v>DN4790298003081</v>
          </cell>
          <cell r="G149" t="str">
            <v>26/11/1976</v>
          </cell>
          <cell r="H149" t="str">
            <v>Nam</v>
          </cell>
          <cell r="I149" t="str">
            <v>56 - 183</v>
          </cell>
          <cell r="J149">
            <v>6822400</v>
          </cell>
        </row>
        <row r="150">
          <cell r="B150" t="str">
            <v>Đinh Văn Thanh</v>
          </cell>
          <cell r="C150" t="str">
            <v>Hạ Long, Quảng Ninh</v>
          </cell>
          <cell r="D150" t="str">
            <v>0298003082</v>
          </cell>
          <cell r="E150" t="str">
            <v>0298003082</v>
          </cell>
          <cell r="F150" t="str">
            <v>DN4790298003082</v>
          </cell>
          <cell r="G150" t="str">
            <v>13/10/1975</v>
          </cell>
          <cell r="H150" t="str">
            <v>Nam</v>
          </cell>
          <cell r="I150" t="str">
            <v>56 - 183</v>
          </cell>
          <cell r="J150">
            <v>6572800</v>
          </cell>
        </row>
        <row r="151">
          <cell r="B151" t="str">
            <v>Phạm Văn Đăng</v>
          </cell>
          <cell r="C151" t="str">
            <v>Chí Thạnh, Tuy An, Phú Yên</v>
          </cell>
          <cell r="D151" t="str">
            <v>0298003084</v>
          </cell>
          <cell r="E151" t="str">
            <v>0298003084</v>
          </cell>
          <cell r="F151" t="str">
            <v>DN4790298003084</v>
          </cell>
          <cell r="G151" t="str">
            <v>10/03/1970</v>
          </cell>
          <cell r="H151" t="str">
            <v>Nam</v>
          </cell>
          <cell r="I151" t="str">
            <v>54 - 003</v>
          </cell>
          <cell r="J151">
            <v>6572800</v>
          </cell>
        </row>
        <row r="152">
          <cell r="B152" t="str">
            <v>Nguyễn Đức Dũng</v>
          </cell>
          <cell r="C152" t="str">
            <v>8/4Quốc Lộ 1, P2, Tuy Hòa, Phú Yên</v>
          </cell>
          <cell r="D152" t="str">
            <v>0298003085</v>
          </cell>
          <cell r="E152" t="str">
            <v>0298003085</v>
          </cell>
          <cell r="F152" t="str">
            <v>DN4790298003085</v>
          </cell>
          <cell r="G152" t="str">
            <v>04/02/1972</v>
          </cell>
          <cell r="H152" t="str">
            <v>Nam</v>
          </cell>
          <cell r="I152" t="str">
            <v>54 - 031</v>
          </cell>
          <cell r="J152">
            <v>6988800</v>
          </cell>
        </row>
        <row r="153">
          <cell r="B153" t="str">
            <v>Trần Ngọc Mạnh</v>
          </cell>
          <cell r="C153" t="str">
            <v>Khu tập thể ĐS, Tuy Hòa, Phú Yên</v>
          </cell>
          <cell r="D153" t="str">
            <v>0298003089</v>
          </cell>
          <cell r="E153" t="str">
            <v>0298003089</v>
          </cell>
          <cell r="F153" t="str">
            <v>DN4790298003089</v>
          </cell>
          <cell r="G153" t="str">
            <v>01/10/1972</v>
          </cell>
          <cell r="H153" t="str">
            <v>Nam</v>
          </cell>
          <cell r="I153" t="str">
            <v>54 - 016</v>
          </cell>
          <cell r="J153">
            <v>6988800</v>
          </cell>
        </row>
        <row r="154">
          <cell r="B154" t="str">
            <v>Võ Ngọc Tùng</v>
          </cell>
          <cell r="C154" t="str">
            <v>22/17 Lê Lợi, P5, Tuy Hòa, Phú Yên</v>
          </cell>
          <cell r="D154" t="str">
            <v>0298003090</v>
          </cell>
          <cell r="E154" t="str">
            <v>0298003090</v>
          </cell>
          <cell r="F154" t="str">
            <v>DN4790298003090</v>
          </cell>
          <cell r="G154" t="str">
            <v>02/01/1975</v>
          </cell>
          <cell r="H154" t="str">
            <v>Nam</v>
          </cell>
          <cell r="I154" t="str">
            <v>54 - 162</v>
          </cell>
          <cell r="J154">
            <v>6988800</v>
          </cell>
        </row>
        <row r="155">
          <cell r="B155" t="str">
            <v>Phùng Văn Thiêm</v>
          </cell>
          <cell r="C155" t="str">
            <v>Đại Lãnh, Vạn Ninh, Khánh Hòa</v>
          </cell>
          <cell r="D155" t="str">
            <v>0298003092</v>
          </cell>
          <cell r="E155" t="str">
            <v>0298003092</v>
          </cell>
          <cell r="F155" t="str">
            <v>DN4790298003092</v>
          </cell>
          <cell r="G155" t="str">
            <v>30/08/1973</v>
          </cell>
          <cell r="H155" t="str">
            <v>Nam</v>
          </cell>
          <cell r="I155" t="str">
            <v>54 - 031</v>
          </cell>
          <cell r="J155">
            <v>6988800</v>
          </cell>
        </row>
        <row r="156">
          <cell r="B156" t="str">
            <v>Nguyễn Trung Khoa</v>
          </cell>
          <cell r="C156" t="str">
            <v>Tuy An, Tuy Hòa, Phú Yên</v>
          </cell>
          <cell r="D156" t="str">
            <v>0298003093</v>
          </cell>
          <cell r="E156" t="str">
            <v>0298003093</v>
          </cell>
          <cell r="F156" t="str">
            <v>DN4790298003093</v>
          </cell>
          <cell r="G156" t="str">
            <v>20/10/1973</v>
          </cell>
          <cell r="H156" t="str">
            <v>Nam</v>
          </cell>
          <cell r="I156" t="str">
            <v>54 - 016</v>
          </cell>
          <cell r="J156">
            <v>6988800</v>
          </cell>
        </row>
        <row r="157">
          <cell r="B157" t="str">
            <v>Nguyễn Ngọc Quang</v>
          </cell>
          <cell r="C157" t="str">
            <v>Chí Thạnh, Tuy An, Phú Yên</v>
          </cell>
          <cell r="D157" t="str">
            <v>0298003094</v>
          </cell>
          <cell r="E157" t="str">
            <v>0298003094</v>
          </cell>
          <cell r="F157" t="str">
            <v>DN4790298003094</v>
          </cell>
          <cell r="G157" t="str">
            <v>23/12/1972</v>
          </cell>
          <cell r="H157" t="str">
            <v>Nam</v>
          </cell>
          <cell r="I157" t="str">
            <v>54 - 003</v>
          </cell>
          <cell r="J157">
            <v>6988800</v>
          </cell>
        </row>
        <row r="158">
          <cell r="B158" t="str">
            <v>Đỗ Thị Thanh Bình</v>
          </cell>
          <cell r="C158" t="str">
            <v>87 Lê Trung Kiên, Tuy Hòa, Phú Yên</v>
          </cell>
          <cell r="D158" t="str">
            <v>0298003096</v>
          </cell>
          <cell r="E158" t="str">
            <v>0298003096</v>
          </cell>
          <cell r="F158" t="str">
            <v>DN4790298003096</v>
          </cell>
          <cell r="G158" t="str">
            <v>04/11/1974</v>
          </cell>
          <cell r="H158" t="str">
            <v>Nữ</v>
          </cell>
          <cell r="I158" t="str">
            <v>56 - 181</v>
          </cell>
          <cell r="J158">
            <v>6240000</v>
          </cell>
        </row>
        <row r="159">
          <cell r="B159" t="str">
            <v>Lê Đức Ánh</v>
          </cell>
          <cell r="C159" t="str">
            <v>1/3B Lê Đức Thọ, P.13, Q.Gò Vấp, Tp.HCM</v>
          </cell>
          <cell r="D159" t="str">
            <v>0298023612</v>
          </cell>
          <cell r="E159" t="str">
            <v>0298023612</v>
          </cell>
          <cell r="F159" t="str">
            <v>DN4790298023612</v>
          </cell>
          <cell r="G159" t="str">
            <v>10/02/1966</v>
          </cell>
          <cell r="H159" t="str">
            <v>Nam</v>
          </cell>
          <cell r="I159" t="str">
            <v>79 - 024</v>
          </cell>
          <cell r="J159">
            <v>8845200</v>
          </cell>
        </row>
        <row r="160">
          <cell r="B160" t="str">
            <v>Nguyễn Đăng Nghĩa</v>
          </cell>
          <cell r="C160" t="str">
            <v>Phan Thanh, Bắc Bình, Bình Thuận</v>
          </cell>
          <cell r="D160" t="str">
            <v>0298023614</v>
          </cell>
          <cell r="E160" t="str">
            <v>0298023614</v>
          </cell>
          <cell r="F160" t="str">
            <v>DN4790298023614</v>
          </cell>
          <cell r="G160" t="str">
            <v>18/12/1974</v>
          </cell>
          <cell r="H160" t="str">
            <v>Nam</v>
          </cell>
          <cell r="I160" t="str">
            <v>60 - 171</v>
          </cell>
          <cell r="J160">
            <v>6558400</v>
          </cell>
        </row>
        <row r="161">
          <cell r="B161" t="str">
            <v>Bùi Đình Thăng</v>
          </cell>
          <cell r="C161" t="str">
            <v>Tân Nghĩa, Hàm Tân, Bình Thuận</v>
          </cell>
          <cell r="D161" t="str">
            <v>0298023615</v>
          </cell>
          <cell r="E161" t="str">
            <v>0298023615</v>
          </cell>
          <cell r="F161" t="str">
            <v>DN4790298023615</v>
          </cell>
          <cell r="G161" t="str">
            <v>24/07/1976</v>
          </cell>
          <cell r="H161" t="str">
            <v>Nam</v>
          </cell>
          <cell r="I161" t="str">
            <v>60 - 019</v>
          </cell>
          <cell r="J161">
            <v>6932800</v>
          </cell>
        </row>
        <row r="162">
          <cell r="B162" t="str">
            <v>Nguyễn Văn Tình</v>
          </cell>
          <cell r="C162" t="str">
            <v>Sông Lũỷy, Bắc Bình, Bình Thuận</v>
          </cell>
          <cell r="D162" t="str">
            <v>0298023618</v>
          </cell>
          <cell r="E162" t="str">
            <v>0298023618</v>
          </cell>
          <cell r="F162" t="str">
            <v>DN4790298023618</v>
          </cell>
          <cell r="G162" t="str">
            <v>10/02/1973</v>
          </cell>
          <cell r="H162" t="str">
            <v>Nam</v>
          </cell>
          <cell r="I162" t="str">
            <v>60 - 071</v>
          </cell>
          <cell r="J162">
            <v>6752800</v>
          </cell>
        </row>
        <row r="163">
          <cell r="B163" t="str">
            <v>Phạm Mạnh Dũng</v>
          </cell>
          <cell r="C163" t="str">
            <v>Dĩ An, Bình Dương</v>
          </cell>
          <cell r="D163" t="str">
            <v>0298111762</v>
          </cell>
          <cell r="E163" t="str">
            <v>0298111762</v>
          </cell>
          <cell r="F163" t="str">
            <v>DN4790298111762</v>
          </cell>
          <cell r="G163" t="str">
            <v>06/06/1974</v>
          </cell>
          <cell r="H163" t="str">
            <v>Nam</v>
          </cell>
          <cell r="I163" t="str">
            <v>79 - 034</v>
          </cell>
          <cell r="J163">
            <v>7862400</v>
          </cell>
        </row>
        <row r="164">
          <cell r="B164" t="str">
            <v>Tạ Văn Yạch</v>
          </cell>
          <cell r="C164" t="str">
            <v>01 Nguyễn Thông, P9, Q3, TP.HCM</v>
          </cell>
          <cell r="D164" t="str">
            <v>0298111763</v>
          </cell>
          <cell r="E164" t="str">
            <v>0298111763</v>
          </cell>
          <cell r="F164" t="str">
            <v>DN4790298111763</v>
          </cell>
          <cell r="G164" t="str">
            <v>25/07/1973</v>
          </cell>
          <cell r="H164" t="str">
            <v>Nam</v>
          </cell>
          <cell r="I164" t="str">
            <v>79 - 025</v>
          </cell>
          <cell r="J164">
            <v>7722000</v>
          </cell>
        </row>
        <row r="165">
          <cell r="B165" t="str">
            <v>Trần Thị Kim Hoa</v>
          </cell>
          <cell r="C165" t="str">
            <v>15/3 Đường số 2, An Bình,Dĩ An,B.Dương</v>
          </cell>
          <cell r="D165" t="str">
            <v>0298111766</v>
          </cell>
          <cell r="E165" t="str">
            <v>0298111766</v>
          </cell>
          <cell r="F165" t="str">
            <v>DN4790298111766</v>
          </cell>
          <cell r="G165" t="str">
            <v>13/08/1974</v>
          </cell>
          <cell r="H165" t="str">
            <v>Nữ</v>
          </cell>
          <cell r="I165" t="str">
            <v>79 - 016</v>
          </cell>
          <cell r="J165">
            <v>7020000</v>
          </cell>
        </row>
        <row r="166">
          <cell r="B166" t="str">
            <v>Thái Công Lộc</v>
          </cell>
          <cell r="C166" t="str">
            <v>99/2 Nguyễn Văn Lạc, P19, QBT</v>
          </cell>
          <cell r="D166" t="str">
            <v>0298111767</v>
          </cell>
          <cell r="E166" t="str">
            <v>0298111767</v>
          </cell>
          <cell r="F166" t="str">
            <v>DN4790298111767</v>
          </cell>
          <cell r="G166" t="str">
            <v>21/09/1976</v>
          </cell>
          <cell r="H166" t="str">
            <v>Nam</v>
          </cell>
          <cell r="I166" t="str">
            <v>79 - 025</v>
          </cell>
          <cell r="J166">
            <v>10015200</v>
          </cell>
        </row>
        <row r="167">
          <cell r="B167" t="str">
            <v>Đoàn Văn Quang</v>
          </cell>
          <cell r="C167" t="str">
            <v>01 Nguyễn Thông, P9, Q3</v>
          </cell>
          <cell r="D167" t="str">
            <v>0299040736</v>
          </cell>
          <cell r="E167" t="str">
            <v>0299040736</v>
          </cell>
          <cell r="F167" t="str">
            <v>DN4790299040736</v>
          </cell>
          <cell r="G167" t="str">
            <v>17/11/1976</v>
          </cell>
          <cell r="H167" t="str">
            <v>Nam</v>
          </cell>
          <cell r="I167" t="str">
            <v>79 - 024</v>
          </cell>
          <cell r="J167">
            <v>7020000</v>
          </cell>
        </row>
        <row r="168">
          <cell r="B168" t="str">
            <v>Lê Xuân Định</v>
          </cell>
          <cell r="C168" t="str">
            <v>Trường KTNV, Huyện Dĩ An, Bình Dương</v>
          </cell>
          <cell r="D168" t="str">
            <v>0299040737</v>
          </cell>
          <cell r="E168" t="str">
            <v>0299040737</v>
          </cell>
          <cell r="F168" t="str">
            <v>DN4790299040737</v>
          </cell>
          <cell r="G168" t="str">
            <v>15/01/1973</v>
          </cell>
          <cell r="H168" t="str">
            <v>Nam</v>
          </cell>
          <cell r="I168" t="str">
            <v>79 - 037</v>
          </cell>
          <cell r="J168">
            <v>8377200</v>
          </cell>
        </row>
        <row r="169">
          <cell r="B169" t="str">
            <v>Đinh Văn Tỉnh</v>
          </cell>
          <cell r="C169" t="str">
            <v>Mương Mán, Hàm Thuận Nam, Bình Thuận</v>
          </cell>
          <cell r="D169" t="str">
            <v>0299040738</v>
          </cell>
          <cell r="E169" t="str">
            <v>0299040738</v>
          </cell>
          <cell r="F169" t="str">
            <v>DN4790299040738</v>
          </cell>
          <cell r="G169" t="str">
            <v>31/10/1971</v>
          </cell>
          <cell r="H169" t="str">
            <v>Nam</v>
          </cell>
          <cell r="I169" t="str">
            <v>60 - 099</v>
          </cell>
          <cell r="J169">
            <v>6988800</v>
          </cell>
        </row>
        <row r="170">
          <cell r="B170" t="str">
            <v>Trần Thế Phiệt</v>
          </cell>
          <cell r="C170" t="str">
            <v>Phước Dân, Ninh Phước, Ninh Thuận</v>
          </cell>
          <cell r="D170" t="str">
            <v>0299040742</v>
          </cell>
          <cell r="E170" t="str">
            <v>0299040742</v>
          </cell>
          <cell r="F170" t="str">
            <v>DN4790299040742</v>
          </cell>
          <cell r="G170" t="str">
            <v>05/09/1972</v>
          </cell>
          <cell r="H170" t="str">
            <v>Nam</v>
          </cell>
          <cell r="I170" t="str">
            <v>58 - 114</v>
          </cell>
          <cell r="J170">
            <v>6988800</v>
          </cell>
        </row>
        <row r="171">
          <cell r="B171" t="str">
            <v>Nguyễn Thế Mạnh</v>
          </cell>
          <cell r="C171" t="str">
            <v>Sông Lũỷy, Bắc Bình, Bình Thuận</v>
          </cell>
          <cell r="D171" t="str">
            <v>0299040743</v>
          </cell>
          <cell r="E171" t="str">
            <v>0299040743</v>
          </cell>
          <cell r="F171" t="str">
            <v>DN4790299040743</v>
          </cell>
          <cell r="G171" t="str">
            <v>17/02/1978</v>
          </cell>
          <cell r="H171" t="str">
            <v>Nam</v>
          </cell>
          <cell r="I171" t="str">
            <v>60 - 152</v>
          </cell>
          <cell r="J171">
            <v>6752800</v>
          </cell>
        </row>
        <row r="172">
          <cell r="B172" t="str">
            <v>Lương Lê Duy Vũ</v>
          </cell>
          <cell r="C172" t="str">
            <v>Đô Vinh, Phan Rang  Tháp Chàm, Ninh Thuận</v>
          </cell>
          <cell r="D172" t="str">
            <v>0299040746</v>
          </cell>
          <cell r="E172" t="str">
            <v>0299040746</v>
          </cell>
          <cell r="F172" t="str">
            <v>DN4790299040746</v>
          </cell>
          <cell r="G172" t="str">
            <v>30/01/1979</v>
          </cell>
          <cell r="H172" t="str">
            <v>Nam</v>
          </cell>
          <cell r="I172" t="str">
            <v>79 - 025</v>
          </cell>
          <cell r="J172">
            <v>10015200</v>
          </cell>
        </row>
        <row r="173">
          <cell r="B173" t="str">
            <v>Dương Anh Nam</v>
          </cell>
          <cell r="C173" t="str">
            <v>Sông Lũỷy, Bắc Bình, Bình Thuận</v>
          </cell>
          <cell r="D173" t="str">
            <v>0299040747</v>
          </cell>
          <cell r="E173" t="str">
            <v>0299040747</v>
          </cell>
          <cell r="F173" t="str">
            <v>DN4790299040747</v>
          </cell>
          <cell r="G173" t="str">
            <v>20/12/1975</v>
          </cell>
          <cell r="H173" t="str">
            <v>Nam</v>
          </cell>
          <cell r="I173" t="str">
            <v>60 - 171</v>
          </cell>
          <cell r="J173">
            <v>7099200</v>
          </cell>
        </row>
        <row r="174">
          <cell r="B174" t="str">
            <v>Ngô Cự Sang</v>
          </cell>
          <cell r="C174" t="str">
            <v>Hải Xuân</v>
          </cell>
          <cell r="D174" t="str">
            <v>0299040749</v>
          </cell>
          <cell r="E174" t="str">
            <v>0299040749</v>
          </cell>
          <cell r="F174" t="str">
            <v>DN4790299040749</v>
          </cell>
          <cell r="G174" t="str">
            <v>04/04/1976</v>
          </cell>
          <cell r="H174" t="str">
            <v>Nam</v>
          </cell>
          <cell r="I174" t="str">
            <v>58 - 007</v>
          </cell>
          <cell r="J174">
            <v>6752800</v>
          </cell>
        </row>
        <row r="175">
          <cell r="B175" t="str">
            <v>Trần Đình Tụ</v>
          </cell>
          <cell r="C175" t="str">
            <v>Hòa Vinh, Tuy Hòa,Phú Yên</v>
          </cell>
          <cell r="D175" t="str">
            <v>0299040750</v>
          </cell>
          <cell r="E175" t="str">
            <v>0299040750</v>
          </cell>
          <cell r="F175" t="str">
            <v>DN4790299040750</v>
          </cell>
          <cell r="G175" t="str">
            <v>11/08/1975</v>
          </cell>
          <cell r="H175" t="str">
            <v>Nam</v>
          </cell>
          <cell r="I175" t="str">
            <v>54 - 016</v>
          </cell>
          <cell r="J175">
            <v>7238400</v>
          </cell>
        </row>
        <row r="176">
          <cell r="B176" t="str">
            <v>Lê Hoài Vũ</v>
          </cell>
          <cell r="C176" t="str">
            <v>Canh Thuận, Vân Canh, Bình Định</v>
          </cell>
          <cell r="D176" t="str">
            <v>0299040751</v>
          </cell>
          <cell r="E176" t="str">
            <v>0299040751</v>
          </cell>
          <cell r="F176" t="str">
            <v>DN4790299040751</v>
          </cell>
          <cell r="G176" t="str">
            <v>17/05/1977</v>
          </cell>
          <cell r="H176" t="str">
            <v>Nam</v>
          </cell>
          <cell r="I176" t="str">
            <v>54 - 016</v>
          </cell>
          <cell r="J176">
            <v>6988800</v>
          </cell>
        </row>
        <row r="177">
          <cell r="B177" t="str">
            <v>Đặng Ngọc Hùng</v>
          </cell>
          <cell r="C177" t="str">
            <v>An Hiệp, Tuy An, Tuy Hòa, Phú Yên</v>
          </cell>
          <cell r="D177" t="str">
            <v>0299040752</v>
          </cell>
          <cell r="E177" t="str">
            <v>0299040752</v>
          </cell>
          <cell r="F177" t="str">
            <v>DN4790299040752</v>
          </cell>
          <cell r="G177" t="str">
            <v>12/11/1977</v>
          </cell>
          <cell r="H177" t="str">
            <v>Nam</v>
          </cell>
          <cell r="I177" t="str">
            <v>54 - 016</v>
          </cell>
          <cell r="J177">
            <v>7155200</v>
          </cell>
        </row>
        <row r="178">
          <cell r="B178" t="str">
            <v>Ngô Thanh Hoàng</v>
          </cell>
          <cell r="C178" t="str">
            <v>71 Nguyễn Thái Học, P3, Tuy Hòa Phú Yên</v>
          </cell>
          <cell r="D178" t="str">
            <v>0299040753</v>
          </cell>
          <cell r="E178" t="str">
            <v>0299040753</v>
          </cell>
          <cell r="F178" t="str">
            <v>DN4790299040753</v>
          </cell>
          <cell r="G178" t="str">
            <v>19/09/1977</v>
          </cell>
          <cell r="H178" t="str">
            <v>Nam</v>
          </cell>
          <cell r="I178" t="str">
            <v>54 - 016</v>
          </cell>
          <cell r="J178">
            <v>7030400</v>
          </cell>
        </row>
        <row r="179">
          <cell r="B179" t="str">
            <v>Trần Đình Phi</v>
          </cell>
          <cell r="C179" t="str">
            <v>Cam Nghĩa, Cam Ranh, Khánh Hòa</v>
          </cell>
          <cell r="D179" t="str">
            <v>0299040757</v>
          </cell>
          <cell r="E179" t="str">
            <v>0299040757</v>
          </cell>
          <cell r="F179" t="str">
            <v>DN4790299040757</v>
          </cell>
          <cell r="G179" t="str">
            <v>20/02/1978</v>
          </cell>
          <cell r="H179" t="str">
            <v>Nam</v>
          </cell>
          <cell r="I179" t="str">
            <v>56 - 046</v>
          </cell>
          <cell r="J179">
            <v>6198400</v>
          </cell>
        </row>
        <row r="180">
          <cell r="B180" t="str">
            <v>Nguyễn Huỳnh Hữu Hậu</v>
          </cell>
          <cell r="C180" t="str">
            <v>Vạn Gĩa, Vạn Ninh, Khánh Hòa</v>
          </cell>
          <cell r="D180" t="str">
            <v>0299040759</v>
          </cell>
          <cell r="E180" t="str">
            <v>0299040759</v>
          </cell>
          <cell r="F180" t="str">
            <v>DN4790299040759</v>
          </cell>
          <cell r="G180" t="str">
            <v>22/11/1972</v>
          </cell>
          <cell r="H180" t="str">
            <v>Nam</v>
          </cell>
          <cell r="I180" t="str">
            <v>56 - 002</v>
          </cell>
          <cell r="J180">
            <v>7238400</v>
          </cell>
        </row>
        <row r="181">
          <cell r="B181" t="str">
            <v>Nguyễn Công Sơn</v>
          </cell>
          <cell r="C181" t="str">
            <v>Vĩnh Điềm Trung, Vĩnh Hiệp, Khánh Hòa</v>
          </cell>
          <cell r="D181" t="str">
            <v>0299040761</v>
          </cell>
          <cell r="E181" t="str">
            <v>0299040761</v>
          </cell>
          <cell r="F181" t="str">
            <v>DN4790299040761</v>
          </cell>
          <cell r="G181" t="str">
            <v>10/12/1977</v>
          </cell>
          <cell r="H181" t="str">
            <v>Nam</v>
          </cell>
          <cell r="I181" t="str">
            <v>56 - 197</v>
          </cell>
          <cell r="J181">
            <v>7155200</v>
          </cell>
        </row>
        <row r="182">
          <cell r="B182" t="str">
            <v>Nguyễn Trung Lương</v>
          </cell>
          <cell r="C182" t="str">
            <v>Ninh Hòa, Khánh Hòa</v>
          </cell>
          <cell r="D182" t="str">
            <v>0299040762</v>
          </cell>
          <cell r="E182" t="str">
            <v>0299040762</v>
          </cell>
          <cell r="F182" t="str">
            <v>DN4790299040762</v>
          </cell>
          <cell r="G182" t="str">
            <v>06/01/1977</v>
          </cell>
          <cell r="H182" t="str">
            <v>Nam</v>
          </cell>
          <cell r="I182" t="str">
            <v>56 - 177</v>
          </cell>
          <cell r="J182">
            <v>9318400</v>
          </cell>
        </row>
        <row r="183">
          <cell r="B183" t="str">
            <v>Trần Nhật Minh</v>
          </cell>
          <cell r="C183" t="str">
            <v>44/13/20 đường số 9</v>
          </cell>
          <cell r="D183" t="str">
            <v>3621198179</v>
          </cell>
          <cell r="E183" t="str">
            <v/>
          </cell>
          <cell r="F183" t="str">
            <v>DN4793621198179</v>
          </cell>
          <cell r="G183" t="str">
            <v>18/05/1999</v>
          </cell>
          <cell r="H183" t="str">
            <v>Nam</v>
          </cell>
          <cell r="I183" t="str">
            <v>79 - 037</v>
          </cell>
          <cell r="J183">
            <v>6973200</v>
          </cell>
        </row>
        <row r="184">
          <cell r="B184" t="str">
            <v>Phan Trung Hậu</v>
          </cell>
          <cell r="C184" t="str">
            <v>53 Tổ 15 Khu 3</v>
          </cell>
          <cell r="D184" t="str">
            <v>3621849073</v>
          </cell>
          <cell r="E184" t="str">
            <v/>
          </cell>
          <cell r="F184" t="str">
            <v>DN4793621849073</v>
          </cell>
          <cell r="G184" t="str">
            <v>31/12/1997</v>
          </cell>
          <cell r="H184" t="str">
            <v>Nam</v>
          </cell>
          <cell r="I184" t="str">
            <v>79 - 034</v>
          </cell>
          <cell r="J184">
            <v>6598800</v>
          </cell>
        </row>
        <row r="185">
          <cell r="B185" t="str">
            <v>Tô Việt Thông</v>
          </cell>
          <cell r="C185" t="str">
            <v>Thôn Định Phong, Xã An Nghiệp, Huyện Tuy An, Phú Yên</v>
          </cell>
          <cell r="D185" t="str">
            <v>3907004303</v>
          </cell>
          <cell r="E185" t="str">
            <v>3907004303</v>
          </cell>
          <cell r="F185" t="str">
            <v>DN4793907004303</v>
          </cell>
          <cell r="G185" t="str">
            <v>15/01/1987</v>
          </cell>
          <cell r="H185" t="str">
            <v>Nam</v>
          </cell>
          <cell r="I185" t="str">
            <v>54 - 016</v>
          </cell>
          <cell r="J185">
            <v>6198400</v>
          </cell>
        </row>
        <row r="186">
          <cell r="B186" t="str">
            <v>Nguyễn Kim Tuấn</v>
          </cell>
          <cell r="C186" t="str">
            <v>151 Lê Trung Kiên, Tuy Hòa,Phú Yên</v>
          </cell>
          <cell r="D186" t="str">
            <v>3996010346</v>
          </cell>
          <cell r="E186" t="str">
            <v>3996010346</v>
          </cell>
          <cell r="F186" t="str">
            <v>DN4793996010346</v>
          </cell>
          <cell r="G186" t="str">
            <v>10/10/1972</v>
          </cell>
          <cell r="H186" t="str">
            <v>Nam</v>
          </cell>
          <cell r="I186" t="str">
            <v>54 - 162</v>
          </cell>
          <cell r="J186">
            <v>7155200</v>
          </cell>
        </row>
        <row r="187">
          <cell r="B187" t="str">
            <v>Võ Đình Phúc</v>
          </cell>
          <cell r="C187" t="str">
            <v>Xóm Phượng Hoàng</v>
          </cell>
          <cell r="D187" t="str">
            <v>4025071327</v>
          </cell>
          <cell r="E187" t="str">
            <v/>
          </cell>
          <cell r="F187" t="str">
            <v>DN4794025071327</v>
          </cell>
          <cell r="G187" t="str">
            <v>25/06/1990</v>
          </cell>
          <cell r="H187" t="str">
            <v>Nam</v>
          </cell>
          <cell r="I187" t="str">
            <v>75 - 013</v>
          </cell>
          <cell r="J187">
            <v>6786000</v>
          </cell>
        </row>
        <row r="188">
          <cell r="B188" t="str">
            <v>Nguyễn Tuấn Vũ</v>
          </cell>
          <cell r="C188" t="str">
            <v>X7</v>
          </cell>
          <cell r="D188" t="str">
            <v>4216509571</v>
          </cell>
          <cell r="E188" t="str">
            <v/>
          </cell>
          <cell r="F188" t="str">
            <v>DN4794216509571</v>
          </cell>
          <cell r="G188" t="str">
            <v>30/10/2002</v>
          </cell>
          <cell r="H188" t="str">
            <v>Nam</v>
          </cell>
          <cell r="I188" t="str">
            <v>75 - 013</v>
          </cell>
          <cell r="J188">
            <v>6598800</v>
          </cell>
        </row>
        <row r="189">
          <cell r="B189" t="str">
            <v>Hoàng Minh Thu</v>
          </cell>
          <cell r="C189" t="str">
            <v>Quảng Thủy</v>
          </cell>
          <cell r="D189" t="str">
            <v>4420816389</v>
          </cell>
          <cell r="E189" t="str">
            <v/>
          </cell>
          <cell r="F189" t="str">
            <v>DN4794420816389</v>
          </cell>
          <cell r="G189" t="str">
            <v>05/08/1997</v>
          </cell>
          <cell r="H189" t="str">
            <v>Nam</v>
          </cell>
          <cell r="I189" t="str">
            <v>75 - 012</v>
          </cell>
          <cell r="J189">
            <v>6598800</v>
          </cell>
        </row>
        <row r="190">
          <cell r="B190" t="str">
            <v>Nguyễn Mạnh Tường</v>
          </cell>
          <cell r="C190" t="str">
            <v>Thôn 4</v>
          </cell>
          <cell r="D190" t="str">
            <v>4620575297</v>
          </cell>
          <cell r="E190" t="str">
            <v/>
          </cell>
          <cell r="F190" t="str">
            <v>DN4794620575297</v>
          </cell>
          <cell r="G190" t="str">
            <v>06/03/1997</v>
          </cell>
          <cell r="H190" t="str">
            <v>Nam</v>
          </cell>
          <cell r="I190" t="str">
            <v>74 - 024</v>
          </cell>
          <cell r="J190">
            <v>6973200</v>
          </cell>
        </row>
        <row r="191">
          <cell r="B191" t="str">
            <v>Trần Anh Văn</v>
          </cell>
          <cell r="C191" t="str">
            <v>Tổ 3, ấp Giấn Dân, Long Thạnh Mỹ, quận 9,HCM</v>
          </cell>
          <cell r="D191" t="str">
            <v>4707073996</v>
          </cell>
          <cell r="E191" t="str">
            <v>4707073996</v>
          </cell>
          <cell r="F191" t="str">
            <v>DN4794707073996</v>
          </cell>
          <cell r="G191" t="str">
            <v>01/09/1982</v>
          </cell>
          <cell r="H191" t="str">
            <v>Nam</v>
          </cell>
          <cell r="I191" t="str">
            <v>79 - 014</v>
          </cell>
          <cell r="J191">
            <v>8377200</v>
          </cell>
        </row>
        <row r="192">
          <cell r="B192" t="str">
            <v>Trần Hoàng Khuê</v>
          </cell>
          <cell r="C192" t="str">
            <v>Xã Ngọc Thạnh II</v>
          </cell>
          <cell r="D192" t="str">
            <v>5221421004</v>
          </cell>
          <cell r="E192" t="str">
            <v/>
          </cell>
          <cell r="F192" t="str">
            <v>DN4795221421004</v>
          </cell>
          <cell r="G192" t="str">
            <v>10/04/1993</v>
          </cell>
          <cell r="H192" t="str">
            <v>Nam</v>
          </cell>
          <cell r="I192" t="str">
            <v>52 - 008</v>
          </cell>
          <cell r="J192">
            <v>6225600</v>
          </cell>
        </row>
        <row r="193">
          <cell r="B193" t="str">
            <v>Nguyễn Hữu Hòa</v>
          </cell>
          <cell r="C193" t="str">
            <v>KP. Hiệp Giao</v>
          </cell>
          <cell r="D193" t="str">
            <v>5221468391</v>
          </cell>
          <cell r="E193" t="str">
            <v/>
          </cell>
          <cell r="F193" t="str">
            <v>DN4795221468391</v>
          </cell>
          <cell r="G193" t="str">
            <v>20/01/2001</v>
          </cell>
          <cell r="H193" t="str">
            <v>Nam</v>
          </cell>
          <cell r="I193" t="str">
            <v>52 - 008</v>
          </cell>
          <cell r="J193">
            <v>6225600</v>
          </cell>
        </row>
        <row r="194">
          <cell r="B194" t="str">
            <v>Lê Hồng Vinh</v>
          </cell>
          <cell r="C194" t="str">
            <v>Tăng Lợi</v>
          </cell>
          <cell r="D194" t="str">
            <v>5221512807</v>
          </cell>
          <cell r="E194" t="str">
            <v/>
          </cell>
          <cell r="F194" t="str">
            <v>DN4795221512807</v>
          </cell>
          <cell r="G194" t="str">
            <v>15/03/1994</v>
          </cell>
          <cell r="H194" t="str">
            <v>Nam</v>
          </cell>
          <cell r="I194" t="str">
            <v>52 - 187</v>
          </cell>
          <cell r="J194">
            <v>6225600</v>
          </cell>
        </row>
        <row r="195">
          <cell r="B195" t="str">
            <v>Đinh Ngọc Tiên</v>
          </cell>
          <cell r="C195" t="str">
            <v>Định Phong</v>
          </cell>
          <cell r="D195" t="str">
            <v>5416002595</v>
          </cell>
          <cell r="E195" t="str">
            <v/>
          </cell>
          <cell r="F195" t="str">
            <v>DN4795416002595</v>
          </cell>
          <cell r="G195" t="str">
            <v>26/02/1990</v>
          </cell>
          <cell r="H195" t="str">
            <v>Nam</v>
          </cell>
          <cell r="I195" t="str">
            <v>52 - 008</v>
          </cell>
          <cell r="J195">
            <v>6115200</v>
          </cell>
        </row>
        <row r="196">
          <cell r="B196" t="str">
            <v>Phạm Ngọc Tuyền</v>
          </cell>
          <cell r="C196" t="str">
            <v>Định Trung 2</v>
          </cell>
          <cell r="D196" t="str">
            <v>5416005197</v>
          </cell>
          <cell r="E196" t="str">
            <v/>
          </cell>
          <cell r="F196" t="str">
            <v>DN4795416005197</v>
          </cell>
          <cell r="G196" t="str">
            <v>20/03/1992</v>
          </cell>
          <cell r="H196" t="str">
            <v>Nam</v>
          </cell>
          <cell r="I196" t="str">
            <v>54 - 003</v>
          </cell>
          <cell r="J196">
            <v>6198400</v>
          </cell>
        </row>
        <row r="197">
          <cell r="B197" t="str">
            <v>Lê Anh Kha</v>
          </cell>
          <cell r="C197" t="str">
            <v>.</v>
          </cell>
          <cell r="D197" t="str">
            <v>5420176933</v>
          </cell>
          <cell r="E197" t="str">
            <v/>
          </cell>
          <cell r="F197" t="str">
            <v>DN4795420176933</v>
          </cell>
          <cell r="G197" t="str">
            <v>01/01/1998</v>
          </cell>
          <cell r="H197" t="str">
            <v>Nam</v>
          </cell>
          <cell r="I197" t="str">
            <v>56 - 012</v>
          </cell>
          <cell r="J197">
            <v>5865600</v>
          </cell>
        </row>
        <row r="198">
          <cell r="B198" t="str">
            <v>Nguyễn Văn Hoàng</v>
          </cell>
          <cell r="C198" t="str">
            <v>.</v>
          </cell>
          <cell r="D198" t="str">
            <v>5420256816</v>
          </cell>
          <cell r="E198" t="str">
            <v/>
          </cell>
          <cell r="F198" t="str">
            <v>DN4795420256816</v>
          </cell>
          <cell r="G198" t="str">
            <v>01/08/1992</v>
          </cell>
          <cell r="H198" t="str">
            <v>Nam</v>
          </cell>
          <cell r="I198" t="str">
            <v>54 - 016</v>
          </cell>
          <cell r="J198">
            <v>6198400</v>
          </cell>
        </row>
        <row r="199">
          <cell r="B199" t="str">
            <v>Nguyễn Đình Sửu</v>
          </cell>
          <cell r="C199" t="str">
            <v>Long Châu</v>
          </cell>
          <cell r="D199" t="str">
            <v>5420273207</v>
          </cell>
          <cell r="E199" t="str">
            <v/>
          </cell>
          <cell r="F199" t="str">
            <v>DN4795420273207</v>
          </cell>
          <cell r="G199" t="str">
            <v>10/02/2003</v>
          </cell>
          <cell r="H199" t="str">
            <v>Nam</v>
          </cell>
          <cell r="I199" t="str">
            <v>54 - 031</v>
          </cell>
          <cell r="J199">
            <v>5865600</v>
          </cell>
        </row>
        <row r="200">
          <cell r="B200" t="str">
            <v>Nguyễn Tấn Thịnh</v>
          </cell>
          <cell r="C200" t="str">
            <v>Thạnh Đức</v>
          </cell>
          <cell r="D200" t="str">
            <v>5420297269</v>
          </cell>
          <cell r="E200" t="str">
            <v/>
          </cell>
          <cell r="F200" t="str">
            <v>DN4795420297269</v>
          </cell>
          <cell r="G200" t="str">
            <v>08/11/2000</v>
          </cell>
          <cell r="H200" t="str">
            <v>Nam</v>
          </cell>
          <cell r="I200" t="str">
            <v>56 - 001</v>
          </cell>
          <cell r="J200">
            <v>5865600</v>
          </cell>
        </row>
        <row r="201">
          <cell r="B201" t="str">
            <v>Võ Văn Phúc</v>
          </cell>
          <cell r="C201" t="str">
            <v>Lãnh Vân</v>
          </cell>
          <cell r="D201" t="str">
            <v>5420305930</v>
          </cell>
          <cell r="E201" t="str">
            <v/>
          </cell>
          <cell r="F201" t="str">
            <v>DN4795420305930</v>
          </cell>
          <cell r="G201" t="str">
            <v>02/11/2002</v>
          </cell>
          <cell r="H201" t="str">
            <v>Nam</v>
          </cell>
          <cell r="I201" t="str">
            <v>54 - 032</v>
          </cell>
          <cell r="J201">
            <v>5865600</v>
          </cell>
        </row>
        <row r="202">
          <cell r="B202" t="str">
            <v>Nguyễn Thanh Tuấn</v>
          </cell>
          <cell r="C202" t="str">
            <v>Thôn Thế Hiên</v>
          </cell>
          <cell r="D202" t="str">
            <v>5420332174</v>
          </cell>
          <cell r="E202" t="str">
            <v/>
          </cell>
          <cell r="F202" t="str">
            <v>DN4795420332174</v>
          </cell>
          <cell r="G202" t="str">
            <v>15/10/1993</v>
          </cell>
          <cell r="H202" t="str">
            <v>Nam</v>
          </cell>
          <cell r="I202" t="str">
            <v>54 - 003</v>
          </cell>
          <cell r="J202">
            <v>6225600</v>
          </cell>
        </row>
        <row r="203">
          <cell r="B203" t="str">
            <v>Nguyễn Hoàng Thông</v>
          </cell>
          <cell r="C203" t="str">
            <v>Trung Lương 1</v>
          </cell>
          <cell r="D203" t="str">
            <v>5420344229</v>
          </cell>
          <cell r="E203" t="str">
            <v/>
          </cell>
          <cell r="F203" t="str">
            <v>DN4795420344229</v>
          </cell>
          <cell r="G203" t="str">
            <v>06/06/2002</v>
          </cell>
          <cell r="H203" t="str">
            <v>Nam</v>
          </cell>
          <cell r="I203" t="str">
            <v>54 - 003</v>
          </cell>
          <cell r="J203">
            <v>5865600</v>
          </cell>
        </row>
        <row r="204">
          <cell r="B204" t="str">
            <v>Ngô Thái Long</v>
          </cell>
          <cell r="C204" t="str">
            <v>Định Phong</v>
          </cell>
          <cell r="D204" t="str">
            <v>5420344933</v>
          </cell>
          <cell r="E204" t="str">
            <v/>
          </cell>
          <cell r="F204" t="str">
            <v>DN4795420344933</v>
          </cell>
          <cell r="G204" t="str">
            <v>13/05/1998</v>
          </cell>
          <cell r="H204" t="str">
            <v>Nam</v>
          </cell>
          <cell r="I204" t="str">
            <v>52 - 008</v>
          </cell>
          <cell r="J204">
            <v>6225600</v>
          </cell>
        </row>
        <row r="205">
          <cell r="B205" t="str">
            <v>Nguyễn Xuân Anh</v>
          </cell>
          <cell r="C205" t="str">
            <v>Thôn Hòa Đa</v>
          </cell>
          <cell r="D205" t="str">
            <v>5420360021</v>
          </cell>
          <cell r="E205" t="str">
            <v/>
          </cell>
          <cell r="F205" t="str">
            <v>DN4795420360021</v>
          </cell>
          <cell r="G205" t="str">
            <v>19/07/1995</v>
          </cell>
          <cell r="H205" t="str">
            <v>Nam</v>
          </cell>
          <cell r="I205" t="str">
            <v>54 - 017</v>
          </cell>
          <cell r="J205">
            <v>5865600</v>
          </cell>
        </row>
        <row r="206">
          <cell r="B206" t="str">
            <v>Nguyễn Ngọc Quý</v>
          </cell>
          <cell r="C206" t="str">
            <v>An Thổ</v>
          </cell>
          <cell r="D206" t="str">
            <v>5420407536</v>
          </cell>
          <cell r="E206" t="str">
            <v/>
          </cell>
          <cell r="F206" t="str">
            <v>DN4795420407536</v>
          </cell>
          <cell r="G206" t="str">
            <v>01/05/1997</v>
          </cell>
          <cell r="H206" t="str">
            <v>Nam</v>
          </cell>
          <cell r="I206" t="str">
            <v>79 - 009</v>
          </cell>
          <cell r="J206">
            <v>5896800</v>
          </cell>
        </row>
        <row r="207">
          <cell r="B207" t="str">
            <v>Trần Văn Đức</v>
          </cell>
          <cell r="C207" t="str">
            <v/>
          </cell>
          <cell r="D207" t="str">
            <v>5420439084</v>
          </cell>
          <cell r="E207" t="str">
            <v/>
          </cell>
          <cell r="F207" t="str">
            <v>DN4795420439084</v>
          </cell>
          <cell r="G207" t="str">
            <v>18/09/1988</v>
          </cell>
          <cell r="H207" t="str">
            <v>Nam</v>
          </cell>
          <cell r="I207" t="str">
            <v>56 - 183</v>
          </cell>
          <cell r="J207">
            <v>5865600</v>
          </cell>
        </row>
        <row r="208">
          <cell r="B208" t="str">
            <v>Nguyễn Nhật Quang</v>
          </cell>
          <cell r="C208" t="str">
            <v>Thôn Phước Mỹ</v>
          </cell>
          <cell r="D208" t="str">
            <v>5420589490</v>
          </cell>
          <cell r="E208" t="str">
            <v/>
          </cell>
          <cell r="F208" t="str">
            <v>DN4795420589490</v>
          </cell>
          <cell r="G208" t="str">
            <v>22/06/1997</v>
          </cell>
          <cell r="H208" t="str">
            <v>Nam</v>
          </cell>
          <cell r="I208" t="str">
            <v>54 - 031</v>
          </cell>
          <cell r="J208">
            <v>5865600</v>
          </cell>
        </row>
        <row r="209">
          <cell r="B209" t="str">
            <v>Lê Nhật Tân</v>
          </cell>
          <cell r="C209" t="str">
            <v>Phước Mỹ</v>
          </cell>
          <cell r="D209" t="str">
            <v>5420635502</v>
          </cell>
          <cell r="E209" t="str">
            <v/>
          </cell>
          <cell r="F209" t="str">
            <v>DN4795420635502</v>
          </cell>
          <cell r="G209" t="str">
            <v>07/10/2002</v>
          </cell>
          <cell r="H209" t="str">
            <v>Nam</v>
          </cell>
          <cell r="I209" t="str">
            <v>56 - 002</v>
          </cell>
          <cell r="J209">
            <v>5865600</v>
          </cell>
        </row>
        <row r="210">
          <cell r="B210" t="str">
            <v>Lê Huy Tường</v>
          </cell>
          <cell r="C210" t="str">
            <v>Phước Mỹ</v>
          </cell>
          <cell r="D210" t="str">
            <v>5420663881</v>
          </cell>
          <cell r="E210" t="str">
            <v/>
          </cell>
          <cell r="F210" t="str">
            <v>DN4795420663881</v>
          </cell>
          <cell r="G210" t="str">
            <v>24/07/1994</v>
          </cell>
          <cell r="H210" t="str">
            <v>Nam</v>
          </cell>
          <cell r="I210" t="str">
            <v>54 - 130</v>
          </cell>
          <cell r="J210">
            <v>5865600</v>
          </cell>
        </row>
        <row r="211">
          <cell r="B211" t="str">
            <v>Nguyễn Văn Nhì</v>
          </cell>
          <cell r="C211" t="str">
            <v>Đại Phú</v>
          </cell>
          <cell r="D211" t="str">
            <v>5420698153</v>
          </cell>
          <cell r="E211" t="str">
            <v/>
          </cell>
          <cell r="F211" t="str">
            <v>DN4795420698153</v>
          </cell>
          <cell r="G211" t="str">
            <v>01/10/1987</v>
          </cell>
          <cell r="H211" t="str">
            <v>Nam</v>
          </cell>
          <cell r="I211" t="str">
            <v>54 - 162</v>
          </cell>
          <cell r="J211">
            <v>5865600</v>
          </cell>
        </row>
        <row r="212">
          <cell r="B212" t="str">
            <v>Dương Tùng Lâm</v>
          </cell>
          <cell r="C212" t="str">
            <v>Liên Trì 1</v>
          </cell>
          <cell r="D212" t="str">
            <v>5421108410</v>
          </cell>
          <cell r="E212" t="str">
            <v/>
          </cell>
          <cell r="F212" t="str">
            <v>DN4795421108410</v>
          </cell>
          <cell r="G212" t="str">
            <v>17/07/1994</v>
          </cell>
          <cell r="H212" t="str">
            <v>Nam</v>
          </cell>
          <cell r="I212" t="str">
            <v>54 - 039</v>
          </cell>
          <cell r="J212">
            <v>5865600</v>
          </cell>
        </row>
        <row r="213">
          <cell r="B213" t="str">
            <v>Trần Đức Hoàng</v>
          </cell>
          <cell r="C213" t="str">
            <v>Khu phố Chí Thạnh</v>
          </cell>
          <cell r="D213" t="str">
            <v>5421108411</v>
          </cell>
          <cell r="E213" t="str">
            <v/>
          </cell>
          <cell r="F213" t="str">
            <v>DN4795421108411</v>
          </cell>
          <cell r="G213" t="str">
            <v>09/08/1995</v>
          </cell>
          <cell r="H213" t="str">
            <v>Nam</v>
          </cell>
          <cell r="I213" t="str">
            <v>52 - 008</v>
          </cell>
          <cell r="J213">
            <v>6558400</v>
          </cell>
        </row>
        <row r="214">
          <cell r="B214" t="str">
            <v>Võ Trung Nghĩa</v>
          </cell>
          <cell r="C214" t="str">
            <v>Xã Phước Lương</v>
          </cell>
          <cell r="D214" t="str">
            <v>5421211760</v>
          </cell>
          <cell r="E214" t="str">
            <v/>
          </cell>
          <cell r="F214" t="str">
            <v>DN4795421211760</v>
          </cell>
          <cell r="G214" t="str">
            <v>21/11/1993</v>
          </cell>
          <cell r="H214" t="str">
            <v>Nam</v>
          </cell>
          <cell r="I214" t="str">
            <v>52 - 008</v>
          </cell>
          <cell r="J214">
            <v>6558400</v>
          </cell>
        </row>
        <row r="215">
          <cell r="B215" t="str">
            <v>Huỳnh Văn Phúc</v>
          </cell>
          <cell r="C215" t="str">
            <v>Lãnh Vân</v>
          </cell>
          <cell r="D215" t="str">
            <v>5421218021</v>
          </cell>
          <cell r="E215" t="str">
            <v/>
          </cell>
          <cell r="F215" t="str">
            <v>DN4795421218021</v>
          </cell>
          <cell r="G215" t="str">
            <v>10/12/1995</v>
          </cell>
          <cell r="H215" t="str">
            <v>Nam</v>
          </cell>
          <cell r="I215" t="str">
            <v>54 - 015</v>
          </cell>
          <cell r="J215">
            <v>6225600</v>
          </cell>
        </row>
        <row r="216">
          <cell r="B216" t="str">
            <v>Huỳnh Phát Đạt</v>
          </cell>
          <cell r="C216" t="str">
            <v>Tổ 12, thôn Vĩnh Điềm Thượng</v>
          </cell>
          <cell r="D216" t="str">
            <v>5610001038</v>
          </cell>
          <cell r="E216" t="str">
            <v/>
          </cell>
          <cell r="F216" t="str">
            <v>DN4795610001038</v>
          </cell>
          <cell r="G216" t="str">
            <v>13/11/1986</v>
          </cell>
          <cell r="H216" t="str">
            <v>Nam</v>
          </cell>
          <cell r="I216" t="str">
            <v>56 - 001</v>
          </cell>
          <cell r="J216">
            <v>6198400</v>
          </cell>
        </row>
        <row r="217">
          <cell r="B217" t="str">
            <v>Nguyễn Hà Kim Long</v>
          </cell>
          <cell r="C217" t="str">
            <v>Thôn Phú Ân Nam 2</v>
          </cell>
          <cell r="D217" t="str">
            <v>5614006670</v>
          </cell>
          <cell r="E217" t="str">
            <v/>
          </cell>
          <cell r="F217" t="str">
            <v>DN4795614006670</v>
          </cell>
          <cell r="G217" t="str">
            <v>23/01/1989</v>
          </cell>
          <cell r="H217" t="str">
            <v>Nam</v>
          </cell>
          <cell r="I217" t="str">
            <v>56 - 001</v>
          </cell>
          <cell r="J217">
            <v>6198400</v>
          </cell>
        </row>
        <row r="218">
          <cell r="B218" t="str">
            <v>Nguyễn Việt Hiếu</v>
          </cell>
          <cell r="C218" t="str">
            <v>Tổ 5</v>
          </cell>
          <cell r="D218" t="str">
            <v>5615001724</v>
          </cell>
          <cell r="E218" t="str">
            <v/>
          </cell>
          <cell r="F218" t="str">
            <v>DN4795615001724</v>
          </cell>
          <cell r="G218" t="str">
            <v>02/07/1995</v>
          </cell>
          <cell r="H218" t="str">
            <v>Nam</v>
          </cell>
          <cell r="I218" t="str">
            <v>75 - 013</v>
          </cell>
          <cell r="J218">
            <v>6598800</v>
          </cell>
        </row>
        <row r="219">
          <cell r="B219" t="str">
            <v>Lê Thành Khoan</v>
          </cell>
          <cell r="C219" t="str">
            <v>thôn Hoà Diêm</v>
          </cell>
          <cell r="D219" t="str">
            <v>5615860319</v>
          </cell>
          <cell r="E219" t="str">
            <v/>
          </cell>
          <cell r="F219" t="str">
            <v>DN4795615860319</v>
          </cell>
          <cell r="G219" t="str">
            <v>23/03/1993</v>
          </cell>
          <cell r="H219" t="str">
            <v>Nam</v>
          </cell>
          <cell r="I219" t="str">
            <v>56 - 183</v>
          </cell>
          <cell r="J219">
            <v>5865600</v>
          </cell>
        </row>
        <row r="220">
          <cell r="B220" t="str">
            <v>Nguyễn Trọng Vương</v>
          </cell>
          <cell r="C220" t="str">
            <v>Hải Triều</v>
          </cell>
          <cell r="D220" t="str">
            <v>5616835032</v>
          </cell>
          <cell r="E220" t="str">
            <v/>
          </cell>
          <cell r="F220" t="str">
            <v>DN4795616835032</v>
          </cell>
          <cell r="G220" t="str">
            <v>07/03/1984</v>
          </cell>
          <cell r="H220" t="str">
            <v>Nam</v>
          </cell>
          <cell r="I220" t="str">
            <v>56 - 002</v>
          </cell>
          <cell r="J220">
            <v>5865600</v>
          </cell>
        </row>
        <row r="221">
          <cell r="B221" t="str">
            <v>Huỳnh Phi Hoàng</v>
          </cell>
          <cell r="C221" t="str">
            <v>thôn Long Hòa</v>
          </cell>
          <cell r="D221" t="str">
            <v>5616835630</v>
          </cell>
          <cell r="E221" t="str">
            <v/>
          </cell>
          <cell r="F221" t="str">
            <v>DN4795616835630</v>
          </cell>
          <cell r="G221" t="str">
            <v>05/03/1990</v>
          </cell>
          <cell r="H221" t="str">
            <v>Nam</v>
          </cell>
          <cell r="I221" t="str">
            <v>56 - 002</v>
          </cell>
          <cell r="J221">
            <v>5865600</v>
          </cell>
        </row>
        <row r="222">
          <cell r="B222" t="str">
            <v>Nguyễn Cao Cường</v>
          </cell>
          <cell r="C222" t="str">
            <v>Quảng Đức</v>
          </cell>
          <cell r="D222" t="str">
            <v>5620541381</v>
          </cell>
          <cell r="E222" t="str">
            <v/>
          </cell>
          <cell r="F222" t="str">
            <v>DN4795620541381</v>
          </cell>
          <cell r="G222" t="str">
            <v>26/09/1987</v>
          </cell>
          <cell r="H222" t="str">
            <v>Nam</v>
          </cell>
          <cell r="I222" t="str">
            <v>56 - 158</v>
          </cell>
          <cell r="J222">
            <v>6198400</v>
          </cell>
        </row>
        <row r="223">
          <cell r="B223" t="str">
            <v>Nguyễn Ngọc Thanh</v>
          </cell>
          <cell r="C223" t="str">
            <v>Thôn Vĩnh Trung</v>
          </cell>
          <cell r="D223" t="str">
            <v>5620611942</v>
          </cell>
          <cell r="E223" t="str">
            <v/>
          </cell>
          <cell r="F223" t="str">
            <v>DN4795620611942</v>
          </cell>
          <cell r="G223" t="str">
            <v>17/08/1991</v>
          </cell>
          <cell r="H223" t="str">
            <v>Nam</v>
          </cell>
          <cell r="I223" t="str">
            <v>56 - 183</v>
          </cell>
          <cell r="J223">
            <v>5865600</v>
          </cell>
        </row>
        <row r="224">
          <cell r="B224" t="str">
            <v>Biện Huỳnh Vi Tính</v>
          </cell>
          <cell r="C224" t="str">
            <v>Thôn Văn Thủy 1</v>
          </cell>
          <cell r="D224" t="str">
            <v>5620626851</v>
          </cell>
          <cell r="E224" t="str">
            <v/>
          </cell>
          <cell r="F224" t="str">
            <v>DN4795620626851</v>
          </cell>
          <cell r="G224" t="str">
            <v>10/12/1994</v>
          </cell>
          <cell r="H224" t="str">
            <v>Nam</v>
          </cell>
          <cell r="I224" t="str">
            <v>56 - 173</v>
          </cell>
          <cell r="J224">
            <v>5865600</v>
          </cell>
        </row>
        <row r="225">
          <cell r="B225" t="str">
            <v>Lê Trường Thông</v>
          </cell>
          <cell r="C225" t="str">
            <v>thôn Tây Bắc 2</v>
          </cell>
          <cell r="D225" t="str">
            <v>5620660747</v>
          </cell>
          <cell r="E225" t="str">
            <v/>
          </cell>
          <cell r="F225" t="str">
            <v>DN4795620660747</v>
          </cell>
          <cell r="G225" t="str">
            <v>09/09/1992</v>
          </cell>
          <cell r="H225" t="str">
            <v>Nam</v>
          </cell>
          <cell r="I225" t="str">
            <v>56 - 002</v>
          </cell>
          <cell r="J225">
            <v>5865600</v>
          </cell>
        </row>
        <row r="226">
          <cell r="B226" t="str">
            <v>Đỗ Cao Quốc Thịnh</v>
          </cell>
          <cell r="C226" t="str">
            <v>Tân Đức Đông</v>
          </cell>
          <cell r="D226" t="str">
            <v>5620665674</v>
          </cell>
          <cell r="E226" t="str">
            <v/>
          </cell>
          <cell r="F226" t="str">
            <v>DN4795620665674</v>
          </cell>
          <cell r="G226" t="str">
            <v>09/08/1995</v>
          </cell>
          <cell r="H226" t="str">
            <v>Nam</v>
          </cell>
          <cell r="I226" t="str">
            <v>60 - 004</v>
          </cell>
          <cell r="J226">
            <v>5865600</v>
          </cell>
        </row>
        <row r="227">
          <cell r="B227" t="str">
            <v>Nguyễn Hồng Diệp</v>
          </cell>
          <cell r="C227" t="str">
            <v>Phú Cang 1 Bắc</v>
          </cell>
          <cell r="D227" t="str">
            <v>5620681049</v>
          </cell>
          <cell r="E227" t="str">
            <v/>
          </cell>
          <cell r="F227" t="str">
            <v>DN4795620681049</v>
          </cell>
          <cell r="G227" t="str">
            <v>08/05/2000</v>
          </cell>
          <cell r="H227" t="str">
            <v>Nam</v>
          </cell>
          <cell r="I227" t="str">
            <v>52 - 008</v>
          </cell>
          <cell r="J227">
            <v>5865600</v>
          </cell>
        </row>
        <row r="228">
          <cell r="B228" t="str">
            <v>Đặng Nhật Đoàn</v>
          </cell>
          <cell r="C228" t="str">
            <v>Long Hòa</v>
          </cell>
          <cell r="D228" t="str">
            <v>5620695755</v>
          </cell>
          <cell r="E228" t="str">
            <v/>
          </cell>
          <cell r="F228" t="str">
            <v>DN4795620695755</v>
          </cell>
          <cell r="G228" t="str">
            <v>20/03/1994</v>
          </cell>
          <cell r="H228" t="str">
            <v>Nam</v>
          </cell>
          <cell r="I228" t="str">
            <v>56 - 002</v>
          </cell>
          <cell r="J228">
            <v>5865600</v>
          </cell>
        </row>
        <row r="229">
          <cell r="B229" t="str">
            <v>Võ Hữu Phát</v>
          </cell>
          <cell r="C229" t="str">
            <v>.</v>
          </cell>
          <cell r="D229" t="str">
            <v>5620709214</v>
          </cell>
          <cell r="E229" t="str">
            <v/>
          </cell>
          <cell r="F229" t="str">
            <v>DN4795620709214</v>
          </cell>
          <cell r="G229" t="str">
            <v>10/01/2002</v>
          </cell>
          <cell r="H229" t="str">
            <v>Nam</v>
          </cell>
          <cell r="I229" t="str">
            <v>56 - 002</v>
          </cell>
          <cell r="J229">
            <v>5865600</v>
          </cell>
        </row>
        <row r="230">
          <cell r="B230" t="str">
            <v>Nguyễn Lê Hải Long</v>
          </cell>
          <cell r="C230" t="str">
            <v>Tây Bắc 1</v>
          </cell>
          <cell r="D230" t="str">
            <v>5620710019</v>
          </cell>
          <cell r="E230" t="str">
            <v/>
          </cell>
          <cell r="F230" t="str">
            <v>DN4795620710019</v>
          </cell>
          <cell r="G230" t="str">
            <v>18/01/1995</v>
          </cell>
          <cell r="H230" t="str">
            <v>Nam</v>
          </cell>
          <cell r="I230" t="str">
            <v>56 - 002</v>
          </cell>
          <cell r="J230">
            <v>5865600</v>
          </cell>
        </row>
        <row r="231">
          <cell r="B231" t="str">
            <v>Nguyễn Quốc Dũng</v>
          </cell>
          <cell r="C231" t="str">
            <v>Phước Lộc</v>
          </cell>
          <cell r="D231" t="str">
            <v>5620822647</v>
          </cell>
          <cell r="E231" t="str">
            <v/>
          </cell>
          <cell r="F231" t="str">
            <v>DN4795620822647</v>
          </cell>
          <cell r="G231" t="str">
            <v>15/02/1997</v>
          </cell>
          <cell r="H231" t="str">
            <v>Nam</v>
          </cell>
          <cell r="I231" t="str">
            <v>56 - 001</v>
          </cell>
          <cell r="J231">
            <v>5865600</v>
          </cell>
        </row>
        <row r="232">
          <cell r="B232" t="str">
            <v>Huỳnh Anh Quốc</v>
          </cell>
          <cell r="C232" t="str">
            <v>Đại Cát 1</v>
          </cell>
          <cell r="D232" t="str">
            <v>5620894690</v>
          </cell>
          <cell r="E232" t="str">
            <v/>
          </cell>
          <cell r="F232" t="str">
            <v>DN4795620894690</v>
          </cell>
          <cell r="G232" t="str">
            <v>22/04/1996</v>
          </cell>
          <cell r="H232" t="str">
            <v>Nam</v>
          </cell>
          <cell r="I232" t="str">
            <v>56 - 003</v>
          </cell>
          <cell r="J232">
            <v>6198400</v>
          </cell>
        </row>
        <row r="233">
          <cell r="B233" t="str">
            <v>Lương Công Minh</v>
          </cell>
          <cell r="C233" t="str">
            <v>Thôn Bình Trị</v>
          </cell>
          <cell r="D233" t="str">
            <v>5621018220</v>
          </cell>
          <cell r="E233" t="str">
            <v/>
          </cell>
          <cell r="F233" t="str">
            <v>DN4795621018220</v>
          </cell>
          <cell r="G233" t="str">
            <v>09/09/1992</v>
          </cell>
          <cell r="H233" t="str">
            <v>Nam</v>
          </cell>
          <cell r="I233" t="str">
            <v>56 - 105</v>
          </cell>
          <cell r="J233">
            <v>5865600</v>
          </cell>
        </row>
        <row r="234">
          <cell r="B234" t="str">
            <v>Lê Duy Hiệp</v>
          </cell>
          <cell r="C234" t="str">
            <v>Vĩnh Cát</v>
          </cell>
          <cell r="D234" t="str">
            <v>5621123915</v>
          </cell>
          <cell r="E234" t="str">
            <v/>
          </cell>
          <cell r="F234" t="str">
            <v>DN4795621123915</v>
          </cell>
          <cell r="G234" t="str">
            <v>23/08/1997</v>
          </cell>
          <cell r="H234" t="str">
            <v>Nam</v>
          </cell>
          <cell r="I234" t="str">
            <v>56 - 001</v>
          </cell>
          <cell r="J234">
            <v>5865600</v>
          </cell>
        </row>
        <row r="235">
          <cell r="B235" t="str">
            <v>Đỗ Thanh Phú</v>
          </cell>
          <cell r="C235" t="str">
            <v>Thôn Tân Quang</v>
          </cell>
          <cell r="D235" t="str">
            <v>5621246048</v>
          </cell>
          <cell r="E235" t="str">
            <v/>
          </cell>
          <cell r="F235" t="str">
            <v>DN4795621246048</v>
          </cell>
          <cell r="G235" t="str">
            <v>29/01/1995</v>
          </cell>
          <cell r="H235" t="str">
            <v>Nam</v>
          </cell>
          <cell r="I235" t="str">
            <v>75 - 013</v>
          </cell>
          <cell r="J235">
            <v>6598800</v>
          </cell>
        </row>
        <row r="236">
          <cell r="B236" t="str">
            <v>Nguyễn Phong Huỳnh</v>
          </cell>
          <cell r="C236" t="str">
            <v>Tổ dân phố số 8</v>
          </cell>
          <cell r="D236" t="str">
            <v>5621546574</v>
          </cell>
          <cell r="E236" t="str">
            <v/>
          </cell>
          <cell r="F236" t="str">
            <v>DN4795621546574</v>
          </cell>
          <cell r="G236" t="str">
            <v>26/12/1991</v>
          </cell>
          <cell r="H236" t="str">
            <v>Nam</v>
          </cell>
          <cell r="I236" t="str">
            <v>56 - 105</v>
          </cell>
          <cell r="J236">
            <v>5865600</v>
          </cell>
        </row>
        <row r="237">
          <cell r="B237" t="str">
            <v>Nguyễn Ngọc Tiến</v>
          </cell>
          <cell r="C237" t="str">
            <v>Thôn Triệu Hải</v>
          </cell>
          <cell r="D237" t="str">
            <v>5621590974</v>
          </cell>
          <cell r="E237" t="str">
            <v/>
          </cell>
          <cell r="F237" t="str">
            <v>DN4795621590974</v>
          </cell>
          <cell r="G237" t="str">
            <v>14/01/1996</v>
          </cell>
          <cell r="H237" t="str">
            <v>Nam</v>
          </cell>
          <cell r="I237" t="str">
            <v>56 - 158</v>
          </cell>
          <cell r="J237">
            <v>6364800</v>
          </cell>
        </row>
        <row r="238">
          <cell r="B238" t="str">
            <v>Phan Thành Thái</v>
          </cell>
          <cell r="C238" t="str">
            <v>Xuân Vinh</v>
          </cell>
          <cell r="D238" t="str">
            <v>5621683975</v>
          </cell>
          <cell r="E238" t="str">
            <v/>
          </cell>
          <cell r="F238" t="str">
            <v>DN4795621683975</v>
          </cell>
          <cell r="G238" t="str">
            <v>10/07/2000</v>
          </cell>
          <cell r="H238" t="str">
            <v>Nam</v>
          </cell>
          <cell r="I238" t="str">
            <v>60 - 004</v>
          </cell>
          <cell r="J238">
            <v>5865600</v>
          </cell>
        </row>
        <row r="239">
          <cell r="B239" t="str">
            <v>Nguyễn Quốc Trung</v>
          </cell>
          <cell r="C239" t="str">
            <v>Vạn Hữu</v>
          </cell>
          <cell r="D239" t="str">
            <v>5621707740</v>
          </cell>
          <cell r="E239" t="str">
            <v/>
          </cell>
          <cell r="F239" t="str">
            <v>DN4795621707740</v>
          </cell>
          <cell r="G239" t="str">
            <v>27/10/1994</v>
          </cell>
          <cell r="H239" t="str">
            <v>Nam</v>
          </cell>
          <cell r="I239" t="str">
            <v>56 - 105</v>
          </cell>
          <cell r="J239">
            <v>5865600</v>
          </cell>
        </row>
        <row r="240">
          <cell r="B240" t="str">
            <v>Trần Xuân Dậu</v>
          </cell>
          <cell r="C240" t="str">
            <v>Thôn Hòa Sơn</v>
          </cell>
          <cell r="D240" t="str">
            <v>5621722598</v>
          </cell>
          <cell r="E240" t="str">
            <v/>
          </cell>
          <cell r="F240" t="str">
            <v>DN4795621722598</v>
          </cell>
          <cell r="G240" t="str">
            <v>03/04/1994</v>
          </cell>
          <cell r="H240" t="str">
            <v>Nam</v>
          </cell>
          <cell r="I240" t="str">
            <v>56 - 183</v>
          </cell>
          <cell r="J240">
            <v>5865600</v>
          </cell>
        </row>
        <row r="241">
          <cell r="B241" t="str">
            <v>Mai Xuân Thức</v>
          </cell>
          <cell r="C241" t="str">
            <v>Mễ Thượng, Yên Khang, ý Yên, Nam Định</v>
          </cell>
          <cell r="D241" t="str">
            <v>5815001629</v>
          </cell>
          <cell r="E241" t="str">
            <v>5815001629</v>
          </cell>
          <cell r="F241" t="str">
            <v>DN4795815001629</v>
          </cell>
          <cell r="G241" t="str">
            <v>28/12/1994</v>
          </cell>
          <cell r="H241" t="str">
            <v>Nam</v>
          </cell>
          <cell r="I241" t="str">
            <v>58 - 007</v>
          </cell>
          <cell r="J241">
            <v>6378400</v>
          </cell>
        </row>
        <row r="242">
          <cell r="B242" t="str">
            <v>Nguyễn Phúc Ân</v>
          </cell>
          <cell r="C242" t="str">
            <v>Thôn An Xuân</v>
          </cell>
          <cell r="D242" t="str">
            <v>5816005686</v>
          </cell>
          <cell r="E242" t="str">
            <v/>
          </cell>
          <cell r="F242" t="str">
            <v>DN4795816005686</v>
          </cell>
          <cell r="G242" t="str">
            <v>19/08/1989</v>
          </cell>
          <cell r="H242" t="str">
            <v>Nam</v>
          </cell>
          <cell r="I242" t="str">
            <v>58 - 114</v>
          </cell>
          <cell r="J242">
            <v>6045600</v>
          </cell>
        </row>
        <row r="243">
          <cell r="B243" t="str">
            <v>Phan Trương Minh Tùng</v>
          </cell>
          <cell r="C243" t="str">
            <v>130/21/1 Lê Duẩn</v>
          </cell>
          <cell r="D243" t="str">
            <v>5820043892</v>
          </cell>
          <cell r="E243" t="str">
            <v/>
          </cell>
          <cell r="F243" t="str">
            <v>DN4795820043892</v>
          </cell>
          <cell r="G243" t="str">
            <v>17/09/1999</v>
          </cell>
          <cell r="H243" t="str">
            <v>Nam</v>
          </cell>
          <cell r="I243" t="str">
            <v>58 - 114</v>
          </cell>
          <cell r="J243">
            <v>6045600</v>
          </cell>
        </row>
        <row r="244">
          <cell r="B244" t="str">
            <v>Nguyễn Hoàng Duy</v>
          </cell>
          <cell r="C244" t="str">
            <v>Khu phố 5</v>
          </cell>
          <cell r="D244" t="str">
            <v>5820080388</v>
          </cell>
          <cell r="E244" t="str">
            <v/>
          </cell>
          <cell r="F244" t="str">
            <v>DN4795820080388</v>
          </cell>
          <cell r="G244" t="str">
            <v>27/12/1996</v>
          </cell>
          <cell r="H244" t="str">
            <v>Nam</v>
          </cell>
          <cell r="I244" t="str">
            <v>58 - 114</v>
          </cell>
          <cell r="J244">
            <v>6544800</v>
          </cell>
        </row>
        <row r="245">
          <cell r="B245" t="str">
            <v>Võ Đăng Quang</v>
          </cell>
          <cell r="C245" t="str">
            <v>Tổ 22, Khu phố 1</v>
          </cell>
          <cell r="D245" t="str">
            <v>5820085433</v>
          </cell>
          <cell r="E245" t="str">
            <v/>
          </cell>
          <cell r="F245" t="str">
            <v>DN4795820085433</v>
          </cell>
          <cell r="G245" t="str">
            <v>09/03/1984</v>
          </cell>
          <cell r="H245" t="str">
            <v>Nam</v>
          </cell>
          <cell r="I245" t="str">
            <v>58 - 007</v>
          </cell>
          <cell r="J245">
            <v>6378400</v>
          </cell>
        </row>
        <row r="246">
          <cell r="B246" t="str">
            <v>Nguyễn Xuân Trung</v>
          </cell>
          <cell r="C246" t="str">
            <v/>
          </cell>
          <cell r="D246" t="str">
            <v>5820159307</v>
          </cell>
          <cell r="E246" t="str">
            <v/>
          </cell>
          <cell r="F246" t="str">
            <v>DN4795820159307</v>
          </cell>
          <cell r="G246" t="str">
            <v>07/01/1995</v>
          </cell>
          <cell r="H246" t="str">
            <v>Nam</v>
          </cell>
          <cell r="I246" t="str">
            <v>58 - 114</v>
          </cell>
          <cell r="J246">
            <v>6045600</v>
          </cell>
        </row>
        <row r="247">
          <cell r="B247" t="str">
            <v>Nguyễn Ngọc Tiến</v>
          </cell>
          <cell r="C247" t="str">
            <v/>
          </cell>
          <cell r="D247" t="str">
            <v>5820405195</v>
          </cell>
          <cell r="E247" t="str">
            <v/>
          </cell>
          <cell r="F247" t="str">
            <v>DN4795820405195</v>
          </cell>
          <cell r="G247" t="str">
            <v>11/03/1998</v>
          </cell>
          <cell r="H247" t="str">
            <v>Nam</v>
          </cell>
          <cell r="I247" t="str">
            <v>58 - 114</v>
          </cell>
          <cell r="J247">
            <v>6045600</v>
          </cell>
        </row>
        <row r="248">
          <cell r="B248" t="str">
            <v>Lê Văn Cường</v>
          </cell>
          <cell r="C248" t="str">
            <v>Số 7 Bác Ái</v>
          </cell>
          <cell r="D248" t="str">
            <v>5820680768</v>
          </cell>
          <cell r="E248" t="str">
            <v/>
          </cell>
          <cell r="F248" t="str">
            <v>DN4795820680768</v>
          </cell>
          <cell r="G248" t="str">
            <v>11/08/1997</v>
          </cell>
          <cell r="H248" t="str">
            <v>Nam</v>
          </cell>
          <cell r="I248" t="str">
            <v>58 - 114</v>
          </cell>
          <cell r="J248">
            <v>5865600</v>
          </cell>
        </row>
        <row r="249">
          <cell r="B249" t="str">
            <v>Nguyễn Tiến Đạt</v>
          </cell>
          <cell r="C249" t="str">
            <v>Khu phố 5</v>
          </cell>
          <cell r="D249" t="str">
            <v>5820706020</v>
          </cell>
          <cell r="E249" t="str">
            <v/>
          </cell>
          <cell r="F249" t="str">
            <v>DN4795820706020</v>
          </cell>
          <cell r="G249" t="str">
            <v>18/08/2001</v>
          </cell>
          <cell r="H249" t="str">
            <v>Nam</v>
          </cell>
          <cell r="I249" t="str">
            <v>58 - 114</v>
          </cell>
          <cell r="J249">
            <v>6045600</v>
          </cell>
        </row>
        <row r="250">
          <cell r="B250" t="str">
            <v>Trần Việt Tân</v>
          </cell>
          <cell r="C250" t="str">
            <v>64/8 Nguyễn Thượng Hiền</v>
          </cell>
          <cell r="D250" t="str">
            <v>5820711907</v>
          </cell>
          <cell r="E250" t="str">
            <v/>
          </cell>
          <cell r="F250" t="str">
            <v>DN4795820711907</v>
          </cell>
          <cell r="G250" t="str">
            <v>02/04/1994</v>
          </cell>
          <cell r="H250" t="str">
            <v>Nam</v>
          </cell>
          <cell r="I250" t="str">
            <v>58 - 114</v>
          </cell>
          <cell r="J250">
            <v>6045600</v>
          </cell>
        </row>
        <row r="251">
          <cell r="B251" t="str">
            <v>Hồ Hữu Đức</v>
          </cell>
          <cell r="C251" t="str">
            <v>Quán Thẻ 1</v>
          </cell>
          <cell r="D251" t="str">
            <v>5820728843</v>
          </cell>
          <cell r="E251" t="str">
            <v/>
          </cell>
          <cell r="F251" t="str">
            <v>DN4795820728843</v>
          </cell>
          <cell r="G251" t="str">
            <v>10/10/1996</v>
          </cell>
          <cell r="H251" t="str">
            <v>Nam</v>
          </cell>
          <cell r="I251" t="str">
            <v>58 - 114</v>
          </cell>
          <cell r="J251">
            <v>6045600</v>
          </cell>
        </row>
        <row r="252">
          <cell r="B252" t="str">
            <v>Nguyễn Quỳnh Châu</v>
          </cell>
          <cell r="C252" t="str">
            <v>Nha Hố 2</v>
          </cell>
          <cell r="D252" t="str">
            <v>5820829020</v>
          </cell>
          <cell r="E252" t="str">
            <v/>
          </cell>
          <cell r="F252" t="str">
            <v>DN4795820829020</v>
          </cell>
          <cell r="G252" t="str">
            <v>13/03/1991</v>
          </cell>
          <cell r="H252" t="str">
            <v>Nam</v>
          </cell>
          <cell r="I252" t="str">
            <v>75 - 013</v>
          </cell>
          <cell r="J252">
            <v>6598800</v>
          </cell>
        </row>
        <row r="253">
          <cell r="B253" t="str">
            <v>Đàm Văn Trí</v>
          </cell>
          <cell r="C253" t="str">
            <v>Khu phố 6</v>
          </cell>
          <cell r="D253" t="str">
            <v>5820899176</v>
          </cell>
          <cell r="E253" t="str">
            <v/>
          </cell>
          <cell r="F253" t="str">
            <v>DN4795820899176</v>
          </cell>
          <cell r="G253" t="str">
            <v>14/09/1992</v>
          </cell>
          <cell r="H253" t="str">
            <v>Nam</v>
          </cell>
          <cell r="I253" t="str">
            <v>79 - 034</v>
          </cell>
          <cell r="J253">
            <v>6973200</v>
          </cell>
        </row>
        <row r="254">
          <cell r="B254" t="str">
            <v>Bùi Ngọc Nam</v>
          </cell>
          <cell r="C254" t="str">
            <v>Khu phố 4</v>
          </cell>
          <cell r="D254" t="str">
            <v>5820915754</v>
          </cell>
          <cell r="E254" t="str">
            <v/>
          </cell>
          <cell r="F254" t="str">
            <v>DN4795820915754</v>
          </cell>
          <cell r="G254" t="str">
            <v>10/05/1992</v>
          </cell>
          <cell r="H254" t="str">
            <v>Nam</v>
          </cell>
          <cell r="I254" t="str">
            <v>58 - 114</v>
          </cell>
          <cell r="J254">
            <v>6378400</v>
          </cell>
        </row>
        <row r="255">
          <cell r="B255" t="str">
            <v>Nguyễn Văn Chính</v>
          </cell>
          <cell r="C255" t="str">
            <v>xã Sông Phan</v>
          </cell>
          <cell r="D255" t="str">
            <v>6015003365</v>
          </cell>
          <cell r="E255" t="str">
            <v/>
          </cell>
          <cell r="F255" t="str">
            <v>DN4796015003365</v>
          </cell>
          <cell r="G255" t="str">
            <v>20/04/1995</v>
          </cell>
          <cell r="H255" t="str">
            <v>Nam</v>
          </cell>
          <cell r="I255" t="str">
            <v>60 - 170</v>
          </cell>
          <cell r="J255">
            <v>6225600</v>
          </cell>
        </row>
        <row r="256">
          <cell r="B256" t="str">
            <v>Huỳnh Thanh Toàn</v>
          </cell>
          <cell r="C256" t="str">
            <v>Thôn La Bá</v>
          </cell>
          <cell r="D256" t="str">
            <v>6020385293</v>
          </cell>
          <cell r="E256" t="str">
            <v/>
          </cell>
          <cell r="F256" t="str">
            <v>DN4796020385293</v>
          </cell>
          <cell r="G256" t="str">
            <v>09/10/1994</v>
          </cell>
          <cell r="H256" t="str">
            <v>Nam</v>
          </cell>
          <cell r="I256" t="str">
            <v>60 - 004</v>
          </cell>
          <cell r="J256">
            <v>6225600</v>
          </cell>
        </row>
        <row r="257">
          <cell r="B257" t="str">
            <v>Huỳnh Thanh Tài</v>
          </cell>
          <cell r="C257" t="str">
            <v>Thôn La Bá</v>
          </cell>
          <cell r="D257" t="str">
            <v>6020385294</v>
          </cell>
          <cell r="E257" t="str">
            <v/>
          </cell>
          <cell r="F257" t="str">
            <v>DN4796020385294</v>
          </cell>
          <cell r="G257" t="str">
            <v>23/04/1995</v>
          </cell>
          <cell r="H257" t="str">
            <v>Nam</v>
          </cell>
          <cell r="I257" t="str">
            <v>60 - 004</v>
          </cell>
          <cell r="J257">
            <v>6225600</v>
          </cell>
        </row>
        <row r="258">
          <cell r="B258" t="str">
            <v>Trần Huỳnh Minh Hoài</v>
          </cell>
          <cell r="C258" t="str">
            <v>Hòa Bình</v>
          </cell>
          <cell r="D258" t="str">
            <v>6020496581</v>
          </cell>
          <cell r="E258" t="str">
            <v/>
          </cell>
          <cell r="F258" t="str">
            <v>DN4796020496581</v>
          </cell>
          <cell r="G258" t="str">
            <v>26/03/2002</v>
          </cell>
          <cell r="H258" t="str">
            <v>Nam</v>
          </cell>
          <cell r="I258" t="str">
            <v>60 - 171</v>
          </cell>
          <cell r="J258">
            <v>6225600</v>
          </cell>
        </row>
        <row r="259">
          <cell r="B259" t="str">
            <v>Khê Thanh Tuấn</v>
          </cell>
          <cell r="C259" t="str">
            <v>Thôn Bình Tiến</v>
          </cell>
          <cell r="D259" t="str">
            <v>6020498173</v>
          </cell>
          <cell r="E259" t="str">
            <v/>
          </cell>
          <cell r="F259" t="str">
            <v>DN4796020498173</v>
          </cell>
          <cell r="G259" t="str">
            <v>29/06/2001</v>
          </cell>
          <cell r="H259" t="str">
            <v>Nam</v>
          </cell>
          <cell r="I259" t="str">
            <v>60 - 171</v>
          </cell>
          <cell r="J259">
            <v>6225600</v>
          </cell>
        </row>
        <row r="260">
          <cell r="B260" t="str">
            <v>Nguyễn Văn Sơn</v>
          </cell>
          <cell r="C260" t="str">
            <v>Thôn Thái Hiệp</v>
          </cell>
          <cell r="D260" t="str">
            <v>6020506368</v>
          </cell>
          <cell r="E260" t="str">
            <v/>
          </cell>
          <cell r="F260" t="str">
            <v>DN4796020506368</v>
          </cell>
          <cell r="G260" t="str">
            <v>27/06/1990</v>
          </cell>
          <cell r="H260" t="str">
            <v>Nam</v>
          </cell>
          <cell r="I260" t="str">
            <v>60 - 171</v>
          </cell>
          <cell r="J260">
            <v>6225600</v>
          </cell>
        </row>
        <row r="261">
          <cell r="B261" t="str">
            <v>Nguyễn Anh Tuấn</v>
          </cell>
          <cell r="C261" t="str">
            <v>Hải Xuân</v>
          </cell>
          <cell r="D261" t="str">
            <v>6020534347</v>
          </cell>
          <cell r="E261" t="str">
            <v/>
          </cell>
          <cell r="F261" t="str">
            <v>DN4796020534347</v>
          </cell>
          <cell r="G261" t="str">
            <v>26/11/1991</v>
          </cell>
          <cell r="H261" t="str">
            <v>Nam</v>
          </cell>
          <cell r="I261" t="str">
            <v>60 - 171</v>
          </cell>
          <cell r="J261">
            <v>6225600</v>
          </cell>
        </row>
        <row r="262">
          <cell r="B262" t="str">
            <v>Nguyễn Hải Linh</v>
          </cell>
          <cell r="C262" t="str">
            <v/>
          </cell>
          <cell r="D262" t="str">
            <v>6020542125</v>
          </cell>
          <cell r="E262" t="str">
            <v/>
          </cell>
          <cell r="F262" t="str">
            <v>DN4796020542125</v>
          </cell>
          <cell r="G262" t="str">
            <v>04/04/1990</v>
          </cell>
          <cell r="H262" t="str">
            <v>Nam</v>
          </cell>
          <cell r="I262" t="str">
            <v>60 - 152</v>
          </cell>
          <cell r="J262">
            <v>6045600</v>
          </cell>
        </row>
        <row r="263">
          <cell r="B263" t="str">
            <v>Võ Đình Minh Quang</v>
          </cell>
          <cell r="C263" t="str">
            <v>Thôn Hòa Bình</v>
          </cell>
          <cell r="D263" t="str">
            <v>6020567848</v>
          </cell>
          <cell r="E263" t="str">
            <v/>
          </cell>
          <cell r="F263" t="str">
            <v>DN4796020567848</v>
          </cell>
          <cell r="G263" t="str">
            <v>14/09/2004</v>
          </cell>
          <cell r="H263" t="str">
            <v>Nam</v>
          </cell>
          <cell r="I263" t="str">
            <v>60 - 004</v>
          </cell>
          <cell r="J263">
            <v>6045600</v>
          </cell>
        </row>
        <row r="264">
          <cell r="B264" t="str">
            <v>Nguyễn Vinh Quan</v>
          </cell>
          <cell r="C264" t="str">
            <v>Thái Hòa</v>
          </cell>
          <cell r="D264" t="str">
            <v>6020587555</v>
          </cell>
          <cell r="E264" t="str">
            <v/>
          </cell>
          <cell r="F264" t="str">
            <v>DN4796020587555</v>
          </cell>
          <cell r="G264" t="str">
            <v>30/01/1995</v>
          </cell>
          <cell r="H264" t="str">
            <v>Nam</v>
          </cell>
          <cell r="I264" t="str">
            <v>60 - 171</v>
          </cell>
          <cell r="J264">
            <v>6558400</v>
          </cell>
        </row>
        <row r="265">
          <cell r="B265" t="str">
            <v>Bùi Huy Hoàng</v>
          </cell>
          <cell r="C265" t="str">
            <v>Khu phố 1</v>
          </cell>
          <cell r="D265" t="str">
            <v>6020629549</v>
          </cell>
          <cell r="E265" t="str">
            <v/>
          </cell>
          <cell r="F265" t="str">
            <v>DN4796020629549</v>
          </cell>
          <cell r="G265" t="str">
            <v>14/07/1989</v>
          </cell>
          <cell r="H265" t="str">
            <v>Nam</v>
          </cell>
          <cell r="I265" t="str">
            <v>60 - 152</v>
          </cell>
          <cell r="J265">
            <v>6212000</v>
          </cell>
        </row>
        <row r="266">
          <cell r="B266" t="str">
            <v>Nguyễn Văn Boan</v>
          </cell>
          <cell r="C266" t="str">
            <v>Thôn 3</v>
          </cell>
          <cell r="D266" t="str">
            <v>6020715455</v>
          </cell>
          <cell r="E266" t="str">
            <v>6020715455</v>
          </cell>
          <cell r="F266" t="str">
            <v>DN4796020715455</v>
          </cell>
          <cell r="G266" t="str">
            <v>27/02/1993</v>
          </cell>
          <cell r="H266" t="str">
            <v>Nam</v>
          </cell>
          <cell r="I266" t="str">
            <v>60 - 171</v>
          </cell>
          <cell r="J266">
            <v>6045600</v>
          </cell>
        </row>
        <row r="267">
          <cell r="B267" t="str">
            <v>Trần Đình Khải</v>
          </cell>
          <cell r="C267" t="str">
            <v>Thôn 1</v>
          </cell>
          <cell r="D267" t="str">
            <v>6020752970</v>
          </cell>
          <cell r="E267" t="str">
            <v/>
          </cell>
          <cell r="F267" t="str">
            <v>DN4796020752970</v>
          </cell>
          <cell r="G267" t="str">
            <v>03/10/1997</v>
          </cell>
          <cell r="H267" t="str">
            <v>Nam</v>
          </cell>
          <cell r="I267" t="str">
            <v>60 - 152</v>
          </cell>
          <cell r="J267">
            <v>6378400</v>
          </cell>
        </row>
        <row r="268">
          <cell r="B268" t="str">
            <v>Võ Thành Tân</v>
          </cell>
          <cell r="C268" t="str">
            <v>Số 428 Thôn Phú Sơn</v>
          </cell>
          <cell r="D268" t="str">
            <v>6020797593</v>
          </cell>
          <cell r="E268" t="str">
            <v/>
          </cell>
          <cell r="F268" t="str">
            <v>DN4796020797593</v>
          </cell>
          <cell r="G268" t="str">
            <v>10/02/1997</v>
          </cell>
          <cell r="H268" t="str">
            <v>Nam</v>
          </cell>
          <cell r="I268" t="str">
            <v>60 - 152</v>
          </cell>
          <cell r="J268">
            <v>6392000</v>
          </cell>
        </row>
        <row r="269">
          <cell r="B269" t="str">
            <v>Mang Văn Võng</v>
          </cell>
          <cell r="C269" t="str">
            <v>Thôn 1</v>
          </cell>
          <cell r="D269" t="str">
            <v>6020809586</v>
          </cell>
          <cell r="E269" t="str">
            <v/>
          </cell>
          <cell r="F269" t="str">
            <v>DN4796020809586</v>
          </cell>
          <cell r="G269" t="str">
            <v>16/10/2001</v>
          </cell>
          <cell r="H269" t="str">
            <v>Nam</v>
          </cell>
          <cell r="I269" t="str">
            <v>60 - 152</v>
          </cell>
          <cell r="J269">
            <v>6225600</v>
          </cell>
        </row>
        <row r="270">
          <cell r="B270" t="str">
            <v>Phạm Lê Thanh Duy</v>
          </cell>
          <cell r="C270" t="str">
            <v/>
          </cell>
          <cell r="D270" t="str">
            <v>6020814868</v>
          </cell>
          <cell r="E270" t="str">
            <v/>
          </cell>
          <cell r="F270" t="str">
            <v>DN4796020814868</v>
          </cell>
          <cell r="G270" t="str">
            <v>21/11/2000</v>
          </cell>
          <cell r="H270" t="str">
            <v>Nam</v>
          </cell>
          <cell r="I270" t="str">
            <v>58 - 114</v>
          </cell>
          <cell r="J270">
            <v>6225600</v>
          </cell>
        </row>
        <row r="271">
          <cell r="B271" t="str">
            <v>Nguyễn Hoàng Phong</v>
          </cell>
          <cell r="C271" t="str">
            <v>PHÚ SƠN</v>
          </cell>
          <cell r="D271" t="str">
            <v>6020826425</v>
          </cell>
          <cell r="E271" t="str">
            <v/>
          </cell>
          <cell r="F271" t="str">
            <v>DN4796020826425</v>
          </cell>
          <cell r="G271" t="str">
            <v>12/12/2002</v>
          </cell>
          <cell r="H271" t="str">
            <v>Nam</v>
          </cell>
          <cell r="I271" t="str">
            <v>60 - 152</v>
          </cell>
          <cell r="J271">
            <v>6225600</v>
          </cell>
        </row>
        <row r="272">
          <cell r="B272" t="str">
            <v>Nguyễn Quốc Tuấn</v>
          </cell>
          <cell r="C272" t="str">
            <v>Thôn II</v>
          </cell>
          <cell r="D272" t="str">
            <v>6020874884</v>
          </cell>
          <cell r="E272" t="str">
            <v/>
          </cell>
          <cell r="F272" t="str">
            <v>DN4796020874884</v>
          </cell>
          <cell r="G272" t="str">
            <v>29/11/1991</v>
          </cell>
          <cell r="H272" t="str">
            <v>Nam</v>
          </cell>
          <cell r="I272" t="str">
            <v>60 - 013</v>
          </cell>
          <cell r="J272">
            <v>6598800</v>
          </cell>
        </row>
        <row r="273">
          <cell r="B273" t="str">
            <v>Lê Trung Kiên</v>
          </cell>
          <cell r="C273" t="str">
            <v>Thôn 1</v>
          </cell>
          <cell r="D273" t="str">
            <v>6020887782</v>
          </cell>
          <cell r="E273" t="str">
            <v/>
          </cell>
          <cell r="F273" t="str">
            <v>DN4796020887782</v>
          </cell>
          <cell r="G273" t="str">
            <v>23/11/1997</v>
          </cell>
          <cell r="H273" t="str">
            <v>Nam</v>
          </cell>
          <cell r="I273" t="str">
            <v>60 - 171</v>
          </cell>
          <cell r="J273">
            <v>6045600</v>
          </cell>
        </row>
        <row r="274">
          <cell r="B274" t="str">
            <v>Lê Tiến Đạt</v>
          </cell>
          <cell r="C274" t="str">
            <v>Thôn 3</v>
          </cell>
          <cell r="D274" t="str">
            <v>6020896164</v>
          </cell>
          <cell r="E274" t="str">
            <v/>
          </cell>
          <cell r="F274" t="str">
            <v>DN4796020896164</v>
          </cell>
          <cell r="G274" t="str">
            <v>15/03/1995</v>
          </cell>
          <cell r="H274" t="str">
            <v>Nam</v>
          </cell>
          <cell r="I274" t="str">
            <v>60 - 040</v>
          </cell>
          <cell r="J274">
            <v>6225600</v>
          </cell>
        </row>
        <row r="275">
          <cell r="B275" t="str">
            <v>Nguyễn Đoàn Anh Tú</v>
          </cell>
          <cell r="C275" t="str">
            <v>Số 43</v>
          </cell>
          <cell r="D275" t="str">
            <v>6020917853</v>
          </cell>
          <cell r="E275" t="str">
            <v/>
          </cell>
          <cell r="F275" t="str">
            <v>DN4796020917853</v>
          </cell>
          <cell r="G275" t="str">
            <v>14/10/2002</v>
          </cell>
          <cell r="H275" t="str">
            <v>Nam</v>
          </cell>
          <cell r="I275" t="str">
            <v>60 - 152</v>
          </cell>
          <cell r="J275">
            <v>6225600</v>
          </cell>
        </row>
        <row r="276">
          <cell r="B276" t="str">
            <v>Phùng Minh Thanh</v>
          </cell>
          <cell r="C276" t="str">
            <v>Đức Thuận</v>
          </cell>
          <cell r="D276" t="str">
            <v>6020943037</v>
          </cell>
          <cell r="E276" t="str">
            <v/>
          </cell>
          <cell r="F276" t="str">
            <v>DN4796020943037</v>
          </cell>
          <cell r="G276" t="str">
            <v>06/03/1991</v>
          </cell>
          <cell r="H276" t="str">
            <v>Nam</v>
          </cell>
          <cell r="I276" t="str">
            <v>60 - 013</v>
          </cell>
          <cell r="J276">
            <v>6225600</v>
          </cell>
        </row>
        <row r="277">
          <cell r="B277" t="str">
            <v>Ngô Hùng</v>
          </cell>
          <cell r="C277" t="str">
            <v>Thôn 3</v>
          </cell>
          <cell r="D277" t="str">
            <v>6020952305</v>
          </cell>
          <cell r="E277" t="str">
            <v/>
          </cell>
          <cell r="F277" t="str">
            <v>DN4796020952305</v>
          </cell>
          <cell r="G277" t="str">
            <v>10/09/2002</v>
          </cell>
          <cell r="H277" t="str">
            <v>Nam</v>
          </cell>
          <cell r="I277" t="str">
            <v>60 - 013</v>
          </cell>
          <cell r="J277">
            <v>6225600</v>
          </cell>
        </row>
        <row r="278">
          <cell r="B278" t="str">
            <v>Nguyễn Đoàn Anh Tuấn</v>
          </cell>
          <cell r="C278" t="str">
            <v>Thôn 3</v>
          </cell>
          <cell r="D278" t="str">
            <v>6020964702</v>
          </cell>
          <cell r="E278" t="str">
            <v/>
          </cell>
          <cell r="F278" t="str">
            <v>DN4796020964702</v>
          </cell>
          <cell r="G278" t="str">
            <v>16/01/2000</v>
          </cell>
          <cell r="H278" t="str">
            <v>Nam</v>
          </cell>
          <cell r="I278" t="str">
            <v>60 - 013</v>
          </cell>
          <cell r="J278">
            <v>6225600</v>
          </cell>
        </row>
        <row r="279">
          <cell r="B279" t="str">
            <v>Lê Hải Tâm</v>
          </cell>
          <cell r="C279" t="str">
            <v>Thôn Tân Quang</v>
          </cell>
          <cell r="D279" t="str">
            <v>6021150233</v>
          </cell>
          <cell r="E279" t="str">
            <v/>
          </cell>
          <cell r="F279" t="str">
            <v>DN4796021150233</v>
          </cell>
          <cell r="G279" t="str">
            <v>15/05/2002</v>
          </cell>
          <cell r="H279" t="str">
            <v>Nam</v>
          </cell>
          <cell r="I279" t="str">
            <v>60 - 013</v>
          </cell>
          <cell r="J279">
            <v>6225600</v>
          </cell>
        </row>
        <row r="280">
          <cell r="B280" t="str">
            <v>Trần Văn Tròn</v>
          </cell>
          <cell r="C280" t="str">
            <v>Thôn Tân Quang</v>
          </cell>
          <cell r="D280" t="str">
            <v>6021174375</v>
          </cell>
          <cell r="E280" t="str">
            <v/>
          </cell>
          <cell r="F280" t="str">
            <v>DN4796021174375</v>
          </cell>
          <cell r="G280" t="str">
            <v>24/01/2005</v>
          </cell>
          <cell r="H280" t="str">
            <v>Nam</v>
          </cell>
          <cell r="I280" t="str">
            <v>60 - 019</v>
          </cell>
          <cell r="J280">
            <v>6225600</v>
          </cell>
        </row>
        <row r="281">
          <cell r="B281" t="str">
            <v>Phương Hoài</v>
          </cell>
          <cell r="C281" t="str">
            <v>16 Võ Thị Sáu</v>
          </cell>
          <cell r="D281" t="str">
            <v>6021270791</v>
          </cell>
          <cell r="E281" t="str">
            <v/>
          </cell>
          <cell r="F281" t="str">
            <v>DN4796021270791</v>
          </cell>
          <cell r="G281" t="str">
            <v>06/03/1991</v>
          </cell>
          <cell r="H281" t="str">
            <v>Nam</v>
          </cell>
          <cell r="I281" t="str">
            <v>60 - 171</v>
          </cell>
          <cell r="J281">
            <v>6558400</v>
          </cell>
        </row>
        <row r="282">
          <cell r="B282" t="str">
            <v>Lê Hùng Sơn</v>
          </cell>
          <cell r="C282" t="str">
            <v>Thôn 2</v>
          </cell>
          <cell r="D282" t="str">
            <v>6021283754</v>
          </cell>
          <cell r="E282" t="str">
            <v/>
          </cell>
          <cell r="F282" t="str">
            <v>DN4796021283754</v>
          </cell>
          <cell r="G282" t="str">
            <v>01/01/2002</v>
          </cell>
          <cell r="H282" t="str">
            <v>Nam</v>
          </cell>
          <cell r="I282" t="str">
            <v>60 - 171</v>
          </cell>
          <cell r="J282">
            <v>6045600</v>
          </cell>
        </row>
        <row r="283">
          <cell r="B283" t="str">
            <v>Đào Xuân Thịnh</v>
          </cell>
          <cell r="C283" t="str">
            <v/>
          </cell>
          <cell r="D283" t="str">
            <v>6021336718</v>
          </cell>
          <cell r="E283" t="str">
            <v/>
          </cell>
          <cell r="F283" t="str">
            <v>DN4796021336718</v>
          </cell>
          <cell r="G283" t="str">
            <v>28/02/2001</v>
          </cell>
          <cell r="H283" t="str">
            <v>Nam</v>
          </cell>
          <cell r="I283" t="str">
            <v>60 - 152</v>
          </cell>
          <cell r="J283">
            <v>6225600</v>
          </cell>
        </row>
        <row r="284">
          <cell r="B284" t="str">
            <v>Trần Kỳ Vĩ</v>
          </cell>
          <cell r="C284" t="str">
            <v/>
          </cell>
          <cell r="D284" t="str">
            <v>6021553945</v>
          </cell>
          <cell r="E284" t="str">
            <v/>
          </cell>
          <cell r="F284" t="str">
            <v>DN4796021553945</v>
          </cell>
          <cell r="G284" t="str">
            <v>11/08/1994</v>
          </cell>
          <cell r="H284" t="str">
            <v>Nam</v>
          </cell>
          <cell r="I284" t="str">
            <v>60 - 005</v>
          </cell>
          <cell r="J284">
            <v>6045600</v>
          </cell>
        </row>
        <row r="285">
          <cell r="B285" t="str">
            <v>Trần Nguyễn Châu Thành Nhân</v>
          </cell>
          <cell r="C285" t="str">
            <v>Thôn Thái Hòa</v>
          </cell>
          <cell r="D285" t="str">
            <v>6021681537</v>
          </cell>
          <cell r="E285" t="str">
            <v/>
          </cell>
          <cell r="F285" t="str">
            <v>DN4796021681537</v>
          </cell>
          <cell r="G285" t="str">
            <v>07/05/1991</v>
          </cell>
          <cell r="H285" t="str">
            <v>Nam</v>
          </cell>
          <cell r="I285" t="str">
            <v>60 - 040</v>
          </cell>
          <cell r="J285">
            <v>6225600</v>
          </cell>
        </row>
        <row r="286">
          <cell r="B286" t="str">
            <v>Phạm Thế Mỹ</v>
          </cell>
          <cell r="C286" t="str">
            <v>Khu phố Long Bình</v>
          </cell>
          <cell r="D286" t="str">
            <v>7409331345</v>
          </cell>
          <cell r="E286" t="str">
            <v/>
          </cell>
          <cell r="F286" t="str">
            <v>DN4797409331345</v>
          </cell>
          <cell r="G286" t="str">
            <v>30/12/1989</v>
          </cell>
          <cell r="H286" t="str">
            <v>Nam</v>
          </cell>
          <cell r="I286" t="str">
            <v>56 - 002</v>
          </cell>
          <cell r="J286">
            <v>5865600</v>
          </cell>
        </row>
        <row r="287">
          <cell r="B287" t="str">
            <v>Đặng Bảo Trung</v>
          </cell>
          <cell r="C287" t="str">
            <v>Thôn 7</v>
          </cell>
          <cell r="D287" t="str">
            <v>7414156958</v>
          </cell>
          <cell r="E287" t="str">
            <v/>
          </cell>
          <cell r="F287" t="str">
            <v>DN4797414156958</v>
          </cell>
          <cell r="G287" t="str">
            <v>27/07/1996</v>
          </cell>
          <cell r="H287" t="str">
            <v>Nam</v>
          </cell>
          <cell r="I287" t="str">
            <v>75 - 012</v>
          </cell>
          <cell r="J287">
            <v>6598800</v>
          </cell>
        </row>
        <row r="288">
          <cell r="B288" t="str">
            <v>Dương Tấn Quang</v>
          </cell>
          <cell r="C288" t="str">
            <v>Bình Thới</v>
          </cell>
          <cell r="D288" t="str">
            <v>7415039279</v>
          </cell>
          <cell r="E288" t="str">
            <v/>
          </cell>
          <cell r="F288" t="str">
            <v>DN4797415039279</v>
          </cell>
          <cell r="G288" t="str">
            <v>18/07/1994</v>
          </cell>
          <cell r="H288" t="str">
            <v>Nam</v>
          </cell>
          <cell r="I288" t="str">
            <v>56 - 183</v>
          </cell>
          <cell r="J288">
            <v>5865600</v>
          </cell>
        </row>
        <row r="289">
          <cell r="B289" t="str">
            <v>Đinh Văn Phú</v>
          </cell>
          <cell r="C289" t="str">
            <v>Xuân Trường, Xuân Lộc, Đồng Nai</v>
          </cell>
          <cell r="D289" t="str">
            <v>7415072333</v>
          </cell>
          <cell r="E289" t="str">
            <v/>
          </cell>
          <cell r="F289" t="str">
            <v>DN4797415072333</v>
          </cell>
          <cell r="G289" t="str">
            <v>22/02/1991</v>
          </cell>
          <cell r="H289" t="str">
            <v>Nam</v>
          </cell>
          <cell r="I289" t="str">
            <v>75 - 013</v>
          </cell>
          <cell r="J289">
            <v>6598800</v>
          </cell>
        </row>
        <row r="290">
          <cell r="B290" t="str">
            <v>Nguyễn Thành Phú</v>
          </cell>
          <cell r="C290" t="str">
            <v>Thôn Long Phụng</v>
          </cell>
          <cell r="D290" t="str">
            <v>7416052018</v>
          </cell>
          <cell r="E290" t="str">
            <v/>
          </cell>
          <cell r="F290" t="str">
            <v>DN4797416052018</v>
          </cell>
          <cell r="G290" t="str">
            <v>26/10/1993</v>
          </cell>
          <cell r="H290" t="str">
            <v>Nam</v>
          </cell>
          <cell r="I290" t="str">
            <v>54 - 031</v>
          </cell>
          <cell r="J290">
            <v>5865600</v>
          </cell>
        </row>
        <row r="291">
          <cell r="B291" t="str">
            <v>Nguyễn Ngọc Tưởng</v>
          </cell>
          <cell r="C291" t="str">
            <v>đại thắng, vụ bản, nam định</v>
          </cell>
          <cell r="D291" t="str">
            <v>7508056985</v>
          </cell>
          <cell r="E291" t="str">
            <v>7508056985</v>
          </cell>
          <cell r="F291" t="str">
            <v>DN4797508056985</v>
          </cell>
          <cell r="G291" t="str">
            <v>08/06/1986</v>
          </cell>
          <cell r="H291" t="str">
            <v>Nam</v>
          </cell>
          <cell r="I291" t="str">
            <v>79 - 037</v>
          </cell>
          <cell r="J291">
            <v>7394400</v>
          </cell>
        </row>
        <row r="292">
          <cell r="B292" t="str">
            <v>Phan Đình Tuấn</v>
          </cell>
          <cell r="C292" t="str">
            <v>Khu phố 5</v>
          </cell>
          <cell r="D292" t="str">
            <v>7512150032</v>
          </cell>
          <cell r="E292" t="str">
            <v>7512150032</v>
          </cell>
          <cell r="F292" t="str">
            <v>DN4797512150032</v>
          </cell>
          <cell r="G292" t="str">
            <v>09/09/1993</v>
          </cell>
          <cell r="H292" t="str">
            <v>Nam</v>
          </cell>
          <cell r="I292" t="str">
            <v>60 - 013</v>
          </cell>
          <cell r="J292">
            <v>6558400</v>
          </cell>
        </row>
        <row r="293">
          <cell r="B293" t="str">
            <v>Nguyễn Minh Tiến</v>
          </cell>
          <cell r="C293" t="str">
            <v>Thôn 3</v>
          </cell>
          <cell r="D293" t="str">
            <v>7514051883</v>
          </cell>
          <cell r="E293" t="str">
            <v/>
          </cell>
          <cell r="F293" t="str">
            <v>DN4797514051883</v>
          </cell>
          <cell r="G293" t="str">
            <v>01/05/1995</v>
          </cell>
          <cell r="H293" t="str">
            <v>Nam</v>
          </cell>
          <cell r="I293" t="str">
            <v>60 - 152</v>
          </cell>
          <cell r="J293">
            <v>6225600</v>
          </cell>
        </row>
        <row r="294">
          <cell r="B294" t="str">
            <v>Phạm Ngọc Chương</v>
          </cell>
          <cell r="C294" t="str">
            <v>Phú Khê 2</v>
          </cell>
          <cell r="D294" t="str">
            <v>7515143430</v>
          </cell>
          <cell r="E294" t="str">
            <v/>
          </cell>
          <cell r="F294" t="str">
            <v>DN4797515143430</v>
          </cell>
          <cell r="G294" t="str">
            <v>27/07/1992</v>
          </cell>
          <cell r="H294" t="str">
            <v>Nam</v>
          </cell>
          <cell r="I294" t="str">
            <v>54 - 031</v>
          </cell>
          <cell r="J294">
            <v>5865600</v>
          </cell>
        </row>
        <row r="295">
          <cell r="B295" t="str">
            <v>Trần Ngọc Thắng</v>
          </cell>
          <cell r="C295" t="str">
            <v>Ấp Bảo Vinh A</v>
          </cell>
          <cell r="D295" t="str">
            <v>7523998264</v>
          </cell>
          <cell r="E295" t="str">
            <v/>
          </cell>
          <cell r="F295" t="str">
            <v>DN4797523998264</v>
          </cell>
          <cell r="G295" t="str">
            <v>13/04/1995</v>
          </cell>
          <cell r="H295" t="str">
            <v>Nam</v>
          </cell>
          <cell r="I295" t="str">
            <v>75 - 012</v>
          </cell>
          <cell r="J295">
            <v>6598800</v>
          </cell>
        </row>
        <row r="296">
          <cell r="B296" t="str">
            <v>Bùi Nhật Thành</v>
          </cell>
          <cell r="C296" t="str">
            <v>39 Nguyễn Chí Thanh</v>
          </cell>
          <cell r="D296" t="str">
            <v>7524042614</v>
          </cell>
          <cell r="E296" t="str">
            <v/>
          </cell>
          <cell r="F296" t="str">
            <v>DN4797524042614</v>
          </cell>
          <cell r="G296" t="str">
            <v>11/12/1996</v>
          </cell>
          <cell r="H296" t="str">
            <v>Nam</v>
          </cell>
          <cell r="I296" t="str">
            <v>75 - 013</v>
          </cell>
          <cell r="J296">
            <v>6973200</v>
          </cell>
        </row>
        <row r="297">
          <cell r="B297" t="str">
            <v>Phan Trung Thành</v>
          </cell>
          <cell r="C297" t="str">
            <v>Quảng Phát</v>
          </cell>
          <cell r="D297" t="str">
            <v>7524954297</v>
          </cell>
          <cell r="E297" t="str">
            <v/>
          </cell>
          <cell r="F297" t="str">
            <v>DN4797524954297</v>
          </cell>
          <cell r="G297" t="str">
            <v>23/06/1999</v>
          </cell>
          <cell r="H297" t="str">
            <v>Nam</v>
          </cell>
          <cell r="I297" t="str">
            <v>75 - 012</v>
          </cell>
          <cell r="J297">
            <v>6598800</v>
          </cell>
        </row>
        <row r="298">
          <cell r="B298" t="str">
            <v>Nguyễn Hữu Tính</v>
          </cell>
          <cell r="C298" t="str">
            <v>Ấp Trung Nghĩa</v>
          </cell>
          <cell r="D298" t="str">
            <v>7526553032</v>
          </cell>
          <cell r="E298" t="str">
            <v/>
          </cell>
          <cell r="F298" t="str">
            <v>DN4797526553032</v>
          </cell>
          <cell r="G298" t="str">
            <v>25/12/1992</v>
          </cell>
          <cell r="H298" t="str">
            <v>Nam</v>
          </cell>
          <cell r="I298" t="str">
            <v>75 - 281</v>
          </cell>
          <cell r="J298">
            <v>7160400</v>
          </cell>
        </row>
        <row r="299">
          <cell r="B299" t="str">
            <v>Nguyễn Tùng Lâm</v>
          </cell>
          <cell r="C299" t="str">
            <v>.</v>
          </cell>
          <cell r="D299" t="str">
            <v>7526563528</v>
          </cell>
          <cell r="E299" t="str">
            <v/>
          </cell>
          <cell r="F299" t="str">
            <v>DN4797526563528</v>
          </cell>
          <cell r="G299" t="str">
            <v>19/07/1999</v>
          </cell>
          <cell r="H299" t="str">
            <v>Nam</v>
          </cell>
          <cell r="I299" t="str">
            <v>79 - 034</v>
          </cell>
          <cell r="J299">
            <v>6598800</v>
          </cell>
        </row>
        <row r="300">
          <cell r="B300" t="str">
            <v>Bùi Công Mạnh</v>
          </cell>
          <cell r="C300" t="str">
            <v>4/2 Thống Nhất, Dĩ An, Bình Dương</v>
          </cell>
          <cell r="D300" t="str">
            <v>7908106901</v>
          </cell>
          <cell r="E300" t="str">
            <v>7908106901</v>
          </cell>
          <cell r="F300" t="str">
            <v>DN4797908106901</v>
          </cell>
          <cell r="G300" t="str">
            <v>17/05/1981</v>
          </cell>
          <cell r="H300" t="str">
            <v>Nam</v>
          </cell>
          <cell r="I300" t="str">
            <v>79 - 037</v>
          </cell>
          <cell r="J300">
            <v>6973200</v>
          </cell>
        </row>
        <row r="301">
          <cell r="B301" t="str">
            <v>Hoàng Kim Rạng</v>
          </cell>
          <cell r="C301" t="str">
            <v>Thành Sơn, Xuân Hải, Ninh Hải, Ninh Thuận</v>
          </cell>
          <cell r="D301" t="str">
            <v>7908106902</v>
          </cell>
          <cell r="E301" t="str">
            <v>7908106902</v>
          </cell>
          <cell r="F301" t="str">
            <v>DN4797908106902</v>
          </cell>
          <cell r="G301" t="str">
            <v>27/03/1983</v>
          </cell>
          <cell r="H301" t="str">
            <v>Nam</v>
          </cell>
          <cell r="I301" t="str">
            <v>58 - 114</v>
          </cell>
          <cell r="J301">
            <v>7002400</v>
          </cell>
        </row>
        <row r="302">
          <cell r="B302" t="str">
            <v>Nguyễn Trọng Nhân</v>
          </cell>
          <cell r="C302" t="str">
            <v>xã sông luỹ, bắc bình, bình thuận</v>
          </cell>
          <cell r="D302" t="str">
            <v>7908106903</v>
          </cell>
          <cell r="E302" t="str">
            <v>7908106903</v>
          </cell>
          <cell r="F302" t="str">
            <v>DN4797908106903</v>
          </cell>
          <cell r="G302" t="str">
            <v>12/07/1982</v>
          </cell>
          <cell r="H302" t="str">
            <v>Nam</v>
          </cell>
          <cell r="I302" t="str">
            <v>58 - 007</v>
          </cell>
          <cell r="J302">
            <v>6752800</v>
          </cell>
        </row>
        <row r="303">
          <cell r="B303" t="str">
            <v>Uông Nhật Sáng</v>
          </cell>
          <cell r="C303" t="str">
            <v>đô vinh, phan rang, ninh thuận</v>
          </cell>
          <cell r="D303" t="str">
            <v>7908106905</v>
          </cell>
          <cell r="E303" t="str">
            <v>7908106905</v>
          </cell>
          <cell r="F303" t="str">
            <v>DN4797908106905</v>
          </cell>
          <cell r="G303" t="str">
            <v>21/09/1986</v>
          </cell>
          <cell r="H303" t="str">
            <v>Nam</v>
          </cell>
          <cell r="I303" t="str">
            <v>79 - 031</v>
          </cell>
          <cell r="J303">
            <v>7394400</v>
          </cell>
        </row>
        <row r="304">
          <cell r="B304" t="str">
            <v>Phạm Tiến Mạnh</v>
          </cell>
          <cell r="C304" t="str">
            <v>Khu phố 3</v>
          </cell>
          <cell r="D304" t="str">
            <v>7908106908</v>
          </cell>
          <cell r="E304" t="str">
            <v>7908106908</v>
          </cell>
          <cell r="F304" t="str">
            <v>DN4797908106908</v>
          </cell>
          <cell r="G304" t="str">
            <v>03/12/1987</v>
          </cell>
          <cell r="H304" t="str">
            <v>Nam</v>
          </cell>
          <cell r="I304" t="str">
            <v>58 - 007</v>
          </cell>
          <cell r="J304">
            <v>6378400</v>
          </cell>
        </row>
        <row r="305">
          <cell r="B305" t="str">
            <v>Lê Thị Ngọc Mai</v>
          </cell>
          <cell r="C305" t="str">
            <v>Đức Thiện, Đức Phong, Bù Đăng, Bình Phước</v>
          </cell>
          <cell r="D305" t="str">
            <v>7908106911</v>
          </cell>
          <cell r="E305" t="str">
            <v>7908106911</v>
          </cell>
          <cell r="F305" t="str">
            <v>DN4797908106911</v>
          </cell>
          <cell r="G305" t="str">
            <v>21/10/1986</v>
          </cell>
          <cell r="H305" t="str">
            <v>Nữ</v>
          </cell>
          <cell r="I305" t="str">
            <v>56 - 181</v>
          </cell>
          <cell r="J305">
            <v>6572800</v>
          </cell>
        </row>
        <row r="306">
          <cell r="B306" t="str">
            <v>Võ Văn Vận</v>
          </cell>
          <cell r="C306" t="str">
            <v>Thôn Long Hoà, Vạn Long, Vạn Ninh, NT, KH</v>
          </cell>
          <cell r="D306" t="str">
            <v>7908106913</v>
          </cell>
          <cell r="E306" t="str">
            <v>7908106913</v>
          </cell>
          <cell r="F306" t="str">
            <v>DN4797908106913</v>
          </cell>
          <cell r="G306" t="str">
            <v>10/11/1986</v>
          </cell>
          <cell r="H306" t="str">
            <v>Nam</v>
          </cell>
          <cell r="I306" t="str">
            <v>56 - 002</v>
          </cell>
          <cell r="J306">
            <v>6739200</v>
          </cell>
        </row>
        <row r="307">
          <cell r="B307" t="str">
            <v>Nguyễn Quang Thuấn</v>
          </cell>
          <cell r="C307" t="str">
            <v>Xã Đại Lãnh, Vạn Ninh, Khánh Hoa'</v>
          </cell>
          <cell r="D307" t="str">
            <v>7908106915</v>
          </cell>
          <cell r="E307" t="str">
            <v>7908106915</v>
          </cell>
          <cell r="F307" t="str">
            <v>DN4797908106915</v>
          </cell>
          <cell r="G307" t="str">
            <v>26/07/1986</v>
          </cell>
          <cell r="H307" t="str">
            <v>Nam</v>
          </cell>
          <cell r="I307" t="str">
            <v>56 - 073</v>
          </cell>
          <cell r="J307">
            <v>6198400</v>
          </cell>
        </row>
        <row r="308">
          <cell r="B308" t="str">
            <v>Nguyễn Hoàng Anh</v>
          </cell>
          <cell r="C308" t="str">
            <v>23 Trần Phú, Xuân An, Long Khánh, Đồng Nai</v>
          </cell>
          <cell r="D308" t="str">
            <v>7908106916</v>
          </cell>
          <cell r="E308" t="str">
            <v>7908106916</v>
          </cell>
          <cell r="F308" t="str">
            <v>DN4797908106916</v>
          </cell>
          <cell r="G308" t="str">
            <v>22/09/1984</v>
          </cell>
          <cell r="H308" t="str">
            <v>Nam</v>
          </cell>
          <cell r="I308" t="str">
            <v>75 - 281</v>
          </cell>
          <cell r="J308">
            <v>6973200</v>
          </cell>
        </row>
        <row r="309">
          <cell r="B309" t="str">
            <v>Nguyễn Xuân Thế</v>
          </cell>
          <cell r="C309" t="str">
            <v>Quảng Sơn, Ninh Sơn, Ninh Thuận</v>
          </cell>
          <cell r="D309" t="str">
            <v>7908106918</v>
          </cell>
          <cell r="E309" t="str">
            <v>7908106918</v>
          </cell>
          <cell r="F309" t="str">
            <v>DN4797908106918</v>
          </cell>
          <cell r="G309" t="str">
            <v>19/07/1987</v>
          </cell>
          <cell r="H309" t="str">
            <v>Nam</v>
          </cell>
          <cell r="I309" t="str">
            <v>58 - 114</v>
          </cell>
          <cell r="J309">
            <v>6572800</v>
          </cell>
        </row>
        <row r="310">
          <cell r="B310" t="str">
            <v>Nguyễn Tú Long</v>
          </cell>
          <cell r="C310" t="str">
            <v>16 tổ 18B, Ruộng Hời, Bảo Vinh, Long Khánh</v>
          </cell>
          <cell r="D310" t="str">
            <v>7908106919</v>
          </cell>
          <cell r="E310" t="str">
            <v>7908106919</v>
          </cell>
          <cell r="F310" t="str">
            <v>DN4797908106919</v>
          </cell>
          <cell r="G310" t="str">
            <v>28/07/1984</v>
          </cell>
          <cell r="H310" t="str">
            <v>Nam</v>
          </cell>
          <cell r="I310" t="str">
            <v>79 - 034</v>
          </cell>
          <cell r="J310">
            <v>7441200</v>
          </cell>
        </row>
        <row r="311">
          <cell r="B311" t="str">
            <v>Nguyễn Xuân Hùng</v>
          </cell>
          <cell r="C311" t="str">
            <v>12A B134 Cát Bi, Hải Phòng</v>
          </cell>
          <cell r="D311" t="str">
            <v>7908106922</v>
          </cell>
          <cell r="E311" t="str">
            <v>7908106922</v>
          </cell>
          <cell r="F311" t="str">
            <v>DN4797908106922</v>
          </cell>
          <cell r="G311" t="str">
            <v>02/11/1983</v>
          </cell>
          <cell r="H311" t="str">
            <v>Nam</v>
          </cell>
          <cell r="I311" t="str">
            <v>79 - 016</v>
          </cell>
          <cell r="J311">
            <v>7909200</v>
          </cell>
        </row>
        <row r="312">
          <cell r="B312" t="str">
            <v>Đỗ Bá Cường</v>
          </cell>
          <cell r="C312" t="str">
            <v>PK6, xuân an, long khánh, đồng nai</v>
          </cell>
          <cell r="D312" t="str">
            <v>7908206108</v>
          </cell>
          <cell r="E312" t="str">
            <v>7908206108</v>
          </cell>
          <cell r="F312" t="str">
            <v>DN4797908206108</v>
          </cell>
          <cell r="G312" t="str">
            <v>20/07/1985</v>
          </cell>
          <cell r="H312" t="str">
            <v>Nam</v>
          </cell>
          <cell r="I312" t="str">
            <v>75 - 281</v>
          </cell>
          <cell r="J312">
            <v>6973200</v>
          </cell>
        </row>
        <row r="313">
          <cell r="B313" t="str">
            <v>Trần Thị Thu Hoài</v>
          </cell>
          <cell r="C313" t="str">
            <v>, Xã Xà Bang, Xã Xà Bang, Huyện Châu Đức, Tỉnh Bà Rịa - Vũng Tàu</v>
          </cell>
          <cell r="D313" t="str">
            <v>7908246583</v>
          </cell>
          <cell r="E313" t="str">
            <v>7908246583</v>
          </cell>
          <cell r="F313" t="str">
            <v>DN4797908246583</v>
          </cell>
          <cell r="G313" t="str">
            <v>12/10/1986</v>
          </cell>
          <cell r="H313" t="str">
            <v>Nữ</v>
          </cell>
          <cell r="I313" t="str">
            <v>79 - 034</v>
          </cell>
          <cell r="J313">
            <v>7020000</v>
          </cell>
        </row>
        <row r="314">
          <cell r="B314" t="str">
            <v>Nguyễn Thanh Hào</v>
          </cell>
          <cell r="C314" t="str">
            <v>KP2 thị trấn Tân Sơn, Ninh Sơn, Ninh Thuận</v>
          </cell>
          <cell r="D314" t="str">
            <v>7908252471</v>
          </cell>
          <cell r="E314" t="str">
            <v>7908252471</v>
          </cell>
          <cell r="F314" t="str">
            <v>DN4797908252471</v>
          </cell>
          <cell r="G314" t="str">
            <v>08/01/1987</v>
          </cell>
          <cell r="H314" t="str">
            <v>Nam</v>
          </cell>
          <cell r="I314" t="str">
            <v>58 - 007</v>
          </cell>
          <cell r="J314">
            <v>6378400</v>
          </cell>
        </row>
        <row r="315">
          <cell r="B315" t="str">
            <v>Lê Thị Mỹ Vân</v>
          </cell>
          <cell r="C315" t="str">
            <v>7618Cao Hành, Phú Trinh, Phan Thiết,bình thuận</v>
          </cell>
          <cell r="D315" t="str">
            <v>7908282412</v>
          </cell>
          <cell r="E315" t="str">
            <v>7908282412</v>
          </cell>
          <cell r="F315" t="str">
            <v>DN4797908282412</v>
          </cell>
          <cell r="G315" t="str">
            <v>30/09/1984</v>
          </cell>
          <cell r="H315" t="str">
            <v>Nữ</v>
          </cell>
          <cell r="I315" t="str">
            <v>60 - 040</v>
          </cell>
          <cell r="J315">
            <v>6240000</v>
          </cell>
        </row>
        <row r="316">
          <cell r="B316" t="str">
            <v>Nguyễn Hoàng Long</v>
          </cell>
          <cell r="C316" t="str">
            <v>95A3 nguyễn Oanh, P17, gò vấp, TPHCM</v>
          </cell>
          <cell r="D316" t="str">
            <v>7908296771</v>
          </cell>
          <cell r="E316" t="str">
            <v>7908296771</v>
          </cell>
          <cell r="F316" t="str">
            <v>DN4797908296771</v>
          </cell>
          <cell r="G316" t="str">
            <v>03/11/1983</v>
          </cell>
          <cell r="H316" t="str">
            <v>Nam</v>
          </cell>
          <cell r="I316" t="str">
            <v>79 - 016</v>
          </cell>
          <cell r="J316">
            <v>7909200</v>
          </cell>
        </row>
        <row r="317">
          <cell r="B317" t="str">
            <v>Nguyễn Tấn Huy</v>
          </cell>
          <cell r="C317" t="str">
            <v>244 Đại Thành</v>
          </cell>
          <cell r="D317" t="str">
            <v>7908477173</v>
          </cell>
          <cell r="E317" t="str">
            <v>7908477173</v>
          </cell>
          <cell r="F317" t="str">
            <v>DN4797908477173</v>
          </cell>
          <cell r="G317" t="str">
            <v>22/12/1987</v>
          </cell>
          <cell r="H317" t="str">
            <v>Nam</v>
          </cell>
          <cell r="I317" t="str">
            <v>60 - 152</v>
          </cell>
          <cell r="J317">
            <v>6558400</v>
          </cell>
        </row>
        <row r="318">
          <cell r="B318" t="str">
            <v>Lưu Bích Hồng</v>
          </cell>
          <cell r="C318" t="str">
            <v>11/5 nguyễn hồng Sơn, Nha trang, Khánh Hoà</v>
          </cell>
          <cell r="D318" t="str">
            <v>7909077812</v>
          </cell>
          <cell r="E318" t="str">
            <v>7909077812</v>
          </cell>
          <cell r="F318" t="str">
            <v>DN4797909077812</v>
          </cell>
          <cell r="G318" t="str">
            <v>02/02/1982</v>
          </cell>
          <cell r="H318" t="str">
            <v>Nữ</v>
          </cell>
          <cell r="I318" t="str">
            <v>56 - 184</v>
          </cell>
          <cell r="J318">
            <v>6240000</v>
          </cell>
        </row>
        <row r="319">
          <cell r="B319" t="str">
            <v>Trần Thị Diệu Hòa</v>
          </cell>
          <cell r="C319" t="str">
            <v>phước tân, Nha Trang, khánh hòa</v>
          </cell>
          <cell r="D319" t="str">
            <v>7909175800</v>
          </cell>
          <cell r="E319" t="str">
            <v>7909175800</v>
          </cell>
          <cell r="F319" t="str">
            <v>DN4797909175800</v>
          </cell>
          <cell r="G319" t="str">
            <v>09/07/1985</v>
          </cell>
          <cell r="H319" t="str">
            <v>Nữ</v>
          </cell>
          <cell r="I319" t="str">
            <v>56 - 181</v>
          </cell>
          <cell r="J319">
            <v>6240000</v>
          </cell>
        </row>
        <row r="320">
          <cell r="B320" t="str">
            <v>Lê Thị Mộng Thu</v>
          </cell>
          <cell r="C320" t="str">
            <v>28 huỳnh thúc kháng, Nha Trang, khánh hòa</v>
          </cell>
          <cell r="D320" t="str">
            <v>7909175801</v>
          </cell>
          <cell r="E320" t="str">
            <v>7909175801</v>
          </cell>
          <cell r="F320" t="str">
            <v>DN4797909175801</v>
          </cell>
          <cell r="G320" t="str">
            <v>01/07/1983</v>
          </cell>
          <cell r="H320" t="str">
            <v>Nữ</v>
          </cell>
          <cell r="I320" t="str">
            <v>56 - 001</v>
          </cell>
          <cell r="J320">
            <v>6240000</v>
          </cell>
        </row>
        <row r="321">
          <cell r="B321" t="str">
            <v>Vũ Văn Tuân</v>
          </cell>
          <cell r="C321" t="str">
            <v>C99 bis, nguyễn văn quá, đông hưng thuận, q12</v>
          </cell>
          <cell r="D321" t="str">
            <v>7909296592</v>
          </cell>
          <cell r="E321" t="str">
            <v>7909296592</v>
          </cell>
          <cell r="F321" t="str">
            <v>DN4797909296592</v>
          </cell>
          <cell r="G321" t="str">
            <v>23/10/1985</v>
          </cell>
          <cell r="H321" t="str">
            <v>Nam</v>
          </cell>
          <cell r="I321" t="str">
            <v>79 - 014</v>
          </cell>
          <cell r="J321">
            <v>6973200</v>
          </cell>
        </row>
        <row r="322">
          <cell r="B322" t="str">
            <v>Nguyễn Thị Lý Bá</v>
          </cell>
          <cell r="C322" t="str">
            <v>19/57 đường 49, KP6</v>
          </cell>
          <cell r="D322" t="str">
            <v>7909317151</v>
          </cell>
          <cell r="E322" t="str">
            <v>7909317151</v>
          </cell>
          <cell r="F322" t="str">
            <v>DN4797909317151</v>
          </cell>
          <cell r="G322" t="str">
            <v>29/11/1989</v>
          </cell>
          <cell r="H322" t="str">
            <v>Nữ</v>
          </cell>
          <cell r="I322" t="str">
            <v>79 - 034</v>
          </cell>
          <cell r="J322">
            <v>7909200</v>
          </cell>
        </row>
        <row r="323">
          <cell r="B323" t="str">
            <v>Nguyễn Văn Minh</v>
          </cell>
          <cell r="C323" t="str">
            <v>thôn 4, vinh hà, phú vang, Thừa Thiên Huế</v>
          </cell>
          <cell r="D323" t="str">
            <v>7909317152</v>
          </cell>
          <cell r="E323" t="str">
            <v>7909317152</v>
          </cell>
          <cell r="F323" t="str">
            <v>DN4797909317152</v>
          </cell>
          <cell r="G323" t="str">
            <v>03/02/1988</v>
          </cell>
          <cell r="H323" t="str">
            <v>Nam</v>
          </cell>
          <cell r="I323" t="str">
            <v>79 - 034</v>
          </cell>
          <cell r="J323">
            <v>7394400</v>
          </cell>
        </row>
        <row r="324">
          <cell r="B324" t="str">
            <v>Đinh Thị Hà</v>
          </cell>
          <cell r="C324" t="str">
            <v>Số 7 Lý Thường Kiệt</v>
          </cell>
          <cell r="D324" t="str">
            <v>7909333964</v>
          </cell>
          <cell r="E324" t="str">
            <v>7909333964</v>
          </cell>
          <cell r="F324" t="str">
            <v>DN4797909333964</v>
          </cell>
          <cell r="G324" t="str">
            <v>13/06/1988</v>
          </cell>
          <cell r="H324" t="str">
            <v>Nữ</v>
          </cell>
          <cell r="I324" t="str">
            <v>79 - 037</v>
          </cell>
          <cell r="J324">
            <v>6645600</v>
          </cell>
        </row>
        <row r="325">
          <cell r="B325" t="str">
            <v>Nguyễn Hoàng Bảo Chí</v>
          </cell>
          <cell r="C325" t="str">
            <v>19 Lê Đại hành,phan rang,ninh thuận</v>
          </cell>
          <cell r="D325" t="str">
            <v>7909400276</v>
          </cell>
          <cell r="E325" t="str">
            <v>7909400276</v>
          </cell>
          <cell r="F325" t="str">
            <v>DN4797909400276</v>
          </cell>
          <cell r="G325" t="str">
            <v>11/11/1982</v>
          </cell>
          <cell r="H325" t="str">
            <v>Nam</v>
          </cell>
          <cell r="I325" t="str">
            <v>79 - 014</v>
          </cell>
          <cell r="J325">
            <v>8049600</v>
          </cell>
        </row>
        <row r="326">
          <cell r="B326" t="str">
            <v>Trương Thị Kim Anh</v>
          </cell>
          <cell r="C326" t="str">
            <v>Số 61, tổ 51, KP4, linh tây, thủ đức, HCM</v>
          </cell>
          <cell r="D326" t="str">
            <v>7910216152</v>
          </cell>
          <cell r="E326" t="str">
            <v>7910216152</v>
          </cell>
          <cell r="F326" t="str">
            <v>DN4797910216152</v>
          </cell>
          <cell r="G326" t="str">
            <v>22/04/1982</v>
          </cell>
          <cell r="H326" t="str">
            <v>Nữ</v>
          </cell>
          <cell r="I326" t="str">
            <v>79 - 031</v>
          </cell>
          <cell r="J326">
            <v>6645600</v>
          </cell>
        </row>
        <row r="327">
          <cell r="B327" t="str">
            <v>Trần Đức Cường</v>
          </cell>
          <cell r="C327" t="str">
            <v>Fim nôm, hiệp thạnh, đức trọng, lâm đồng</v>
          </cell>
          <cell r="D327" t="str">
            <v>7910229533</v>
          </cell>
          <cell r="E327" t="str">
            <v>7910229533</v>
          </cell>
          <cell r="F327" t="str">
            <v>DN4797910229533</v>
          </cell>
          <cell r="G327" t="str">
            <v>10/10/1985</v>
          </cell>
          <cell r="H327" t="str">
            <v>Nam</v>
          </cell>
          <cell r="I327" t="str">
            <v>79 - 071</v>
          </cell>
          <cell r="J327">
            <v>7300800</v>
          </cell>
        </row>
        <row r="328">
          <cell r="B328" t="str">
            <v>Nguyễn Thị Phúc Hạnh</v>
          </cell>
          <cell r="C328" t="str">
            <v>tân an, quảng thanh, quảng trạch, quảng bình</v>
          </cell>
          <cell r="D328" t="str">
            <v>7910240511</v>
          </cell>
          <cell r="E328" t="str">
            <v>7910240511</v>
          </cell>
          <cell r="F328" t="str">
            <v>DN4797910240511</v>
          </cell>
          <cell r="G328" t="str">
            <v>08/09/1987</v>
          </cell>
          <cell r="H328" t="str">
            <v>Nữ</v>
          </cell>
          <cell r="I328" t="str">
            <v>79 - 034</v>
          </cell>
          <cell r="J328">
            <v>7394400</v>
          </cell>
        </row>
        <row r="329">
          <cell r="B329" t="str">
            <v>Lê Ngọc Dũng</v>
          </cell>
          <cell r="C329" t="str">
            <v>thạch bàn, phú thuỷ, lê thuỷ, quảng bình</v>
          </cell>
          <cell r="D329" t="str">
            <v>7910240512</v>
          </cell>
          <cell r="E329" t="str">
            <v>7910240512</v>
          </cell>
          <cell r="F329" t="str">
            <v>DN4797910240512</v>
          </cell>
          <cell r="G329" t="str">
            <v>27/10/1984</v>
          </cell>
          <cell r="H329" t="str">
            <v>Nam</v>
          </cell>
          <cell r="I329" t="str">
            <v>60 - 152</v>
          </cell>
          <cell r="J329">
            <v>6378400</v>
          </cell>
        </row>
        <row r="330">
          <cell r="B330" t="str">
            <v>Nguyễn Anh Tú</v>
          </cell>
          <cell r="C330" t="str">
            <v>hiệp hội, vân canh, bình định</v>
          </cell>
          <cell r="D330" t="str">
            <v>7910240513</v>
          </cell>
          <cell r="E330" t="str">
            <v>7910240513</v>
          </cell>
          <cell r="F330" t="str">
            <v>DN4797910240513</v>
          </cell>
          <cell r="G330" t="str">
            <v>20/06/1987</v>
          </cell>
          <cell r="H330" t="str">
            <v>Nam</v>
          </cell>
          <cell r="I330" t="str">
            <v>52 - 008</v>
          </cell>
          <cell r="J330">
            <v>6558400</v>
          </cell>
        </row>
        <row r="331">
          <cell r="B331" t="str">
            <v>Lê Thanh Tịnh</v>
          </cell>
          <cell r="C331" t="str">
            <v>xóm 7, phúc trạch, hương khê, hà tĩnh</v>
          </cell>
          <cell r="D331" t="str">
            <v>7910439716</v>
          </cell>
          <cell r="E331" t="str">
            <v>7910439716</v>
          </cell>
          <cell r="F331" t="str">
            <v>DN4797910439716</v>
          </cell>
          <cell r="G331" t="str">
            <v>12/10/1988</v>
          </cell>
          <cell r="H331" t="str">
            <v>Nam</v>
          </cell>
          <cell r="I331" t="str">
            <v>74 - 024</v>
          </cell>
          <cell r="J331">
            <v>7160400</v>
          </cell>
        </row>
        <row r="332">
          <cell r="B332" t="str">
            <v>Dương Tuấn Mỹ</v>
          </cell>
          <cell r="C332" t="str">
            <v>định phong, an nghiệp, tuy an, phú yên</v>
          </cell>
          <cell r="D332" t="str">
            <v>7910508292</v>
          </cell>
          <cell r="E332" t="str">
            <v>7910508292</v>
          </cell>
          <cell r="F332" t="str">
            <v>DN4797910508292</v>
          </cell>
          <cell r="G332" t="str">
            <v>10/09/1988</v>
          </cell>
          <cell r="H332" t="str">
            <v>Nam</v>
          </cell>
          <cell r="I332" t="str">
            <v>54 - 003</v>
          </cell>
          <cell r="J332">
            <v>6364800</v>
          </cell>
        </row>
        <row r="333">
          <cell r="B333" t="str">
            <v>Nguyễn Đức Khoa</v>
          </cell>
          <cell r="C333" t="str">
            <v>KP bà triệu, p7, tuy hoà, phú yên</v>
          </cell>
          <cell r="D333" t="str">
            <v>7910508293</v>
          </cell>
          <cell r="E333" t="str">
            <v>7910508293</v>
          </cell>
          <cell r="F333" t="str">
            <v>DN4797910508293</v>
          </cell>
          <cell r="G333" t="str">
            <v>01/06/1988</v>
          </cell>
          <cell r="H333" t="str">
            <v>Nam</v>
          </cell>
          <cell r="I333" t="str">
            <v>54 - 032</v>
          </cell>
          <cell r="J333">
            <v>6572800</v>
          </cell>
        </row>
        <row r="334">
          <cell r="B334" t="str">
            <v>Dương Tấn Bảo</v>
          </cell>
          <cell r="C334" t="str">
            <v>xóm 9, an châu, bình thới, bình sơn, quãng ngãi</v>
          </cell>
          <cell r="D334" t="str">
            <v>7911084384</v>
          </cell>
          <cell r="E334" t="str">
            <v>7911084384</v>
          </cell>
          <cell r="F334" t="str">
            <v>DN4797911084384</v>
          </cell>
          <cell r="G334" t="str">
            <v>20/02/1986</v>
          </cell>
          <cell r="H334" t="str">
            <v>Nam</v>
          </cell>
          <cell r="I334" t="str">
            <v>56 - 183</v>
          </cell>
          <cell r="J334">
            <v>6572800</v>
          </cell>
        </row>
        <row r="335">
          <cell r="B335" t="str">
            <v>Hồ Thị Kiều Vy</v>
          </cell>
          <cell r="C335" t="str">
            <v>87 lê trung kiên, tuy hoà, phú yên</v>
          </cell>
          <cell r="D335" t="str">
            <v>7911097076</v>
          </cell>
          <cell r="E335" t="str">
            <v>7911097076</v>
          </cell>
          <cell r="F335" t="str">
            <v>DN4797911097076</v>
          </cell>
          <cell r="G335" t="str">
            <v>04/04/1986</v>
          </cell>
          <cell r="H335" t="str">
            <v>Nữ</v>
          </cell>
          <cell r="I335" t="str">
            <v>54 - 162</v>
          </cell>
          <cell r="J335">
            <v>5907200</v>
          </cell>
        </row>
        <row r="336">
          <cell r="B336" t="str">
            <v>Nguyễn Văn Dũng</v>
          </cell>
          <cell r="C336" t="str">
            <v>hồng kỳ, nghĩa phúc, tân kỳ ,nghệ an</v>
          </cell>
          <cell r="D336" t="str">
            <v>7911248152</v>
          </cell>
          <cell r="E336" t="str">
            <v>7911248152</v>
          </cell>
          <cell r="F336" t="str">
            <v>DN4797911248152</v>
          </cell>
          <cell r="G336" t="str">
            <v>22/10/1986</v>
          </cell>
          <cell r="H336" t="str">
            <v>Nam</v>
          </cell>
          <cell r="I336" t="str">
            <v>79 - 034</v>
          </cell>
          <cell r="J336">
            <v>9079200</v>
          </cell>
        </row>
        <row r="337">
          <cell r="B337" t="str">
            <v>Võ Thành Công</v>
          </cell>
          <cell r="C337" t="str">
            <v>thôn 4,hồng sơn,hàm thuận bắc,bình thuận</v>
          </cell>
          <cell r="D337" t="str">
            <v>7911375316</v>
          </cell>
          <cell r="E337" t="str">
            <v>7911375316</v>
          </cell>
          <cell r="F337" t="str">
            <v>DN4797911375316</v>
          </cell>
          <cell r="G337" t="str">
            <v>12/05/1988</v>
          </cell>
          <cell r="H337" t="str">
            <v>Nam</v>
          </cell>
          <cell r="I337" t="str">
            <v>60 - 005</v>
          </cell>
          <cell r="J337">
            <v>6808000</v>
          </cell>
        </row>
        <row r="338">
          <cell r="B338" t="str">
            <v>Nguyễn Quốc Thắng</v>
          </cell>
          <cell r="C338" t="str">
            <v>phước mỹ,phan rang,tháp chàm,ninh thuận</v>
          </cell>
          <cell r="D338" t="str">
            <v>7911375317</v>
          </cell>
          <cell r="E338" t="str">
            <v>7911375317</v>
          </cell>
          <cell r="F338" t="str">
            <v>DN4797911375317</v>
          </cell>
          <cell r="G338" t="str">
            <v>05/11/1984</v>
          </cell>
          <cell r="H338" t="str">
            <v>Nam</v>
          </cell>
          <cell r="I338" t="str">
            <v>58 - 114</v>
          </cell>
          <cell r="J338">
            <v>6822400</v>
          </cell>
        </row>
        <row r="339">
          <cell r="B339" t="str">
            <v>Khương Văn Toàn</v>
          </cell>
          <cell r="C339" t="str">
            <v>Yên Thôn, Định Tiến, Yên Định, Thanh Hóa</v>
          </cell>
          <cell r="D339" t="str">
            <v>7911421775</v>
          </cell>
          <cell r="E339" t="str">
            <v>7911421775</v>
          </cell>
          <cell r="F339" t="str">
            <v>DN4797911421775</v>
          </cell>
          <cell r="G339" t="str">
            <v>10/03/1989</v>
          </cell>
          <cell r="H339" t="str">
            <v>Nam</v>
          </cell>
          <cell r="I339" t="str">
            <v>79 - 034</v>
          </cell>
          <cell r="J339">
            <v>6973200</v>
          </cell>
        </row>
        <row r="340">
          <cell r="B340" t="str">
            <v>Bùi Hồng Phương</v>
          </cell>
          <cell r="C340" t="str">
            <v>đô vinh,phan rang,tháp chàm,ninh thuận</v>
          </cell>
          <cell r="D340" t="str">
            <v>7911433258</v>
          </cell>
          <cell r="E340" t="str">
            <v>7911433258</v>
          </cell>
          <cell r="F340" t="str">
            <v>DN4797911433258</v>
          </cell>
          <cell r="G340" t="str">
            <v>10/10/1988</v>
          </cell>
          <cell r="H340" t="str">
            <v>Nam</v>
          </cell>
          <cell r="I340" t="str">
            <v>58 - 114</v>
          </cell>
          <cell r="J340">
            <v>6198400</v>
          </cell>
        </row>
        <row r="341">
          <cell r="B341" t="str">
            <v>Phạm Minh Duy</v>
          </cell>
          <cell r="C341" t="str">
            <v>510 đằng thành,mường mán, htnam,bình thuận</v>
          </cell>
          <cell r="D341" t="str">
            <v>7911433259</v>
          </cell>
          <cell r="E341" t="str">
            <v>7911433259</v>
          </cell>
          <cell r="F341" t="str">
            <v>DN4797911433259</v>
          </cell>
          <cell r="G341" t="str">
            <v>24/08/1989</v>
          </cell>
          <cell r="H341" t="str">
            <v>Nam</v>
          </cell>
          <cell r="I341" t="str">
            <v>60 - 152</v>
          </cell>
          <cell r="J341">
            <v>6558400</v>
          </cell>
        </row>
        <row r="342">
          <cell r="B342" t="str">
            <v>Đỗ Chí Cường</v>
          </cell>
          <cell r="C342" t="str">
            <v>đô vinh,phan rang, tháp chàm,ninh thuận</v>
          </cell>
          <cell r="D342" t="str">
            <v>7911433260</v>
          </cell>
          <cell r="E342" t="str">
            <v>7911433260</v>
          </cell>
          <cell r="F342" t="str">
            <v>DN4797911433260</v>
          </cell>
          <cell r="G342" t="str">
            <v>15/06/1981</v>
          </cell>
          <cell r="H342" t="str">
            <v>Nam</v>
          </cell>
          <cell r="I342" t="str">
            <v>58 - 007</v>
          </cell>
          <cell r="J342">
            <v>6378400</v>
          </cell>
        </row>
        <row r="343">
          <cell r="B343" t="str">
            <v>Nguyễn Hồng Anh</v>
          </cell>
          <cell r="C343" t="str">
            <v>134 Lê Thị Hồng , Phường 17, Quận Gò Vấp, TP. Hồ Chí Minh</v>
          </cell>
          <cell r="D343" t="str">
            <v>7911472422</v>
          </cell>
          <cell r="E343" t="str">
            <v>7911472422</v>
          </cell>
          <cell r="F343" t="str">
            <v>DN4797911472422</v>
          </cell>
          <cell r="G343" t="str">
            <v>25/06/1987</v>
          </cell>
          <cell r="H343" t="str">
            <v>Nữ</v>
          </cell>
          <cell r="I343" t="str">
            <v>79 - 034</v>
          </cell>
          <cell r="J343">
            <v>7909200</v>
          </cell>
        </row>
        <row r="344">
          <cell r="B344" t="str">
            <v>Lê Khắc Vũ</v>
          </cell>
          <cell r="C344" t="str">
            <v>kp5 thanh sơn, phan rang, tháp chàm, nthuận</v>
          </cell>
          <cell r="D344" t="str">
            <v>7911518295</v>
          </cell>
          <cell r="E344" t="str">
            <v>7911518295</v>
          </cell>
          <cell r="F344" t="str">
            <v>DN4797911518295</v>
          </cell>
          <cell r="G344" t="str">
            <v>27/03/1985</v>
          </cell>
          <cell r="H344" t="str">
            <v>Nam</v>
          </cell>
          <cell r="I344" t="str">
            <v>79 - 426</v>
          </cell>
          <cell r="J344">
            <v>6973200</v>
          </cell>
        </row>
        <row r="345">
          <cell r="B345" t="str">
            <v>Nguyễn Thanh Hải</v>
          </cell>
          <cell r="C345" t="str">
            <v>tổ 1,cầu sến,phương đông,uông bí,q ninh</v>
          </cell>
          <cell r="D345" t="str">
            <v>7911518296</v>
          </cell>
          <cell r="E345" t="str">
            <v>7911518296</v>
          </cell>
          <cell r="F345" t="str">
            <v>DN4797911518296</v>
          </cell>
          <cell r="G345" t="str">
            <v>14/01/1982</v>
          </cell>
          <cell r="H345" t="str">
            <v>Nam</v>
          </cell>
          <cell r="I345" t="str">
            <v>79 - 037</v>
          </cell>
          <cell r="J345">
            <v>6973200</v>
          </cell>
        </row>
        <row r="346">
          <cell r="B346" t="str">
            <v>Trần Văn Duy</v>
          </cell>
          <cell r="C346" t="str">
            <v>c 19/8 tổ 9, kp 2, tăng nhơn phú a, q9</v>
          </cell>
          <cell r="D346" t="str">
            <v>7912075364</v>
          </cell>
          <cell r="E346" t="str">
            <v>7912075364</v>
          </cell>
          <cell r="F346" t="str">
            <v>DN4797912075364</v>
          </cell>
          <cell r="G346" t="str">
            <v>03/01/1985</v>
          </cell>
          <cell r="H346" t="str">
            <v>Nam</v>
          </cell>
          <cell r="I346" t="str">
            <v>79 - 037</v>
          </cell>
          <cell r="J346">
            <v>7394400</v>
          </cell>
        </row>
        <row r="347">
          <cell r="B347" t="str">
            <v>Phạm Xuân Bình</v>
          </cell>
          <cell r="C347" t="str">
            <v>số 2 đường 2/4,vĩnh hải, nha trang,khánh hoà</v>
          </cell>
          <cell r="D347" t="str">
            <v>7912144063</v>
          </cell>
          <cell r="E347" t="str">
            <v>7912144063</v>
          </cell>
          <cell r="F347" t="str">
            <v>DN4797912144063</v>
          </cell>
          <cell r="G347" t="str">
            <v>05/02/1987</v>
          </cell>
          <cell r="H347" t="str">
            <v>Nam</v>
          </cell>
          <cell r="I347" t="str">
            <v>56 - 012</v>
          </cell>
          <cell r="J347">
            <v>6198400</v>
          </cell>
        </row>
        <row r="348">
          <cell r="B348" t="str">
            <v>Nguyễn Linh Chi</v>
          </cell>
          <cell r="C348" t="str">
            <v>295 lê hồng phong, nha trang, khánh hoà</v>
          </cell>
          <cell r="D348" t="str">
            <v>7912202107</v>
          </cell>
          <cell r="E348" t="str">
            <v>7912202107</v>
          </cell>
          <cell r="F348" t="str">
            <v>DN4797912202107</v>
          </cell>
          <cell r="G348" t="str">
            <v>22/01/1988</v>
          </cell>
          <cell r="H348" t="str">
            <v>Nữ</v>
          </cell>
          <cell r="I348" t="str">
            <v>56 - 012</v>
          </cell>
          <cell r="J348">
            <v>6198400</v>
          </cell>
        </row>
        <row r="349">
          <cell r="B349" t="str">
            <v>Đỗ Văn Lâm</v>
          </cell>
          <cell r="C349" t="str">
            <v>đông thượng, trung đông, trực ninh, nam định</v>
          </cell>
          <cell r="D349" t="str">
            <v>7912231758</v>
          </cell>
          <cell r="E349" t="str">
            <v>7912231758</v>
          </cell>
          <cell r="F349" t="str">
            <v>DN4797912231758</v>
          </cell>
          <cell r="G349" t="str">
            <v>30/09/1985</v>
          </cell>
          <cell r="H349" t="str">
            <v>Nam</v>
          </cell>
          <cell r="I349" t="str">
            <v>79 - 036</v>
          </cell>
          <cell r="J349">
            <v>7394400</v>
          </cell>
        </row>
        <row r="350">
          <cell r="B350" t="str">
            <v>Hà Trung Hiếu</v>
          </cell>
          <cell r="C350" t="str">
            <v>kim liên, nam đàn, nghệ an</v>
          </cell>
          <cell r="D350" t="str">
            <v>7912342692</v>
          </cell>
          <cell r="E350" t="str">
            <v>7912342692</v>
          </cell>
          <cell r="F350" t="str">
            <v>DN4797912342692</v>
          </cell>
          <cell r="G350" t="str">
            <v>24/05/1986</v>
          </cell>
          <cell r="H350" t="str">
            <v>Nam</v>
          </cell>
          <cell r="I350" t="str">
            <v>79 - 071</v>
          </cell>
          <cell r="J350">
            <v>9079200</v>
          </cell>
        </row>
        <row r="351">
          <cell r="B351" t="str">
            <v>Phạm Thị Hường</v>
          </cell>
          <cell r="C351" t="str">
            <v>164A lê trung kiên, p2, tuy hoà, phú yên</v>
          </cell>
          <cell r="D351" t="str">
            <v>7912342693</v>
          </cell>
          <cell r="E351" t="str">
            <v>7912342693</v>
          </cell>
          <cell r="F351" t="str">
            <v>DN4797912342693</v>
          </cell>
          <cell r="G351" t="str">
            <v>20/06/1984</v>
          </cell>
          <cell r="H351" t="str">
            <v>Nữ</v>
          </cell>
          <cell r="I351" t="str">
            <v>54 - 162</v>
          </cell>
          <cell r="J351">
            <v>5907200</v>
          </cell>
        </row>
        <row r="352">
          <cell r="B352" t="str">
            <v>Nguyễn Đăng An</v>
          </cell>
          <cell r="C352" t="str">
            <v>phú thủy, phan thiết, bình thuận</v>
          </cell>
          <cell r="D352" t="str">
            <v>7912390189</v>
          </cell>
          <cell r="E352" t="str">
            <v>7912390189</v>
          </cell>
          <cell r="F352" t="str">
            <v>DN4797912390189</v>
          </cell>
          <cell r="G352" t="str">
            <v>18/05/1988</v>
          </cell>
          <cell r="H352" t="str">
            <v>Nam</v>
          </cell>
          <cell r="I352" t="str">
            <v>60 - 040</v>
          </cell>
          <cell r="J352">
            <v>6572800</v>
          </cell>
        </row>
        <row r="353">
          <cell r="B353" t="str">
            <v>Nguyễn Trung Hậu</v>
          </cell>
          <cell r="C353" t="str">
            <v>Xã Hồng Liêm, Xã Hồng Liêm, Huyện Hàm Thuận Bắc, Tỉnh Bình Thuận</v>
          </cell>
          <cell r="D353" t="str">
            <v>7913102688</v>
          </cell>
          <cell r="E353" t="str">
            <v/>
          </cell>
          <cell r="F353" t="str">
            <v>DN4797913102688</v>
          </cell>
          <cell r="G353" t="str">
            <v>09/10/1990</v>
          </cell>
          <cell r="H353" t="str">
            <v>Nam</v>
          </cell>
          <cell r="I353" t="str">
            <v>60 - 171</v>
          </cell>
          <cell r="J353">
            <v>6045600</v>
          </cell>
        </row>
        <row r="354">
          <cell r="B354" t="str">
            <v>Mai Thành Long</v>
          </cell>
          <cell r="C354" t="str">
            <v>hàm thắng, hàm thuận bắc, bình thuận</v>
          </cell>
          <cell r="D354" t="str">
            <v>7913325640</v>
          </cell>
          <cell r="E354" t="str">
            <v>7913325640</v>
          </cell>
          <cell r="F354" t="str">
            <v>DN4797913325640</v>
          </cell>
          <cell r="G354" t="str">
            <v>11/05/1988</v>
          </cell>
          <cell r="H354" t="str">
            <v>Nam</v>
          </cell>
          <cell r="I354" t="str">
            <v>60 - 152</v>
          </cell>
          <cell r="J354">
            <v>6225600</v>
          </cell>
        </row>
        <row r="355">
          <cell r="B355" t="str">
            <v>Phùng Minh Tùng</v>
          </cell>
          <cell r="C355" t="str">
            <v>369 Chùa Thông, Sơn Lộc, Sơn Tây, Hà Nội</v>
          </cell>
          <cell r="D355" t="str">
            <v>7914078489</v>
          </cell>
          <cell r="E355" t="str">
            <v>7914078489</v>
          </cell>
          <cell r="F355" t="str">
            <v>DN4797914078489</v>
          </cell>
          <cell r="G355" t="str">
            <v>26/04/1988</v>
          </cell>
          <cell r="H355" t="str">
            <v>Nam</v>
          </cell>
          <cell r="I355" t="str">
            <v>79 - 034</v>
          </cell>
          <cell r="J355">
            <v>6973200</v>
          </cell>
        </row>
        <row r="356">
          <cell r="B356" t="str">
            <v>Nguyễn Hải Long</v>
          </cell>
          <cell r="C356" t="str">
            <v>343/22B2 Tô Hiến Thành, phường 12, quận 10, TP.HCM</v>
          </cell>
          <cell r="D356" t="str">
            <v>7914078490</v>
          </cell>
          <cell r="E356" t="str">
            <v>7914078490</v>
          </cell>
          <cell r="F356" t="str">
            <v>DN4797914078490</v>
          </cell>
          <cell r="G356" t="str">
            <v>22/05/1983</v>
          </cell>
          <cell r="H356" t="str">
            <v>Nam</v>
          </cell>
          <cell r="I356" t="str">
            <v>79 - 024</v>
          </cell>
          <cell r="J356">
            <v>7394400</v>
          </cell>
        </row>
        <row r="357">
          <cell r="B357" t="str">
            <v>Dương Ngọc Tú</v>
          </cell>
          <cell r="C357" t="str">
            <v>Thôn Trung Lập, Vĩnh Long, Vĩnh Linh, Quảng Trị</v>
          </cell>
          <cell r="D357" t="str">
            <v>7914078491</v>
          </cell>
          <cell r="E357" t="str">
            <v>7914078491</v>
          </cell>
          <cell r="F357" t="str">
            <v>DN4797914078491</v>
          </cell>
          <cell r="G357" t="str">
            <v>11/12/1986</v>
          </cell>
          <cell r="H357" t="str">
            <v>Nam</v>
          </cell>
          <cell r="I357" t="str">
            <v>79 - 033</v>
          </cell>
          <cell r="J357">
            <v>6973200</v>
          </cell>
        </row>
        <row r="358">
          <cell r="B358" t="str">
            <v>Nguyễn Gia Văn</v>
          </cell>
          <cell r="C358" t="str">
            <v>Thôn Đồng Tiến 2, Thiệu Tâm, Thiệu Hóa, Thanh Hóa</v>
          </cell>
          <cell r="D358" t="str">
            <v>7914078492</v>
          </cell>
          <cell r="E358" t="str">
            <v>7914078492</v>
          </cell>
          <cell r="F358" t="str">
            <v>DN4797914078492</v>
          </cell>
          <cell r="G358" t="str">
            <v>01/05/1993</v>
          </cell>
          <cell r="H358" t="str">
            <v>Nam</v>
          </cell>
          <cell r="I358" t="str">
            <v>79 - 025</v>
          </cell>
          <cell r="J358">
            <v>6973200</v>
          </cell>
        </row>
        <row r="359">
          <cell r="B359" t="str">
            <v>Trần Trọng Hùng</v>
          </cell>
          <cell r="C359" t="str">
            <v>Thôn Đồng Tâm, Thiệu Tâm, Thiệu Hóa, Thanh Hóa</v>
          </cell>
          <cell r="D359" t="str">
            <v>7914078493</v>
          </cell>
          <cell r="E359" t="str">
            <v>7914078493</v>
          </cell>
          <cell r="F359" t="str">
            <v>DN4797914078493</v>
          </cell>
          <cell r="G359" t="str">
            <v>10/09/1993</v>
          </cell>
          <cell r="H359" t="str">
            <v>Nam</v>
          </cell>
          <cell r="I359" t="str">
            <v>79 - 034</v>
          </cell>
          <cell r="J359">
            <v>6973200</v>
          </cell>
        </row>
        <row r="360">
          <cell r="B360" t="str">
            <v>Lê Quang Vinh</v>
          </cell>
          <cell r="C360" t="str">
            <v>569 Phan Bội Châu, Bàu Hàm 2, Thống Nhất, Đồng Nai</v>
          </cell>
          <cell r="D360" t="str">
            <v>7914078494</v>
          </cell>
          <cell r="E360" t="str">
            <v>7914078494</v>
          </cell>
          <cell r="F360" t="str">
            <v>DN4797914078494</v>
          </cell>
          <cell r="G360" t="str">
            <v>31/08/1988</v>
          </cell>
          <cell r="H360" t="str">
            <v>Nam</v>
          </cell>
          <cell r="I360" t="str">
            <v>75 - 026</v>
          </cell>
          <cell r="J360">
            <v>6973200</v>
          </cell>
        </row>
        <row r="361">
          <cell r="B361" t="str">
            <v>Tạ Quang Lục</v>
          </cell>
          <cell r="C361" t="str">
            <v>Tổ 19, phường Trung Sơn, Tam Điệp, Ninh Bình</v>
          </cell>
          <cell r="D361" t="str">
            <v>7914078495</v>
          </cell>
          <cell r="E361" t="str">
            <v>7914078495</v>
          </cell>
          <cell r="F361" t="str">
            <v>DN4797914078495</v>
          </cell>
          <cell r="G361" t="str">
            <v>06/05/1983</v>
          </cell>
          <cell r="H361" t="str">
            <v>Nam</v>
          </cell>
          <cell r="I361" t="str">
            <v>79 - 037</v>
          </cell>
          <cell r="J361">
            <v>6973200</v>
          </cell>
        </row>
        <row r="362">
          <cell r="B362" t="str">
            <v>Vũ Đình Lâm</v>
          </cell>
          <cell r="C362" t="str">
            <v>Thôn Nhân Vinh, Di Sử, Mỹ Hào, Hưng Yên</v>
          </cell>
          <cell r="D362" t="str">
            <v>7914078496</v>
          </cell>
          <cell r="E362" t="str">
            <v>7914078496</v>
          </cell>
          <cell r="F362" t="str">
            <v>DN4797914078496</v>
          </cell>
          <cell r="G362" t="str">
            <v>26/10/1993</v>
          </cell>
          <cell r="H362" t="str">
            <v>Nam</v>
          </cell>
          <cell r="I362" t="str">
            <v>79 - 034</v>
          </cell>
          <cell r="J362">
            <v>6973200</v>
          </cell>
        </row>
        <row r="363">
          <cell r="B363" t="str">
            <v>Phạm Đình Quốc</v>
          </cell>
          <cell r="C363" t="str">
            <v>Thôn1, Nhị Hà, Thuận Nam, Ninh Thuận</v>
          </cell>
          <cell r="D363" t="str">
            <v>7914078497</v>
          </cell>
          <cell r="E363" t="str">
            <v>7914078497</v>
          </cell>
          <cell r="F363" t="str">
            <v>DN4797914078497</v>
          </cell>
          <cell r="G363" t="str">
            <v>10/09/1984</v>
          </cell>
          <cell r="H363" t="str">
            <v>Nam</v>
          </cell>
          <cell r="I363" t="str">
            <v>79 - 034</v>
          </cell>
          <cell r="J363">
            <v>6378400</v>
          </cell>
        </row>
        <row r="364">
          <cell r="B364" t="str">
            <v>Nguyễn Hoàng Việt</v>
          </cell>
          <cell r="C364" t="str">
            <v>88 Thích Quảng Đức, PK2, Xuân An, Long Khánh, Đồng Nai</v>
          </cell>
          <cell r="D364" t="str">
            <v>7914078498</v>
          </cell>
          <cell r="E364" t="str">
            <v>7914078498</v>
          </cell>
          <cell r="F364" t="str">
            <v>DN4797914078498</v>
          </cell>
          <cell r="G364" t="str">
            <v>07/07/1986</v>
          </cell>
          <cell r="H364" t="str">
            <v>Nam</v>
          </cell>
          <cell r="I364" t="str">
            <v>75 - 281</v>
          </cell>
          <cell r="J364">
            <v>6973200</v>
          </cell>
        </row>
        <row r="365">
          <cell r="B365" t="str">
            <v>Nguyễn Doãn Sơn</v>
          </cell>
          <cell r="C365" t="str">
            <v>ấp Trung Hiếu, Xuân Trường, Xuân Lộc, Đồng Nai</v>
          </cell>
          <cell r="D365" t="str">
            <v>7914078499</v>
          </cell>
          <cell r="E365" t="str">
            <v>7914078499</v>
          </cell>
          <cell r="F365" t="str">
            <v>DN4797914078499</v>
          </cell>
          <cell r="G365" t="str">
            <v>21/07/1990</v>
          </cell>
          <cell r="H365" t="str">
            <v>Nam</v>
          </cell>
          <cell r="I365" t="str">
            <v>75 - 013</v>
          </cell>
          <cell r="J365">
            <v>7160400</v>
          </cell>
        </row>
        <row r="366">
          <cell r="B366" t="str">
            <v>Phan Đình Long</v>
          </cell>
          <cell r="C366" t="str">
            <v>Thôn Văn Phong, Mương Mán, Hàm Thuận Nam, Bình Thuận</v>
          </cell>
          <cell r="D366" t="str">
            <v>7914078500</v>
          </cell>
          <cell r="E366" t="str">
            <v>7914078500</v>
          </cell>
          <cell r="F366" t="str">
            <v>DN4797914078500</v>
          </cell>
          <cell r="G366" t="str">
            <v>29/03/1989</v>
          </cell>
          <cell r="H366" t="str">
            <v>Nam</v>
          </cell>
          <cell r="I366" t="str">
            <v>60 - 152</v>
          </cell>
          <cell r="J366">
            <v>6558400</v>
          </cell>
        </row>
        <row r="367">
          <cell r="B367" t="str">
            <v>Trần Văn Nguyên</v>
          </cell>
          <cell r="C367" t="str">
            <v>532/19C Đường 21/8, Bảo An, Phan Rang-Tháp Chàm, Ninh Thuận</v>
          </cell>
          <cell r="D367" t="str">
            <v>7914078501</v>
          </cell>
          <cell r="E367" t="str">
            <v>7914078501</v>
          </cell>
          <cell r="F367" t="str">
            <v>DN4797914078501</v>
          </cell>
          <cell r="G367" t="str">
            <v>20/11/1993</v>
          </cell>
          <cell r="H367" t="str">
            <v>Nam</v>
          </cell>
          <cell r="I367" t="str">
            <v>58 - 007</v>
          </cell>
          <cell r="J367">
            <v>6544800</v>
          </cell>
        </row>
        <row r="368">
          <cell r="B368" t="str">
            <v>Phan Ngọc Cảnh</v>
          </cell>
          <cell r="C368" t="str">
            <v>Thôn Định Trung 2</v>
          </cell>
          <cell r="D368" t="str">
            <v>7914078504</v>
          </cell>
          <cell r="E368" t="str">
            <v>7914078504</v>
          </cell>
          <cell r="F368" t="str">
            <v>DN4797914078504</v>
          </cell>
          <cell r="G368" t="str">
            <v>16/03/1994</v>
          </cell>
          <cell r="H368" t="str">
            <v>Nam</v>
          </cell>
          <cell r="I368" t="str">
            <v>54 - 003</v>
          </cell>
          <cell r="J368">
            <v>5865600</v>
          </cell>
        </row>
        <row r="369">
          <cell r="B369" t="str">
            <v>Nguyễn Thanh Tú</v>
          </cell>
          <cell r="C369" t="str">
            <v>Khu 5, Đô Vinh, Phan Rang-Tháp Chàm, Ninh Thuận</v>
          </cell>
          <cell r="D369" t="str">
            <v>7914078505</v>
          </cell>
          <cell r="E369" t="str">
            <v>7914078505</v>
          </cell>
          <cell r="F369" t="str">
            <v>DN4797914078505</v>
          </cell>
          <cell r="G369" t="str">
            <v>28/02/1990</v>
          </cell>
          <cell r="H369" t="str">
            <v>Nam</v>
          </cell>
          <cell r="I369" t="str">
            <v>79 - 030</v>
          </cell>
          <cell r="J369">
            <v>7020000</v>
          </cell>
        </row>
        <row r="370">
          <cell r="B370" t="str">
            <v>Trần Quốc Dũng</v>
          </cell>
          <cell r="C370" t="str">
            <v>Thôn Suối Cát, Cam Hiệp Nam, Cam Lâm, Khánh Hòa</v>
          </cell>
          <cell r="D370" t="str">
            <v>7914078507</v>
          </cell>
          <cell r="E370" t="str">
            <v>7914078507</v>
          </cell>
          <cell r="F370" t="str">
            <v>DN4797914078507</v>
          </cell>
          <cell r="G370" t="str">
            <v>31/07/1994</v>
          </cell>
          <cell r="H370" t="str">
            <v>Nam</v>
          </cell>
          <cell r="I370" t="str">
            <v>56 - 183</v>
          </cell>
          <cell r="J370">
            <v>6198400</v>
          </cell>
        </row>
        <row r="371">
          <cell r="B371" t="str">
            <v>Nguyễn Xuân Quang</v>
          </cell>
          <cell r="C371" t="str">
            <v>Thôn Phước Lộc, Ninh Quang, Ninh Hòa, Khánh Hòa</v>
          </cell>
          <cell r="D371" t="str">
            <v>7914078508</v>
          </cell>
          <cell r="E371" t="str">
            <v>7914078508</v>
          </cell>
          <cell r="F371" t="str">
            <v>DN4797914078508</v>
          </cell>
          <cell r="G371" t="str">
            <v>22/01/1991</v>
          </cell>
          <cell r="H371" t="str">
            <v>Nam</v>
          </cell>
          <cell r="I371" t="str">
            <v>56 - 105</v>
          </cell>
          <cell r="J371">
            <v>6364800</v>
          </cell>
        </row>
        <row r="372">
          <cell r="B372" t="str">
            <v>Cao Hòa Thanh</v>
          </cell>
          <cell r="C372" t="str">
            <v>Tổ 24 An Ninh, Diên An, Diên Khánh, Khánh Hòa</v>
          </cell>
          <cell r="D372" t="str">
            <v>7914078510</v>
          </cell>
          <cell r="E372" t="str">
            <v>7914078510</v>
          </cell>
          <cell r="F372" t="str">
            <v>DN4797914078510</v>
          </cell>
          <cell r="G372" t="str">
            <v>02/05/1987</v>
          </cell>
          <cell r="H372" t="str">
            <v>Nam</v>
          </cell>
          <cell r="I372" t="str">
            <v>56 - 001</v>
          </cell>
          <cell r="J372">
            <v>6198400</v>
          </cell>
        </row>
        <row r="373">
          <cell r="B373" t="str">
            <v>Nguyễn Vĩnh Phúc</v>
          </cell>
          <cell r="C373" t="str">
            <v>Tổ 24 An Ninh, Diên An, Diên Khánh, Khánh Hòa</v>
          </cell>
          <cell r="D373" t="str">
            <v>7914078511</v>
          </cell>
          <cell r="E373" t="str">
            <v>7914078511</v>
          </cell>
          <cell r="F373" t="str">
            <v>DN4797914078511</v>
          </cell>
          <cell r="G373" t="str">
            <v>12/04/1989</v>
          </cell>
          <cell r="H373" t="str">
            <v>Nam</v>
          </cell>
          <cell r="I373" t="str">
            <v>56 - 001</v>
          </cell>
          <cell r="J373">
            <v>5865600</v>
          </cell>
        </row>
        <row r="374">
          <cell r="B374" t="str">
            <v>Lương Công Tín</v>
          </cell>
          <cell r="C374" t="str">
            <v>Thôn Phú Hòa, Ninh Quang, Ninh Hòa, Khánh Hòa</v>
          </cell>
          <cell r="D374" t="str">
            <v>7914078513</v>
          </cell>
          <cell r="E374" t="str">
            <v>7914078513</v>
          </cell>
          <cell r="F374" t="str">
            <v>DN4797914078513</v>
          </cell>
          <cell r="G374" t="str">
            <v>03/03/1994</v>
          </cell>
          <cell r="H374" t="str">
            <v>Nam</v>
          </cell>
          <cell r="I374" t="str">
            <v>56 - 105</v>
          </cell>
          <cell r="J374">
            <v>6198400</v>
          </cell>
        </row>
        <row r="375">
          <cell r="B375" t="str">
            <v>Nguyễn Dương Chí Hoàng</v>
          </cell>
          <cell r="C375" t="str">
            <v>Thôn Thạch Chẫm, Hòa Xuân Tây, Đông Hòa, Phú Yên</v>
          </cell>
          <cell r="D375" t="str">
            <v>7914078516</v>
          </cell>
          <cell r="E375" t="str">
            <v>7914078516</v>
          </cell>
          <cell r="F375" t="str">
            <v>DN4797914078516</v>
          </cell>
          <cell r="G375" t="str">
            <v>15/02/1992</v>
          </cell>
          <cell r="H375" t="str">
            <v>Nam</v>
          </cell>
          <cell r="I375" t="str">
            <v>54 - 016</v>
          </cell>
          <cell r="J375">
            <v>6364800</v>
          </cell>
        </row>
        <row r="376">
          <cell r="B376" t="str">
            <v>Lê Nguyên Lộc</v>
          </cell>
          <cell r="C376" t="str">
            <v>133 Lê Trung Kiên, phường 2, Tuy Hòa, Phú Yên</v>
          </cell>
          <cell r="D376" t="str">
            <v>7914078518</v>
          </cell>
          <cell r="E376" t="str">
            <v>7914078518</v>
          </cell>
          <cell r="F376" t="str">
            <v>DN4797914078518</v>
          </cell>
          <cell r="G376" t="str">
            <v>23/09/1988</v>
          </cell>
          <cell r="H376" t="str">
            <v>Nam</v>
          </cell>
          <cell r="I376" t="str">
            <v>54 - 016</v>
          </cell>
          <cell r="J376">
            <v>6198400</v>
          </cell>
        </row>
        <row r="377">
          <cell r="B377" t="str">
            <v>Ngô Quang Khởi</v>
          </cell>
          <cell r="C377" t="str">
            <v>Thôn Phước Huệ, Xuân Quang2, Đồng Xuân, Phú Yên</v>
          </cell>
          <cell r="D377" t="str">
            <v>7914078519</v>
          </cell>
          <cell r="E377" t="str">
            <v>7914078519</v>
          </cell>
          <cell r="F377" t="str">
            <v>DN4797914078519</v>
          </cell>
          <cell r="G377" t="str">
            <v>25/11/1994</v>
          </cell>
          <cell r="H377" t="str">
            <v>Nam</v>
          </cell>
          <cell r="I377" t="str">
            <v>54 - 007</v>
          </cell>
          <cell r="J377">
            <v>6198400</v>
          </cell>
        </row>
        <row r="378">
          <cell r="B378" t="str">
            <v>Mai Văn Thống</v>
          </cell>
          <cell r="C378" t="str">
            <v>Thôn An Sơn 1, Phước An, Tuy Phước, Bình Định</v>
          </cell>
          <cell r="D378" t="str">
            <v>7914078520</v>
          </cell>
          <cell r="E378" t="str">
            <v>7914078520</v>
          </cell>
          <cell r="F378" t="str">
            <v>DN4797914078520</v>
          </cell>
          <cell r="G378" t="str">
            <v>20/02/1991</v>
          </cell>
          <cell r="H378" t="str">
            <v>Nam</v>
          </cell>
          <cell r="I378" t="str">
            <v>52 - 006</v>
          </cell>
          <cell r="J378">
            <v>6724800</v>
          </cell>
        </row>
        <row r="379">
          <cell r="B379" t="str">
            <v>Huỳnh Tiên Tri</v>
          </cell>
          <cell r="C379" t="str">
            <v>Thôn Đông Phước, Hòa An, Tuy Hòa, Phú Yên</v>
          </cell>
          <cell r="D379" t="str">
            <v>7914078522</v>
          </cell>
          <cell r="E379" t="str">
            <v>7914078522</v>
          </cell>
          <cell r="F379" t="str">
            <v>DN4797914078522</v>
          </cell>
          <cell r="G379" t="str">
            <v>15/12/1994</v>
          </cell>
          <cell r="H379" t="str">
            <v>Nam</v>
          </cell>
          <cell r="I379" t="str">
            <v>54 - 124</v>
          </cell>
          <cell r="J379">
            <v>6198400</v>
          </cell>
        </row>
        <row r="380">
          <cell r="B380" t="str">
            <v>Trần Ngọc Nam</v>
          </cell>
          <cell r="C380" t="str">
            <v>thôn gia hòa, xã lộc an, tp nam định, t nam định</v>
          </cell>
          <cell r="D380" t="str">
            <v>7914106053</v>
          </cell>
          <cell r="E380" t="str">
            <v>7914106053</v>
          </cell>
          <cell r="F380" t="str">
            <v>DN4797914106053</v>
          </cell>
          <cell r="G380" t="str">
            <v>30/06/1994</v>
          </cell>
          <cell r="H380" t="str">
            <v>Nam</v>
          </cell>
          <cell r="I380" t="str">
            <v>79 - 034</v>
          </cell>
          <cell r="J380">
            <v>6973200</v>
          </cell>
        </row>
        <row r="381">
          <cell r="B381" t="str">
            <v>Nguyễn Văn Thái</v>
          </cell>
          <cell r="C381" t="str">
            <v>Số 3</v>
          </cell>
          <cell r="D381" t="str">
            <v>7914281523</v>
          </cell>
          <cell r="E381" t="str">
            <v>7914281523</v>
          </cell>
          <cell r="F381" t="str">
            <v>DN4797914281523</v>
          </cell>
          <cell r="G381" t="str">
            <v>20/10/1993</v>
          </cell>
          <cell r="H381" t="str">
            <v>Nam</v>
          </cell>
          <cell r="I381" t="str">
            <v>79 - 037</v>
          </cell>
          <cell r="J381">
            <v>6598800</v>
          </cell>
        </row>
        <row r="382">
          <cell r="B382" t="str">
            <v>Đỗ Thành Kông</v>
          </cell>
          <cell r="C382" t="str">
            <v>đường số 3, KP5, P. bình hưng hòa, Q.bình tân, Tp HCM</v>
          </cell>
          <cell r="D382" t="str">
            <v>7915254769</v>
          </cell>
          <cell r="E382" t="str">
            <v>7915254769</v>
          </cell>
          <cell r="F382" t="str">
            <v>DN4797915254769</v>
          </cell>
          <cell r="G382" t="str">
            <v>01/10/1973</v>
          </cell>
          <cell r="H382" t="str">
            <v>Nam</v>
          </cell>
          <cell r="I382" t="str">
            <v>79 - 037</v>
          </cell>
          <cell r="J382">
            <v>7909200</v>
          </cell>
        </row>
        <row r="383">
          <cell r="B383" t="str">
            <v>Võ Thiện Toàn</v>
          </cell>
          <cell r="C383" t="str">
            <v>126 Trần Hưng Đạo</v>
          </cell>
          <cell r="D383" t="str">
            <v>7915259995</v>
          </cell>
          <cell r="E383" t="str">
            <v>7915259995</v>
          </cell>
          <cell r="F383" t="str">
            <v>DN4797915259995</v>
          </cell>
          <cell r="G383" t="str">
            <v>06/04/1993</v>
          </cell>
          <cell r="H383" t="str">
            <v>Nam</v>
          </cell>
          <cell r="I383" t="str">
            <v>56 - 002</v>
          </cell>
          <cell r="J383">
            <v>5865600</v>
          </cell>
        </row>
        <row r="384">
          <cell r="B384" t="str">
            <v>Nguyễn Thanh Nhân</v>
          </cell>
          <cell r="C384" t="str">
            <v>Khu phố Ninh Tịnh 2, Phường 09, Tp. Tuy Hòa, Phú Yên</v>
          </cell>
          <cell r="D384" t="str">
            <v>7915310057</v>
          </cell>
          <cell r="E384" t="str">
            <v>7915310057</v>
          </cell>
          <cell r="F384" t="str">
            <v>DN4797915310057</v>
          </cell>
          <cell r="G384" t="str">
            <v>20/10/1991</v>
          </cell>
          <cell r="H384" t="str">
            <v>Nam</v>
          </cell>
          <cell r="I384" t="str">
            <v>54 - 016</v>
          </cell>
          <cell r="J384">
            <v>6198400</v>
          </cell>
        </row>
        <row r="385">
          <cell r="B385" t="str">
            <v>Đặng Bá Lâm</v>
          </cell>
          <cell r="C385" t="str">
            <v>Long Hải, Thạch Kim, Lộc Hà , Hà Tĩnh</v>
          </cell>
          <cell r="D385" t="str">
            <v>7915310058</v>
          </cell>
          <cell r="E385" t="str">
            <v>7915310058</v>
          </cell>
          <cell r="F385" t="str">
            <v>DN4797915310058</v>
          </cell>
          <cell r="G385" t="str">
            <v>04/08/1994</v>
          </cell>
          <cell r="H385" t="str">
            <v>Nam</v>
          </cell>
          <cell r="I385" t="str">
            <v>60 - 152</v>
          </cell>
          <cell r="J385">
            <v>6378400</v>
          </cell>
        </row>
        <row r="386">
          <cell r="B386" t="str">
            <v>Nguyễn Thanh Phong</v>
          </cell>
          <cell r="C386" t="str">
            <v>12/1 Ngô Quyền, Phường 04, Tuy Hòa, Phú Yên</v>
          </cell>
          <cell r="D386" t="str">
            <v>7915310060</v>
          </cell>
          <cell r="E386" t="str">
            <v>7915310060</v>
          </cell>
          <cell r="F386" t="str">
            <v>DN4797915310060</v>
          </cell>
          <cell r="G386" t="str">
            <v>12/11/1994</v>
          </cell>
          <cell r="H386" t="str">
            <v>Nam</v>
          </cell>
          <cell r="I386" t="str">
            <v>54 - 016</v>
          </cell>
          <cell r="J386">
            <v>5865600</v>
          </cell>
        </row>
        <row r="387">
          <cell r="B387" t="str">
            <v>Dương Bình Thi</v>
          </cell>
          <cell r="C387" t="str">
            <v>Khu phố Phú Hiệp 2, Hòa Hiệp Trung, Đông Hòa, Phú Yên</v>
          </cell>
          <cell r="D387" t="str">
            <v>7915310061</v>
          </cell>
          <cell r="E387" t="str">
            <v>7915310061</v>
          </cell>
          <cell r="F387" t="str">
            <v>DN4797915310061</v>
          </cell>
          <cell r="G387" t="str">
            <v>27/03/1985</v>
          </cell>
          <cell r="H387" t="str">
            <v>Nam</v>
          </cell>
          <cell r="I387" t="str">
            <v>54 - 002</v>
          </cell>
          <cell r="J387">
            <v>6198400</v>
          </cell>
        </row>
        <row r="388">
          <cell r="B388" t="str">
            <v>Trương Việt Tiến</v>
          </cell>
          <cell r="C388" t="str">
            <v>Xã Đinh Xá, Thành phố Phủ Lý, Tỉnh Hà Nam</v>
          </cell>
          <cell r="D388" t="str">
            <v>7915317416</v>
          </cell>
          <cell r="E388" t="str">
            <v>7915317416</v>
          </cell>
          <cell r="F388" t="str">
            <v>DN4797915317416</v>
          </cell>
          <cell r="G388" t="str">
            <v>21/05/1989</v>
          </cell>
          <cell r="H388" t="str">
            <v>Nam</v>
          </cell>
          <cell r="I388" t="str">
            <v>79 - 034</v>
          </cell>
          <cell r="J388">
            <v>7441200</v>
          </cell>
        </row>
        <row r="389">
          <cell r="B389" t="str">
            <v>Nguyễn Ngọc Cường</v>
          </cell>
          <cell r="C389" t="str">
            <v/>
          </cell>
          <cell r="D389" t="str">
            <v>7916084467</v>
          </cell>
          <cell r="E389" t="str">
            <v/>
          </cell>
          <cell r="F389" t="str">
            <v>DN4797916084467</v>
          </cell>
          <cell r="G389" t="str">
            <v>12/01/1993</v>
          </cell>
          <cell r="H389" t="str">
            <v>Nam</v>
          </cell>
          <cell r="I389" t="str">
            <v>60 - 152</v>
          </cell>
          <cell r="J389">
            <v>6225600</v>
          </cell>
        </row>
        <row r="390">
          <cell r="B390" t="str">
            <v>Uông Nguyễn Nhật Minh</v>
          </cell>
          <cell r="C390" t="str">
            <v>Nghệ An</v>
          </cell>
          <cell r="D390" t="str">
            <v>7916440080</v>
          </cell>
          <cell r="E390" t="str">
            <v/>
          </cell>
          <cell r="F390" t="str">
            <v>DN4797916440080</v>
          </cell>
          <cell r="G390" t="str">
            <v>16/06/1994</v>
          </cell>
          <cell r="H390" t="str">
            <v>Nam</v>
          </cell>
          <cell r="I390" t="str">
            <v>79 - 009</v>
          </cell>
          <cell r="J390">
            <v>5896800</v>
          </cell>
        </row>
        <row r="391">
          <cell r="B391" t="str">
            <v>Vương Tứ Hậu</v>
          </cell>
          <cell r="C391" t="str">
            <v>Thị trấn Vân Canh, Huyện Vân Canh, Tỉnh Bình Định</v>
          </cell>
          <cell r="D391" t="str">
            <v>7916450944</v>
          </cell>
          <cell r="E391" t="str">
            <v>7916450944</v>
          </cell>
          <cell r="F391" t="str">
            <v>DN4797916450944</v>
          </cell>
          <cell r="G391" t="str">
            <v>01/01/1994</v>
          </cell>
          <cell r="H391" t="str">
            <v>Nam</v>
          </cell>
          <cell r="I391" t="str">
            <v>52 - 008</v>
          </cell>
          <cell r="J391">
            <v>6558400</v>
          </cell>
        </row>
        <row r="392">
          <cell r="B392" t="str">
            <v>Lê Văn Hùng</v>
          </cell>
          <cell r="C392" t="str">
            <v>Đông Khê</v>
          </cell>
          <cell r="D392" t="str">
            <v>7916525145</v>
          </cell>
          <cell r="E392" t="str">
            <v>7916525145</v>
          </cell>
          <cell r="F392" t="str">
            <v>DN4797916525145</v>
          </cell>
          <cell r="G392" t="str">
            <v>16/05/1998</v>
          </cell>
          <cell r="H392" t="str">
            <v>Nam</v>
          </cell>
          <cell r="I392" t="str">
            <v>79 - 034</v>
          </cell>
          <cell r="J392">
            <v>6598800</v>
          </cell>
        </row>
        <row r="393">
          <cell r="B393" t="str">
            <v>Nguyễn Xuân Khánh</v>
          </cell>
          <cell r="C393" t="str">
            <v>05 Đường DC11</v>
          </cell>
          <cell r="D393" t="str">
            <v>7931346805</v>
          </cell>
          <cell r="E393" t="str">
            <v/>
          </cell>
          <cell r="F393" t="str">
            <v>DN4797931346805</v>
          </cell>
          <cell r="G393" t="str">
            <v>04/09/1998</v>
          </cell>
          <cell r="H393" t="str">
            <v>Nam</v>
          </cell>
          <cell r="I393" t="str">
            <v>79 - 034</v>
          </cell>
          <cell r="J393">
            <v>6598800</v>
          </cell>
        </row>
        <row r="394">
          <cell r="B394" t="str">
            <v>Trần Hoài Nam</v>
          </cell>
          <cell r="C394" t="str">
            <v>49/14  Đường Số 8</v>
          </cell>
          <cell r="D394" t="str">
            <v>7932072622</v>
          </cell>
          <cell r="E394" t="str">
            <v/>
          </cell>
          <cell r="F394" t="str">
            <v>DN4797932072622</v>
          </cell>
          <cell r="G394" t="str">
            <v>21/02/1995</v>
          </cell>
          <cell r="H394" t="str">
            <v>Nam</v>
          </cell>
          <cell r="I394" t="str">
            <v>79 - 075</v>
          </cell>
          <cell r="J394">
            <v>6973200</v>
          </cell>
        </row>
        <row r="395">
          <cell r="B395" t="str">
            <v>Phan Tấn Thịnh</v>
          </cell>
          <cell r="C395" t="str">
            <v>244E Bình Thới</v>
          </cell>
          <cell r="D395" t="str">
            <v>7932863029</v>
          </cell>
          <cell r="E395" t="str">
            <v/>
          </cell>
          <cell r="F395" t="str">
            <v>DN4797932863029</v>
          </cell>
          <cell r="G395" t="str">
            <v>30/07/1991</v>
          </cell>
          <cell r="H395" t="str">
            <v>Nam</v>
          </cell>
          <cell r="I395" t="str">
            <v>79 - 028</v>
          </cell>
          <cell r="J395">
            <v>6364800</v>
          </cell>
        </row>
        <row r="396">
          <cell r="B396" t="str">
            <v>Trần Thanh Tân</v>
          </cell>
          <cell r="C396" t="str">
            <v/>
          </cell>
          <cell r="D396" t="str">
            <v>7935795998</v>
          </cell>
          <cell r="E396" t="str">
            <v/>
          </cell>
          <cell r="F396" t="str">
            <v>DN4797935795998</v>
          </cell>
          <cell r="G396" t="str">
            <v>10/05/1993</v>
          </cell>
          <cell r="H396" t="str">
            <v>Nam</v>
          </cell>
          <cell r="I396" t="str">
            <v>58 - 114</v>
          </cell>
          <cell r="J396">
            <v>6045600</v>
          </cell>
        </row>
        <row r="397">
          <cell r="B397" t="str">
            <v>Nguyễn Văn Tân</v>
          </cell>
          <cell r="C397" t="str">
            <v>184/1B Ấp Tam Đông 1</v>
          </cell>
          <cell r="D397" t="str">
            <v>7937378364</v>
          </cell>
          <cell r="E397" t="str">
            <v/>
          </cell>
          <cell r="F397" t="str">
            <v>DN4797937378364</v>
          </cell>
          <cell r="G397" t="str">
            <v>03/10/1991</v>
          </cell>
          <cell r="H397" t="str">
            <v>Nam</v>
          </cell>
          <cell r="I397" t="str">
            <v>79 - 034</v>
          </cell>
          <cell r="J397">
            <v>5896800</v>
          </cell>
        </row>
        <row r="398">
          <cell r="B398" t="str">
            <v>Lê Đức Anh</v>
          </cell>
          <cell r="C398" t="str">
            <v>Thôn 3</v>
          </cell>
          <cell r="D398" t="str">
            <v>7938107613</v>
          </cell>
          <cell r="E398" t="str">
            <v/>
          </cell>
          <cell r="F398" t="str">
            <v>DN4797938107613</v>
          </cell>
          <cell r="G398" t="str">
            <v>24/09/1997</v>
          </cell>
          <cell r="H398" t="str">
            <v>Nam</v>
          </cell>
          <cell r="I398" t="str">
            <v>60 - 152</v>
          </cell>
          <cell r="J398">
            <v>6225600</v>
          </cell>
        </row>
        <row r="399">
          <cell r="B399" t="str">
            <v>Cao Hoàng Phương</v>
          </cell>
          <cell r="C399" t="str">
            <v>Khu 4</v>
          </cell>
          <cell r="D399" t="str">
            <v>8216046135</v>
          </cell>
          <cell r="E399" t="str">
            <v/>
          </cell>
          <cell r="F399" t="str">
            <v>DN4798216046135</v>
          </cell>
          <cell r="G399" t="str">
            <v>13/08/1990</v>
          </cell>
          <cell r="H399" t="str">
            <v>Nam</v>
          </cell>
          <cell r="I399" t="str">
            <v>75 - 281</v>
          </cell>
          <cell r="J399">
            <v>6598800</v>
          </cell>
        </row>
        <row r="400">
          <cell r="B400" t="str">
            <v>Nguyễn Quốc Chiến</v>
          </cell>
          <cell r="C400" t="str">
            <v>Khu 9, Phước Mỹ, Phan Rang, N.Thuận</v>
          </cell>
          <cell r="D400" t="str">
            <v>9104167227</v>
          </cell>
          <cell r="E400" t="str">
            <v>9104167227</v>
          </cell>
          <cell r="F400" t="str">
            <v>DN4799104167227</v>
          </cell>
          <cell r="G400" t="str">
            <v>05/08/1982</v>
          </cell>
          <cell r="H400" t="str">
            <v>Nam</v>
          </cell>
          <cell r="I400" t="str">
            <v>58 - 114</v>
          </cell>
          <cell r="J400">
            <v>7446400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1">
          <cell r="B11" t="str">
            <v>Bùi Văn Khương</v>
          </cell>
          <cell r="C11" t="str">
            <v>Ninh Giang, Hoa Lư, Ninh Bình</v>
          </cell>
          <cell r="D11" t="str">
            <v>0102045033</v>
          </cell>
          <cell r="E11" t="str">
            <v>0102045033</v>
          </cell>
          <cell r="F11" t="str">
            <v>DN4790102045033</v>
          </cell>
          <cell r="G11" t="str">
            <v>02/07/1981</v>
          </cell>
          <cell r="H11" t="str">
            <v>Nam</v>
          </cell>
          <cell r="I11" t="str">
            <v>79 - 034</v>
          </cell>
        </row>
        <row r="12">
          <cell r="B12" t="str">
            <v>Nguyễn Ngọc Hoàn</v>
          </cell>
          <cell r="C12" t="str">
            <v>177 Hoàng Văn Thụ</v>
          </cell>
          <cell r="D12" t="str">
            <v>0125925066</v>
          </cell>
          <cell r="E12" t="str">
            <v/>
          </cell>
          <cell r="F12" t="str">
            <v>DN4790125925066</v>
          </cell>
          <cell r="G12" t="str">
            <v>17/08/1990</v>
          </cell>
          <cell r="H12" t="str">
            <v>Nam</v>
          </cell>
          <cell r="I12" t="str">
            <v>79 - 009</v>
          </cell>
        </row>
        <row r="13">
          <cell r="B13" t="str">
            <v>Nguyễn Văn Bình</v>
          </cell>
          <cell r="C13" t="str">
            <v>57 A Sau Ga Nha Trang,Khánh Hòa</v>
          </cell>
          <cell r="D13" t="str">
            <v>0200053635</v>
          </cell>
          <cell r="E13" t="str">
            <v>0200053635</v>
          </cell>
          <cell r="F13" t="str">
            <v>DN4790200053635</v>
          </cell>
          <cell r="G13" t="str">
            <v>07/10/1979</v>
          </cell>
          <cell r="H13" t="str">
            <v>Nam</v>
          </cell>
          <cell r="I13" t="str">
            <v>56 - 012</v>
          </cell>
        </row>
        <row r="14">
          <cell r="B14" t="str">
            <v>Nguyễn Thanh Trí</v>
          </cell>
          <cell r="C14" t="str">
            <v>Vĩnh Hải, Nha Trang, Khánh Hòa</v>
          </cell>
          <cell r="D14" t="str">
            <v>0200053636</v>
          </cell>
          <cell r="E14" t="str">
            <v>0200053636</v>
          </cell>
          <cell r="F14" t="str">
            <v>DN4790200053636</v>
          </cell>
          <cell r="G14" t="str">
            <v>07/07/1970</v>
          </cell>
          <cell r="H14" t="str">
            <v>Nam</v>
          </cell>
          <cell r="I14" t="str">
            <v>56 - 183</v>
          </cell>
        </row>
        <row r="15">
          <cell r="B15" t="str">
            <v>Nguyễn Văn Trường</v>
          </cell>
          <cell r="C15" t="str">
            <v>Công Hải, Ninh hải, Ninh Thuận</v>
          </cell>
          <cell r="D15" t="str">
            <v>0200053638</v>
          </cell>
          <cell r="E15" t="str">
            <v>0200053638</v>
          </cell>
          <cell r="F15" t="str">
            <v>DN4790200053638</v>
          </cell>
          <cell r="G15" t="str">
            <v>27/01/1975</v>
          </cell>
          <cell r="H15" t="str">
            <v>Nam</v>
          </cell>
          <cell r="I15" t="str">
            <v>58 - 114</v>
          </cell>
        </row>
        <row r="16">
          <cell r="B16" t="str">
            <v>Trịnh Quang Huy</v>
          </cell>
          <cell r="C16" t="str">
            <v>Tân Nghĩa, Hàm Tân, Bình Thuận</v>
          </cell>
          <cell r="D16" t="str">
            <v>0200053639</v>
          </cell>
          <cell r="E16" t="str">
            <v>0200053639</v>
          </cell>
          <cell r="F16" t="str">
            <v>DN4790200053639</v>
          </cell>
          <cell r="G16" t="str">
            <v>06/12/1975</v>
          </cell>
          <cell r="H16" t="str">
            <v>Nam</v>
          </cell>
          <cell r="I16" t="str">
            <v>75 - 013</v>
          </cell>
        </row>
        <row r="17">
          <cell r="B17" t="str">
            <v>Phan Quốc Mạnh</v>
          </cell>
          <cell r="C17" t="str">
            <v>Tân Nghĩa, Hàm Tân, Bình Thuận</v>
          </cell>
          <cell r="D17" t="str">
            <v>0200053640</v>
          </cell>
          <cell r="E17" t="str">
            <v>0200053640</v>
          </cell>
          <cell r="F17" t="str">
            <v>DN4790200053640</v>
          </cell>
          <cell r="G17" t="str">
            <v>16/02/1978</v>
          </cell>
          <cell r="H17" t="str">
            <v>Nam</v>
          </cell>
          <cell r="I17" t="str">
            <v>60 - 040</v>
          </cell>
        </row>
        <row r="18">
          <cell r="B18" t="str">
            <v>Dương Ngọc Thắng</v>
          </cell>
          <cell r="C18" t="str">
            <v>575/11/5 CMT8, P.15, Q.10, Tp.HCM</v>
          </cell>
          <cell r="D18" t="str">
            <v>0200127091</v>
          </cell>
          <cell r="E18" t="str">
            <v>0200127091</v>
          </cell>
          <cell r="F18" t="str">
            <v>DN4790200127091</v>
          </cell>
          <cell r="G18" t="str">
            <v>07/07/1965</v>
          </cell>
          <cell r="H18" t="str">
            <v>Nam</v>
          </cell>
          <cell r="I18" t="str">
            <v>79 - 025</v>
          </cell>
        </row>
        <row r="19">
          <cell r="B19" t="str">
            <v>Nguyễn Mai Phương</v>
          </cell>
          <cell r="C19" t="str">
            <v>Vùng 10,TrungLươngAnNghiệpTuyAn PhuYên</v>
          </cell>
          <cell r="D19" t="str">
            <v>0200133753</v>
          </cell>
          <cell r="E19" t="str">
            <v>0200133753</v>
          </cell>
          <cell r="F19" t="str">
            <v>DN4790200133753</v>
          </cell>
          <cell r="G19" t="str">
            <v>09/11/1978</v>
          </cell>
          <cell r="H19" t="str">
            <v>Nam</v>
          </cell>
          <cell r="I19" t="str">
            <v>79 - 009</v>
          </cell>
        </row>
        <row r="20">
          <cell r="B20" t="str">
            <v>Huỳnh Ngọc Huy</v>
          </cell>
          <cell r="C20" t="str">
            <v>87 Lê Trung Kiên, Tuy Hòa, Phú Yên</v>
          </cell>
          <cell r="D20" t="str">
            <v>0200133755</v>
          </cell>
          <cell r="E20" t="str">
            <v>0200133755</v>
          </cell>
          <cell r="F20" t="str">
            <v>DN4790200133755</v>
          </cell>
          <cell r="G20" t="str">
            <v>19/10/1981</v>
          </cell>
          <cell r="H20" t="str">
            <v>Nam</v>
          </cell>
          <cell r="I20" t="str">
            <v>54 - 162</v>
          </cell>
        </row>
        <row r="21">
          <cell r="B21" t="str">
            <v>Phạm Văn Nhân</v>
          </cell>
          <cell r="C21" t="str">
            <v>Xuân Trường, Xuân Lộc, Đồng Nai</v>
          </cell>
          <cell r="D21" t="str">
            <v>0200133756</v>
          </cell>
          <cell r="E21" t="str">
            <v>0200133756</v>
          </cell>
          <cell r="F21" t="str">
            <v>DN4790200133756</v>
          </cell>
          <cell r="G21" t="str">
            <v>27/07/1981</v>
          </cell>
          <cell r="H21" t="str">
            <v>Nam</v>
          </cell>
          <cell r="I21" t="str">
            <v>79 - 034</v>
          </cell>
        </row>
        <row r="22">
          <cell r="B22" t="str">
            <v>Trần Văn Chương</v>
          </cell>
          <cell r="C22" t="str">
            <v>25 KP4, Trảng Bom, Thống Nhất, Đồng Nai</v>
          </cell>
          <cell r="D22" t="str">
            <v>0201154321</v>
          </cell>
          <cell r="E22" t="str">
            <v>0201154321</v>
          </cell>
          <cell r="F22" t="str">
            <v>DN4790201154321</v>
          </cell>
          <cell r="G22" t="str">
            <v>26/01/1976</v>
          </cell>
          <cell r="H22" t="str">
            <v>Nam</v>
          </cell>
          <cell r="I22" t="str">
            <v>79 - 036</v>
          </cell>
        </row>
        <row r="23">
          <cell r="B23" t="str">
            <v>Nguyễn Công Sanh</v>
          </cell>
          <cell r="C23" t="str">
            <v>Lương Sơn, Vĩnh Lương, Khánh Hòa</v>
          </cell>
          <cell r="D23" t="str">
            <v>0201154322</v>
          </cell>
          <cell r="E23" t="str">
            <v>0201154322</v>
          </cell>
          <cell r="F23" t="str">
            <v>DN4790201154322</v>
          </cell>
          <cell r="G23" t="str">
            <v>29/11/1973</v>
          </cell>
          <cell r="H23" t="str">
            <v>Nam</v>
          </cell>
          <cell r="I23" t="str">
            <v>56 - 051</v>
          </cell>
        </row>
        <row r="24">
          <cell r="B24" t="str">
            <v>Đinh Thị Hằng</v>
          </cell>
          <cell r="C24" t="str">
            <v>16B5 Huỳnh Hữu Bạc, P4, Q. Tân Bình</v>
          </cell>
          <cell r="D24" t="str">
            <v>0202043272</v>
          </cell>
          <cell r="E24" t="str">
            <v>0202043272</v>
          </cell>
          <cell r="F24" t="str">
            <v>DN4790202043272</v>
          </cell>
          <cell r="G24" t="str">
            <v>19/04/1975</v>
          </cell>
          <cell r="H24" t="str">
            <v>Nữ</v>
          </cell>
          <cell r="I24" t="str">
            <v>79 - 034</v>
          </cell>
        </row>
        <row r="25">
          <cell r="B25" t="str">
            <v>Nguyễn Văn Tươi</v>
          </cell>
          <cell r="C25" t="str">
            <v>161/34Tổ20B HàRa,Vùng 4,Vĩnh Phước, KH</v>
          </cell>
          <cell r="D25" t="str">
            <v>0202043273</v>
          </cell>
          <cell r="E25" t="str">
            <v>0202043273</v>
          </cell>
          <cell r="F25" t="str">
            <v>DN4790202043273</v>
          </cell>
          <cell r="G25" t="str">
            <v>29/01/1979</v>
          </cell>
          <cell r="H25" t="str">
            <v>Nam</v>
          </cell>
          <cell r="I25" t="str">
            <v>56 - 197</v>
          </cell>
        </row>
        <row r="26">
          <cell r="B26" t="str">
            <v>Phan Xuân Thìn</v>
          </cell>
          <cell r="C26" t="str">
            <v>Gia Ray, Xuân Lộc, Đồng Nai</v>
          </cell>
          <cell r="D26" t="str">
            <v>0202043275</v>
          </cell>
          <cell r="E26" t="str">
            <v>0202043275</v>
          </cell>
          <cell r="F26" t="str">
            <v>DN4790202043275</v>
          </cell>
          <cell r="G26" t="str">
            <v>07/10/1978</v>
          </cell>
          <cell r="H26" t="str">
            <v>Nam</v>
          </cell>
          <cell r="I26" t="str">
            <v>75 - 013</v>
          </cell>
        </row>
        <row r="27">
          <cell r="B27" t="str">
            <v>Ngô Thị Loan</v>
          </cell>
          <cell r="C27" t="str">
            <v>158/7/34 Hoàng Hoa Thám,P12,Tân Bình</v>
          </cell>
          <cell r="D27" t="str">
            <v>0202077336</v>
          </cell>
          <cell r="E27" t="str">
            <v>0202077336</v>
          </cell>
          <cell r="F27" t="str">
            <v>DN4790202077336</v>
          </cell>
          <cell r="G27" t="str">
            <v>05/01/1979</v>
          </cell>
          <cell r="H27" t="str">
            <v>Nữ</v>
          </cell>
          <cell r="I27" t="str">
            <v>79 - 034</v>
          </cell>
        </row>
        <row r="28">
          <cell r="B28" t="str">
            <v>Thân Trọng Thảo Vy</v>
          </cell>
          <cell r="C28" t="str">
            <v>18/119/D2 Ng Thị Minh Khai, P Đa Kao, Q1</v>
          </cell>
          <cell r="D28" t="str">
            <v>0202131685</v>
          </cell>
          <cell r="E28" t="str">
            <v>0202131685</v>
          </cell>
          <cell r="F28" t="str">
            <v>DN4790202131685</v>
          </cell>
          <cell r="G28" t="str">
            <v>25/08/1979</v>
          </cell>
          <cell r="H28" t="str">
            <v>Nữ</v>
          </cell>
          <cell r="I28" t="str">
            <v>79 - 025</v>
          </cell>
        </row>
        <row r="29">
          <cell r="B29" t="str">
            <v>Đào Hải Duyên</v>
          </cell>
          <cell r="C29" t="str">
            <v>286/22C An Dương Vương, P13, Q 6</v>
          </cell>
          <cell r="D29" t="str">
            <v>0202131689</v>
          </cell>
          <cell r="E29" t="str">
            <v>0202131689</v>
          </cell>
          <cell r="F29" t="str">
            <v>DN4790202131689</v>
          </cell>
          <cell r="G29" t="str">
            <v>15/01/1978</v>
          </cell>
          <cell r="H29" t="str">
            <v>Nữ</v>
          </cell>
          <cell r="I29" t="str">
            <v>79 - 016</v>
          </cell>
        </row>
        <row r="30">
          <cell r="B30" t="str">
            <v>Nguyễn Hồng Thắng</v>
          </cell>
          <cell r="C30" t="str">
            <v>Đô Vinh,Phan Rang-Tháp Chàm,NThuận</v>
          </cell>
          <cell r="D30" t="str">
            <v>0202131690</v>
          </cell>
          <cell r="E30" t="str">
            <v>0202131690</v>
          </cell>
          <cell r="F30" t="str">
            <v>DN4790202131690</v>
          </cell>
          <cell r="G30" t="str">
            <v>16/11/1979</v>
          </cell>
          <cell r="H30" t="str">
            <v>Nam</v>
          </cell>
          <cell r="I30" t="str">
            <v>79 - 426</v>
          </cell>
        </row>
        <row r="31">
          <cell r="B31" t="str">
            <v>Ngô Thị Thu Hương</v>
          </cell>
          <cell r="C31" t="str">
            <v>285/192 CMT8, p12, q10</v>
          </cell>
          <cell r="D31" t="str">
            <v>0202134210</v>
          </cell>
          <cell r="E31" t="str">
            <v>0202134210</v>
          </cell>
          <cell r="F31" t="str">
            <v>DN4790202134210</v>
          </cell>
          <cell r="G31" t="str">
            <v>26/07/1976</v>
          </cell>
          <cell r="H31" t="str">
            <v>Nữ</v>
          </cell>
          <cell r="I31" t="str">
            <v>79 - 027</v>
          </cell>
        </row>
        <row r="32">
          <cell r="B32" t="str">
            <v>Bùi Nguyễn Trúc Linh</v>
          </cell>
          <cell r="C32" t="str">
            <v>9A Thái Nguyên, Nha Trang, Khánh Hòa</v>
          </cell>
          <cell r="D32" t="str">
            <v>0202189233</v>
          </cell>
          <cell r="E32" t="str">
            <v>0202189233</v>
          </cell>
          <cell r="F32" t="str">
            <v>DN4790202189233</v>
          </cell>
          <cell r="G32" t="str">
            <v>01/01/1978</v>
          </cell>
          <cell r="H32" t="str">
            <v>Nữ</v>
          </cell>
          <cell r="I32" t="str">
            <v>56 - 183</v>
          </cell>
        </row>
        <row r="33">
          <cell r="B33" t="str">
            <v>Lê Thị Hồng Huệ</v>
          </cell>
          <cell r="C33" t="str">
            <v>Đô Vinh, Phan Rang - Tháp Chàm, Ninh Thuận</v>
          </cell>
          <cell r="D33" t="str">
            <v>0202189234</v>
          </cell>
          <cell r="E33" t="str">
            <v>0202189234</v>
          </cell>
          <cell r="F33" t="str">
            <v>DN4790202189234</v>
          </cell>
          <cell r="G33" t="str">
            <v>01/05/1979</v>
          </cell>
          <cell r="H33" t="str">
            <v>Nữ</v>
          </cell>
          <cell r="I33" t="str">
            <v>79 - 030</v>
          </cell>
        </row>
        <row r="34">
          <cell r="B34" t="str">
            <v>Mai Văn Vĩnh</v>
          </cell>
          <cell r="C34" t="str">
            <v>Khu tập thể ĐS , Biên Hòa, Đồng Nai</v>
          </cell>
          <cell r="D34" t="str">
            <v>0203025076</v>
          </cell>
          <cell r="E34" t="str">
            <v>0203025076</v>
          </cell>
          <cell r="F34" t="str">
            <v>DN4790203025076</v>
          </cell>
          <cell r="G34" t="str">
            <v>20/01/1981</v>
          </cell>
          <cell r="H34" t="str">
            <v>Nam</v>
          </cell>
          <cell r="I34" t="str">
            <v>79 - 036</v>
          </cell>
        </row>
        <row r="35">
          <cell r="B35" t="str">
            <v>Đoàn Ngọc Phước</v>
          </cell>
          <cell r="C35" t="str">
            <v>164A Lê Trung Kiên, Tuy Hòa, Phú Yên</v>
          </cell>
          <cell r="D35" t="str">
            <v>0203025077</v>
          </cell>
          <cell r="E35" t="str">
            <v>0203025077</v>
          </cell>
          <cell r="F35" t="str">
            <v>DN4790203025077</v>
          </cell>
          <cell r="G35" t="str">
            <v>14/04/1980</v>
          </cell>
          <cell r="H35" t="str">
            <v>Nam</v>
          </cell>
          <cell r="I35" t="str">
            <v>54 - 162</v>
          </cell>
        </row>
        <row r="36">
          <cell r="B36" t="str">
            <v>Nguyễn Văn An</v>
          </cell>
          <cell r="C36" t="str">
            <v>Yên Nghĩa, ý Yên, Nam Định</v>
          </cell>
          <cell r="D36" t="str">
            <v>0203132462</v>
          </cell>
          <cell r="E36" t="str">
            <v>0203132462</v>
          </cell>
          <cell r="F36" t="str">
            <v>DN4790203132462</v>
          </cell>
          <cell r="G36" t="str">
            <v>07/10/1980</v>
          </cell>
          <cell r="H36" t="str">
            <v>Nam</v>
          </cell>
          <cell r="I36" t="str">
            <v>75 - 012</v>
          </cell>
        </row>
        <row r="37">
          <cell r="B37" t="str">
            <v>Vũ Quang Sáp</v>
          </cell>
          <cell r="C37" t="str">
            <v>519 Phạm Văn Hai, P3, Q. Tân Bình</v>
          </cell>
          <cell r="D37" t="str">
            <v>0203232846</v>
          </cell>
          <cell r="E37" t="str">
            <v>0203232846</v>
          </cell>
          <cell r="F37" t="str">
            <v>DN4790203232846</v>
          </cell>
          <cell r="G37" t="str">
            <v>11/07/1968</v>
          </cell>
          <cell r="H37" t="str">
            <v>Nam</v>
          </cell>
          <cell r="I37" t="str">
            <v>79 - 025</v>
          </cell>
        </row>
        <row r="38">
          <cell r="B38" t="str">
            <v>Trương Hồng Hà</v>
          </cell>
          <cell r="C38" t="str">
            <v>15B Nguyễn Huệ, P2, Tuy Hòa, Phú Yên</v>
          </cell>
          <cell r="D38" t="str">
            <v>0203232847</v>
          </cell>
          <cell r="E38" t="str">
            <v>0203232847</v>
          </cell>
          <cell r="F38" t="str">
            <v>DN4790203232847</v>
          </cell>
          <cell r="G38" t="str">
            <v>02/06/1976</v>
          </cell>
          <cell r="H38" t="str">
            <v>Nam</v>
          </cell>
          <cell r="I38" t="str">
            <v>54 - 162</v>
          </cell>
        </row>
        <row r="39">
          <cell r="B39" t="str">
            <v>Đoàn Thế Thanh Lộc</v>
          </cell>
          <cell r="C39" t="str">
            <v>28/81D Trần Bình Trọng, P1, Q5,TP.HCM</v>
          </cell>
          <cell r="D39" t="str">
            <v>0203309823</v>
          </cell>
          <cell r="E39" t="str">
            <v>0203309823</v>
          </cell>
          <cell r="F39" t="str">
            <v>DN4790203309823</v>
          </cell>
          <cell r="G39" t="str">
            <v>11/04/1984</v>
          </cell>
          <cell r="H39" t="str">
            <v>Nữ</v>
          </cell>
          <cell r="I39" t="str">
            <v>79 - 016</v>
          </cell>
        </row>
        <row r="40">
          <cell r="B40" t="str">
            <v>Trần Văn Hiếu</v>
          </cell>
          <cell r="C40" t="str">
            <v>144/7A Đỗ Văn Sửu, P10, Q5,TP.HCM</v>
          </cell>
          <cell r="D40" t="str">
            <v>0203342926</v>
          </cell>
          <cell r="E40" t="str">
            <v>0203342926</v>
          </cell>
          <cell r="F40" t="str">
            <v>DN4790203342926</v>
          </cell>
          <cell r="G40" t="str">
            <v>30/08/1976</v>
          </cell>
          <cell r="H40" t="str">
            <v>Nam</v>
          </cell>
          <cell r="I40" t="str">
            <v>79 - 037</v>
          </cell>
        </row>
        <row r="41">
          <cell r="B41" t="str">
            <v>Nguyễn Hải Ninh</v>
          </cell>
          <cell r="C41" t="str">
            <v>350Thống Nhất,P Rang-Tháp chàm,Nthuận</v>
          </cell>
          <cell r="D41" t="str">
            <v>0203342927</v>
          </cell>
          <cell r="E41" t="str">
            <v>0203342927</v>
          </cell>
          <cell r="F41" t="str">
            <v>DN4790203342927</v>
          </cell>
          <cell r="G41" t="str">
            <v>22/04/1979</v>
          </cell>
          <cell r="H41" t="str">
            <v>Nam</v>
          </cell>
          <cell r="I41" t="str">
            <v>79 - 025</v>
          </cell>
        </row>
        <row r="42">
          <cell r="B42" t="str">
            <v>Nguyễn Thu Thanh</v>
          </cell>
          <cell r="C42" t="str">
            <v>Tuy Hòa Phú Yên</v>
          </cell>
          <cell r="D42" t="str">
            <v>0204240923</v>
          </cell>
          <cell r="E42" t="str">
            <v>0204240923</v>
          </cell>
          <cell r="F42" t="str">
            <v>DN4790204240923</v>
          </cell>
          <cell r="G42" t="str">
            <v>15/12/1981</v>
          </cell>
          <cell r="H42" t="str">
            <v>Nữ</v>
          </cell>
          <cell r="I42" t="str">
            <v>54 - 162</v>
          </cell>
        </row>
        <row r="43">
          <cell r="B43" t="str">
            <v>Nguyễn Thị Phương</v>
          </cell>
          <cell r="C43" t="str">
            <v>12/19A KP4,  Hiệp Bình Chánh,  Thủ Đức</v>
          </cell>
          <cell r="D43" t="str">
            <v>0204240924</v>
          </cell>
          <cell r="E43" t="str">
            <v>0204240924</v>
          </cell>
          <cell r="F43" t="str">
            <v>DN4790204240924</v>
          </cell>
          <cell r="G43" t="str">
            <v>30/10/1978</v>
          </cell>
          <cell r="H43" t="str">
            <v>Nữ</v>
          </cell>
          <cell r="I43" t="str">
            <v>79 - 034</v>
          </cell>
        </row>
        <row r="44">
          <cell r="B44" t="str">
            <v>Phạm Tương Long Bảo</v>
          </cell>
          <cell r="C44" t="str">
            <v>KP5</v>
          </cell>
          <cell r="D44" t="str">
            <v>0204284991</v>
          </cell>
          <cell r="E44" t="str">
            <v>0204284991</v>
          </cell>
          <cell r="F44" t="str">
            <v>DN4790204284991</v>
          </cell>
          <cell r="G44" t="str">
            <v>03/05/1981</v>
          </cell>
          <cell r="H44" t="str">
            <v>Nam</v>
          </cell>
          <cell r="I44" t="str">
            <v>58 - 114</v>
          </cell>
        </row>
        <row r="45">
          <cell r="B45" t="str">
            <v>Đoàn Duy Khang</v>
          </cell>
          <cell r="C45" t="str">
            <v>23 Trần Phú, Xuân An, Long Khánh, ĐNai</v>
          </cell>
          <cell r="D45" t="str">
            <v>0204284992</v>
          </cell>
          <cell r="E45" t="str">
            <v>0204284992</v>
          </cell>
          <cell r="F45" t="str">
            <v>DN4790204284992</v>
          </cell>
          <cell r="G45" t="str">
            <v>12/12/1981</v>
          </cell>
          <cell r="H45" t="str">
            <v>Nam</v>
          </cell>
          <cell r="I45" t="str">
            <v>79 - 034</v>
          </cell>
        </row>
        <row r="46">
          <cell r="B46" t="str">
            <v>Nguyễn Minh Phương</v>
          </cell>
          <cell r="C46" t="str">
            <v>Thái Nguyên, Phước Tân, Nha Trang</v>
          </cell>
          <cell r="D46" t="str">
            <v>0204284993</v>
          </cell>
          <cell r="E46" t="str">
            <v>0204284993</v>
          </cell>
          <cell r="F46" t="str">
            <v>DN4790204284993</v>
          </cell>
          <cell r="G46" t="str">
            <v>02/09/1980</v>
          </cell>
          <cell r="H46" t="str">
            <v>Nam</v>
          </cell>
          <cell r="I46" t="str">
            <v>56 - 012</v>
          </cell>
        </row>
        <row r="47">
          <cell r="B47" t="str">
            <v>Phạm Hà Lan Viên</v>
          </cell>
          <cell r="C47" t="str">
            <v>21/10 đường số 4, KP2, HBC, thủ đức</v>
          </cell>
          <cell r="D47" t="str">
            <v>0204354518</v>
          </cell>
          <cell r="E47" t="str">
            <v>0204354518</v>
          </cell>
          <cell r="F47" t="str">
            <v>DN4790204354518</v>
          </cell>
          <cell r="G47" t="str">
            <v>08/02/1980</v>
          </cell>
          <cell r="H47" t="str">
            <v>Nữ</v>
          </cell>
          <cell r="I47" t="str">
            <v>79 - 031</v>
          </cell>
        </row>
        <row r="48">
          <cell r="B48" t="str">
            <v>Lưu Đức Thắng</v>
          </cell>
          <cell r="C48" t="str">
            <v>11/5 Nguyễn Hồng Sơn, Nha Trang, KH</v>
          </cell>
          <cell r="D48" t="str">
            <v>0205191570</v>
          </cell>
          <cell r="E48" t="str">
            <v>0205191570</v>
          </cell>
          <cell r="F48" t="str">
            <v>DN4790205191570</v>
          </cell>
          <cell r="G48" t="str">
            <v>23/05/1984</v>
          </cell>
          <cell r="H48" t="str">
            <v>Nam</v>
          </cell>
          <cell r="I48" t="str">
            <v>56 - 177</v>
          </cell>
        </row>
        <row r="49">
          <cell r="B49" t="str">
            <v>Trần Thị Ái Phương</v>
          </cell>
          <cell r="C49" t="str">
            <v>265 CMT8, P. Hoa Lư, Tp. Pleiku</v>
          </cell>
          <cell r="D49" t="str">
            <v>0205191572</v>
          </cell>
          <cell r="E49" t="str">
            <v>0205191572</v>
          </cell>
          <cell r="F49" t="str">
            <v>DN4790205191572</v>
          </cell>
          <cell r="G49" t="str">
            <v>22/01/1984</v>
          </cell>
          <cell r="H49" t="str">
            <v>Nữ</v>
          </cell>
          <cell r="I49" t="str">
            <v>79 - 036</v>
          </cell>
        </row>
        <row r="50">
          <cell r="B50" t="str">
            <v>Trần Thụy Diễm Hằng</v>
          </cell>
          <cell r="C50" t="str">
            <v>15 Nguyễn Sắc Kim,Phù Thuỷ, Pthiết</v>
          </cell>
          <cell r="D50" t="str">
            <v>0205274494</v>
          </cell>
          <cell r="E50" t="str">
            <v>0205274494</v>
          </cell>
          <cell r="F50" t="str">
            <v>DN4790205274494</v>
          </cell>
          <cell r="G50" t="str">
            <v>26/09/1981</v>
          </cell>
          <cell r="H50" t="str">
            <v>Nữ</v>
          </cell>
          <cell r="I50" t="str">
            <v>79 - 028</v>
          </cell>
        </row>
        <row r="51">
          <cell r="B51" t="str">
            <v>Trịnh Thế Anh</v>
          </cell>
          <cell r="C51" t="str">
            <v>KP5, ấp2, An Hòa, Long Thành, Đồng Nai</v>
          </cell>
          <cell r="D51" t="str">
            <v>0205274495</v>
          </cell>
          <cell r="E51" t="str">
            <v>0205274495</v>
          </cell>
          <cell r="F51" t="str">
            <v>DN4790205274495</v>
          </cell>
          <cell r="G51" t="str">
            <v>26/09/1981</v>
          </cell>
          <cell r="H51" t="str">
            <v>Nam</v>
          </cell>
          <cell r="I51" t="str">
            <v>79 - 034</v>
          </cell>
        </row>
        <row r="52">
          <cell r="B52" t="str">
            <v>Trần Thanh Tùng</v>
          </cell>
          <cell r="C52" t="str">
            <v>268/1C Lý Thái Tổ</v>
          </cell>
          <cell r="D52" t="str">
            <v>0205320646</v>
          </cell>
          <cell r="E52" t="str">
            <v>0205320646</v>
          </cell>
          <cell r="F52" t="str">
            <v>DN4790205320646</v>
          </cell>
          <cell r="G52" t="str">
            <v>23/09/1978</v>
          </cell>
          <cell r="H52" t="str">
            <v>Nam</v>
          </cell>
          <cell r="I52" t="str">
            <v>79 - 030</v>
          </cell>
        </row>
        <row r="53">
          <cell r="B53" t="str">
            <v>Phạm Văn Tài</v>
          </cell>
          <cell r="C53" t="str">
            <v>Aỏp 2, Tam Phước ,Chân Thành, Bến Tre</v>
          </cell>
          <cell r="D53" t="str">
            <v>0205365145</v>
          </cell>
          <cell r="E53" t="str">
            <v>0205365145</v>
          </cell>
          <cell r="F53" t="str">
            <v>DN4790205365145</v>
          </cell>
          <cell r="G53" t="str">
            <v>30/04/1984</v>
          </cell>
          <cell r="H53" t="str">
            <v>Nam</v>
          </cell>
          <cell r="I53" t="str">
            <v>79 - 016</v>
          </cell>
        </row>
        <row r="54">
          <cell r="B54" t="str">
            <v>Trần Anh Tuấn</v>
          </cell>
          <cell r="C54" t="str">
            <v>Tổ 9, khối 11, Phường Cửa Nam, Vinh</v>
          </cell>
          <cell r="D54" t="str">
            <v>0206409282</v>
          </cell>
          <cell r="E54" t="str">
            <v>0206409282</v>
          </cell>
          <cell r="F54" t="str">
            <v>DN4790206409282</v>
          </cell>
          <cell r="G54" t="str">
            <v>24/09/1983</v>
          </cell>
          <cell r="H54" t="str">
            <v>Nam</v>
          </cell>
          <cell r="I54" t="str">
            <v>79 - 031</v>
          </cell>
        </row>
        <row r="55">
          <cell r="B55" t="str">
            <v>Đào Xuân Đông</v>
          </cell>
          <cell r="C55" t="str">
            <v>51 tổ 19, Trung Sơn, Tam Điệp, Ninh Bình</v>
          </cell>
          <cell r="D55" t="str">
            <v>0206409284</v>
          </cell>
          <cell r="E55" t="str">
            <v>0206409284</v>
          </cell>
          <cell r="F55" t="str">
            <v>DN4790206409284</v>
          </cell>
          <cell r="G55" t="str">
            <v>20/02/1982</v>
          </cell>
          <cell r="H55" t="str">
            <v>Nam</v>
          </cell>
          <cell r="I55" t="str">
            <v>79 - 034</v>
          </cell>
        </row>
        <row r="56">
          <cell r="B56" t="str">
            <v>Mai Văn Hiệp</v>
          </cell>
          <cell r="C56" t="str">
            <v>Nga Lĩnh, Nga Sơn, Thanh Hóa</v>
          </cell>
          <cell r="D56" t="str">
            <v>0207070504</v>
          </cell>
          <cell r="E56" t="str">
            <v>0207070504</v>
          </cell>
          <cell r="F56" t="str">
            <v>DN4790207070504</v>
          </cell>
          <cell r="G56" t="str">
            <v>10/08/1981</v>
          </cell>
          <cell r="H56" t="str">
            <v>Nam</v>
          </cell>
          <cell r="I56" t="str">
            <v>56 - 183</v>
          </cell>
        </row>
        <row r="57">
          <cell r="B57" t="str">
            <v>Nguyễn Thị Thu Vân</v>
          </cell>
          <cell r="C57" t="str">
            <v>24A Cao Thắng, Bình Hưng, Phan Thiết</v>
          </cell>
          <cell r="D57" t="str">
            <v>0207099197</v>
          </cell>
          <cell r="E57" t="str">
            <v>0207099197</v>
          </cell>
          <cell r="F57" t="str">
            <v>DN4790207099197</v>
          </cell>
          <cell r="G57" t="str">
            <v>22/12/1982</v>
          </cell>
          <cell r="H57" t="str">
            <v>Nữ</v>
          </cell>
          <cell r="I57" t="str">
            <v>79 - 025</v>
          </cell>
        </row>
        <row r="58">
          <cell r="B58" t="str">
            <v>Nguyễn Thị Tài</v>
          </cell>
          <cell r="C58" t="str">
            <v>Thôn Hữu Thượng,Yên Mỹ,ý Yên,N.Định</v>
          </cell>
          <cell r="D58" t="str">
            <v>0207136928</v>
          </cell>
          <cell r="E58" t="str">
            <v>0207136928</v>
          </cell>
          <cell r="F58" t="str">
            <v>DN4790207136928</v>
          </cell>
          <cell r="G58" t="str">
            <v>10/10/1985</v>
          </cell>
          <cell r="H58" t="str">
            <v>Nữ</v>
          </cell>
          <cell r="I58" t="str">
            <v>79 - 037</v>
          </cell>
        </row>
        <row r="59">
          <cell r="B59" t="str">
            <v>Nguyễn Khải Thuận</v>
          </cell>
          <cell r="C59" t="str">
            <v>Khóm 6, Ba Ngòi, Cam Ranh, Khánh Hòa</v>
          </cell>
          <cell r="D59" t="str">
            <v>0207173267</v>
          </cell>
          <cell r="E59" t="str">
            <v>0207173267</v>
          </cell>
          <cell r="F59" t="str">
            <v>DN4790207173267</v>
          </cell>
          <cell r="G59" t="str">
            <v>10/04/1983</v>
          </cell>
          <cell r="H59" t="str">
            <v>Nam</v>
          </cell>
          <cell r="I59" t="str">
            <v>79 - 025</v>
          </cell>
        </row>
        <row r="60">
          <cell r="B60" t="str">
            <v>Nguyễn Đức Vũ</v>
          </cell>
          <cell r="C60" t="str">
            <v>Lãnh Vân,Xuân Lãnh, Đồng Xuân,Phú Yên</v>
          </cell>
          <cell r="D60" t="str">
            <v>0207244784</v>
          </cell>
          <cell r="E60" t="str">
            <v>0207244784</v>
          </cell>
          <cell r="F60" t="str">
            <v>DN4790207244784</v>
          </cell>
          <cell r="G60" t="str">
            <v>16/03/1985</v>
          </cell>
          <cell r="H60" t="str">
            <v>Nam</v>
          </cell>
          <cell r="I60" t="str">
            <v>56 - 001</v>
          </cell>
        </row>
        <row r="61">
          <cell r="B61" t="str">
            <v>Lê Quang Tùng</v>
          </cell>
          <cell r="C61" t="str">
            <v>Đô Vinh, Phan Rang, Tháp Chàm,Ninh Thuận</v>
          </cell>
          <cell r="D61" t="str">
            <v>0207244785</v>
          </cell>
          <cell r="E61" t="str">
            <v>0207244785</v>
          </cell>
          <cell r="F61" t="str">
            <v>DN4790207244785</v>
          </cell>
          <cell r="G61" t="str">
            <v>24/08/1986</v>
          </cell>
          <cell r="H61" t="str">
            <v>Nam</v>
          </cell>
          <cell r="I61" t="str">
            <v>58 - 114</v>
          </cell>
        </row>
        <row r="62">
          <cell r="B62" t="str">
            <v>Võ Ngọc Trai</v>
          </cell>
          <cell r="C62" t="str">
            <v>Nghĩa Phương, Tư Nghĩa, Quảng Ngãi</v>
          </cell>
          <cell r="D62" t="str">
            <v>0207244786</v>
          </cell>
          <cell r="E62" t="str">
            <v>0207244786</v>
          </cell>
          <cell r="F62" t="str">
            <v>DN4790207244786</v>
          </cell>
          <cell r="G62" t="str">
            <v>30/12/1982</v>
          </cell>
          <cell r="H62" t="str">
            <v>Nam</v>
          </cell>
          <cell r="I62" t="str">
            <v>60 - 004</v>
          </cell>
        </row>
        <row r="63">
          <cell r="B63" t="str">
            <v>Nguyễn Tài Phú</v>
          </cell>
          <cell r="C63" t="str">
            <v>Tổ 10, Thạch Bàn, Long Biên, Hà Nội</v>
          </cell>
          <cell r="D63" t="str">
            <v>0207277163</v>
          </cell>
          <cell r="E63" t="str">
            <v>0207277163</v>
          </cell>
          <cell r="F63" t="str">
            <v>DN4790207277163</v>
          </cell>
          <cell r="G63" t="str">
            <v>20/10/1983</v>
          </cell>
          <cell r="H63" t="str">
            <v>Nam</v>
          </cell>
          <cell r="I63" t="str">
            <v>79 - 034</v>
          </cell>
        </row>
        <row r="64">
          <cell r="B64" t="str">
            <v>Trần Thanh Hà</v>
          </cell>
          <cell r="C64" t="str">
            <v>508/11 cách mạng tháng 8, p11, q3</v>
          </cell>
          <cell r="D64" t="str">
            <v>0296168605</v>
          </cell>
          <cell r="E64" t="str">
            <v>0296168605</v>
          </cell>
          <cell r="F64" t="str">
            <v>DN4790296168605</v>
          </cell>
          <cell r="G64" t="str">
            <v>28/04/1963</v>
          </cell>
          <cell r="H64" t="str">
            <v>Nam</v>
          </cell>
          <cell r="I64" t="str">
            <v>79 - 024</v>
          </cell>
        </row>
        <row r="65">
          <cell r="B65" t="str">
            <v>Huỳnh Trọng Hiệp</v>
          </cell>
          <cell r="C65" t="str">
            <v>164 Bạch Đằng, P24, Q. Bình Thạnh .</v>
          </cell>
          <cell r="D65" t="str">
            <v>0296289146</v>
          </cell>
          <cell r="E65" t="str">
            <v>0296289146</v>
          </cell>
          <cell r="F65" t="str">
            <v>DN4790296289146</v>
          </cell>
          <cell r="G65" t="str">
            <v>07/03/1970</v>
          </cell>
          <cell r="H65" t="str">
            <v>Nam</v>
          </cell>
          <cell r="I65" t="str">
            <v>79 - 024</v>
          </cell>
        </row>
        <row r="66">
          <cell r="B66" t="str">
            <v>Nguyễn Văn Bản</v>
          </cell>
          <cell r="C66" t="str">
            <v>11C Khu tập thể ĐS Bình Triệu, Q. Thủ Đức</v>
          </cell>
          <cell r="D66" t="str">
            <v>0296289161</v>
          </cell>
          <cell r="E66" t="str">
            <v>0296289161</v>
          </cell>
          <cell r="F66" t="str">
            <v>DN4790296289161</v>
          </cell>
          <cell r="G66" t="str">
            <v>16/03/1967</v>
          </cell>
          <cell r="H66" t="str">
            <v>Nam</v>
          </cell>
          <cell r="I66" t="str">
            <v>79 - 536</v>
          </cell>
        </row>
        <row r="67">
          <cell r="B67" t="str">
            <v>Trương Quang Hải</v>
          </cell>
          <cell r="C67" t="str">
            <v>K3 Ba Ngòi, Nha Trang, Khánh Hòa</v>
          </cell>
          <cell r="D67" t="str">
            <v>0296289179</v>
          </cell>
          <cell r="E67" t="str">
            <v>0296289179</v>
          </cell>
          <cell r="F67" t="str">
            <v>DN4790296289179</v>
          </cell>
          <cell r="G67" t="str">
            <v>08/11/1968</v>
          </cell>
          <cell r="H67" t="str">
            <v>Nam</v>
          </cell>
          <cell r="I67" t="str">
            <v>56 - 001</v>
          </cell>
        </row>
        <row r="68">
          <cell r="B68" t="str">
            <v>Đinh Văn Phước</v>
          </cell>
          <cell r="C68" t="str">
            <v>Vĩnh Lương, Nha Trang,Khánh Hòa</v>
          </cell>
          <cell r="D68" t="str">
            <v>0296289203</v>
          </cell>
          <cell r="E68" t="str">
            <v>0296289203</v>
          </cell>
          <cell r="F68" t="str">
            <v>DN4790296289203</v>
          </cell>
          <cell r="G68" t="str">
            <v>23/08/1968</v>
          </cell>
          <cell r="H68" t="str">
            <v>Nam</v>
          </cell>
          <cell r="I68" t="str">
            <v>56 - 001</v>
          </cell>
        </row>
        <row r="69">
          <cell r="B69" t="str">
            <v>Trần Dự Sang</v>
          </cell>
          <cell r="C69" t="str">
            <v>70/25 đường 2-4 Nha Trang , Khánh Hòa</v>
          </cell>
          <cell r="D69" t="str">
            <v>0296289210</v>
          </cell>
          <cell r="E69" t="str">
            <v>0296289210</v>
          </cell>
          <cell r="F69" t="str">
            <v>DN4790296289210</v>
          </cell>
          <cell r="G69" t="str">
            <v>20/01/1971</v>
          </cell>
          <cell r="H69" t="str">
            <v>Nam</v>
          </cell>
          <cell r="I69" t="str">
            <v>56 - 177</v>
          </cell>
        </row>
        <row r="70">
          <cell r="B70" t="str">
            <v>Võ Thanh Đồng</v>
          </cell>
          <cell r="C70" t="str">
            <v>T1, TT.Ninh Hòa, Khánh Hòa</v>
          </cell>
          <cell r="D70" t="str">
            <v>0296289224</v>
          </cell>
          <cell r="E70" t="str">
            <v>0296289224</v>
          </cell>
          <cell r="F70" t="str">
            <v>DN4790296289224</v>
          </cell>
          <cell r="G70" t="str">
            <v>01/02/1971</v>
          </cell>
          <cell r="H70" t="str">
            <v>Nam</v>
          </cell>
          <cell r="I70" t="str">
            <v>56 - 003</v>
          </cell>
        </row>
        <row r="71">
          <cell r="B71" t="str">
            <v>Nguyễn Trung Dũng</v>
          </cell>
          <cell r="C71" t="str">
            <v>51/364c quang trung, Phường 12, Quận Gò Vấp, Thành phố Hồ Chí Minh</v>
          </cell>
          <cell r="D71" t="str">
            <v>0296289240</v>
          </cell>
          <cell r="E71" t="str">
            <v>0296289240</v>
          </cell>
          <cell r="F71" t="str">
            <v>DN4790296289240</v>
          </cell>
          <cell r="G71" t="str">
            <v>20/10/1972</v>
          </cell>
          <cell r="H71" t="str">
            <v>Nam</v>
          </cell>
          <cell r="I71" t="str">
            <v>79 - 029</v>
          </cell>
        </row>
        <row r="72">
          <cell r="B72" t="str">
            <v>Nguyễn Du</v>
          </cell>
          <cell r="C72" t="str">
            <v>Quảng Tiến, Thống Nhất, Đồng Nai</v>
          </cell>
          <cell r="D72" t="str">
            <v>0296289257</v>
          </cell>
          <cell r="E72" t="str">
            <v>0296289257</v>
          </cell>
          <cell r="F72" t="str">
            <v>DN4790296289257</v>
          </cell>
          <cell r="G72" t="str">
            <v>10/06/1972</v>
          </cell>
          <cell r="H72" t="str">
            <v>Nam</v>
          </cell>
          <cell r="I72" t="str">
            <v>75 - 012</v>
          </cell>
        </row>
        <row r="73">
          <cell r="B73" t="str">
            <v>Tống Công Thăng</v>
          </cell>
          <cell r="C73" t="str">
            <v>Xuân Trường, Xuân Lộc, Đồng Nai</v>
          </cell>
          <cell r="D73" t="str">
            <v>0296289269</v>
          </cell>
          <cell r="E73" t="str">
            <v>0296289269</v>
          </cell>
          <cell r="F73" t="str">
            <v>DN4790296289269</v>
          </cell>
          <cell r="G73" t="str">
            <v>12/03/1972</v>
          </cell>
          <cell r="H73" t="str">
            <v>Nam</v>
          </cell>
          <cell r="I73" t="str">
            <v>75 - 013</v>
          </cell>
        </row>
        <row r="74">
          <cell r="B74" t="str">
            <v>Đồng Thành Đoàn</v>
          </cell>
          <cell r="C74" t="str">
            <v>23 Trần Phú, Long Khánh, Đồng Nai</v>
          </cell>
          <cell r="D74" t="str">
            <v>0296289270</v>
          </cell>
          <cell r="E74" t="str">
            <v>0296289270</v>
          </cell>
          <cell r="F74" t="str">
            <v>DN4790296289270</v>
          </cell>
          <cell r="G74" t="str">
            <v>26/03/1975</v>
          </cell>
          <cell r="H74" t="str">
            <v>Nam</v>
          </cell>
          <cell r="I74" t="str">
            <v>60 - 040</v>
          </cell>
        </row>
        <row r="75">
          <cell r="B75" t="str">
            <v>Nguyễn Văn Tình</v>
          </cell>
          <cell r="C75" t="str">
            <v>Xuân Thành, Xuân Lộc, Đồng Nai</v>
          </cell>
          <cell r="D75" t="str">
            <v>0296289272</v>
          </cell>
          <cell r="E75" t="str">
            <v>0296289272</v>
          </cell>
          <cell r="F75" t="str">
            <v>DN4790296289272</v>
          </cell>
          <cell r="G75" t="str">
            <v>26/03/1972</v>
          </cell>
          <cell r="H75" t="str">
            <v>Nam</v>
          </cell>
          <cell r="I75" t="str">
            <v>75 - 013</v>
          </cell>
        </row>
        <row r="76">
          <cell r="B76" t="str">
            <v>Thái Hoàng Huy</v>
          </cell>
          <cell r="C76" t="str">
            <v>Suối Kiết, Tánh Linh, Bình Thuận</v>
          </cell>
          <cell r="D76" t="str">
            <v>0296289277</v>
          </cell>
          <cell r="E76" t="str">
            <v>0296289277</v>
          </cell>
          <cell r="F76" t="str">
            <v>DN4790296289277</v>
          </cell>
          <cell r="G76" t="str">
            <v>15/12/1970</v>
          </cell>
          <cell r="H76" t="str">
            <v>Nam</v>
          </cell>
          <cell r="I76" t="str">
            <v>60 - 013</v>
          </cell>
        </row>
        <row r="77">
          <cell r="B77" t="str">
            <v>Phạm Văn Huyên</v>
          </cell>
          <cell r="C77" t="str">
            <v>Gia Ray, Xuân Lộc, Đồng Nai</v>
          </cell>
          <cell r="D77" t="str">
            <v>0296289279</v>
          </cell>
          <cell r="E77" t="str">
            <v>0296289279</v>
          </cell>
          <cell r="F77" t="str">
            <v>DN4790296289279</v>
          </cell>
          <cell r="G77" t="str">
            <v>23/06/1976</v>
          </cell>
          <cell r="H77" t="str">
            <v>Nam</v>
          </cell>
          <cell r="I77" t="str">
            <v>79 - 034</v>
          </cell>
        </row>
        <row r="78">
          <cell r="B78" t="str">
            <v>Nguyễn Văn Thái</v>
          </cell>
          <cell r="C78" t="str">
            <v>Suối Cao, Xuân Lộc, Đồng Nai</v>
          </cell>
          <cell r="D78" t="str">
            <v>0296289280</v>
          </cell>
          <cell r="E78" t="str">
            <v>0296289280</v>
          </cell>
          <cell r="F78" t="str">
            <v>DN4790296289280</v>
          </cell>
          <cell r="G78" t="str">
            <v>10/11/1973</v>
          </cell>
          <cell r="H78" t="str">
            <v>Nam</v>
          </cell>
          <cell r="I78" t="str">
            <v>75 - 013</v>
          </cell>
        </row>
        <row r="79">
          <cell r="B79" t="str">
            <v>Phạm Xuân Bình</v>
          </cell>
          <cell r="C79" t="str">
            <v>Tân Nghĩa, Hàm Tân, Bình Thuận</v>
          </cell>
          <cell r="D79" t="str">
            <v>0296289285</v>
          </cell>
          <cell r="E79" t="str">
            <v>0296289285</v>
          </cell>
          <cell r="F79" t="str">
            <v>DN4790296289285</v>
          </cell>
          <cell r="G79" t="str">
            <v>02/01/1972</v>
          </cell>
          <cell r="H79" t="str">
            <v>Nam</v>
          </cell>
          <cell r="I79" t="str">
            <v>60 - 019</v>
          </cell>
        </row>
        <row r="80">
          <cell r="B80" t="str">
            <v>Nguyễn Xuân Long</v>
          </cell>
          <cell r="C80" t="str">
            <v>29/11 Nhị Đồng, Dĩ An, Bình Dương</v>
          </cell>
          <cell r="D80" t="str">
            <v>0296289296</v>
          </cell>
          <cell r="E80" t="str">
            <v>0296289296</v>
          </cell>
          <cell r="F80" t="str">
            <v>DN4790296289296</v>
          </cell>
          <cell r="G80" t="str">
            <v>20/01/1970</v>
          </cell>
          <cell r="H80" t="str">
            <v>Nam</v>
          </cell>
          <cell r="I80" t="str">
            <v>79 - 037</v>
          </cell>
        </row>
        <row r="81">
          <cell r="B81" t="str">
            <v>Phạm Hồng Sơn</v>
          </cell>
          <cell r="C81" t="str">
            <v>Chí Thạnh, Tuy An, Phú Yên</v>
          </cell>
          <cell r="D81" t="str">
            <v>0296289316</v>
          </cell>
          <cell r="E81" t="str">
            <v>0296289316</v>
          </cell>
          <cell r="F81" t="str">
            <v>DN4790296289316</v>
          </cell>
          <cell r="G81" t="str">
            <v>17/12/1969</v>
          </cell>
          <cell r="H81" t="str">
            <v>Nam</v>
          </cell>
          <cell r="I81" t="str">
            <v>54 - 030</v>
          </cell>
        </row>
        <row r="82">
          <cell r="B82" t="str">
            <v>Đặng Văn Long</v>
          </cell>
          <cell r="C82" t="str">
            <v>87 Lê Trung Kiên, Tuy Hòa, Phú Yên</v>
          </cell>
          <cell r="D82" t="str">
            <v>0296289317</v>
          </cell>
          <cell r="E82" t="str">
            <v>0296289317</v>
          </cell>
          <cell r="F82" t="str">
            <v>DN4790296289317</v>
          </cell>
          <cell r="G82" t="str">
            <v>22/08/1970</v>
          </cell>
          <cell r="H82" t="str">
            <v>Nam</v>
          </cell>
          <cell r="I82" t="str">
            <v>54 - 033</v>
          </cell>
        </row>
        <row r="83">
          <cell r="B83" t="str">
            <v>Phạm Văn Dũng</v>
          </cell>
          <cell r="C83" t="str">
            <v>144/7C/13 XVNT, P15, Q.Bình Thạnh</v>
          </cell>
          <cell r="D83" t="str">
            <v>0296289342</v>
          </cell>
          <cell r="E83" t="str">
            <v>0296289342</v>
          </cell>
          <cell r="F83" t="str">
            <v>DN4790296289342</v>
          </cell>
          <cell r="G83" t="str">
            <v>06/08/1963</v>
          </cell>
          <cell r="H83" t="str">
            <v>Nam</v>
          </cell>
          <cell r="I83" t="str">
            <v>79 - 025</v>
          </cell>
        </row>
        <row r="84">
          <cell r="B84" t="str">
            <v>Uông Nhật Phương</v>
          </cell>
          <cell r="C84" t="str">
            <v>Đô Vinh, Phan Rang  Tháp Chàm, Ninh Thuận</v>
          </cell>
          <cell r="D84" t="str">
            <v>0296289345</v>
          </cell>
          <cell r="E84" t="str">
            <v>0296289345</v>
          </cell>
          <cell r="F84" t="str">
            <v>DN4790296289345</v>
          </cell>
          <cell r="G84" t="str">
            <v>30/10/1974</v>
          </cell>
          <cell r="H84" t="str">
            <v>Nam</v>
          </cell>
          <cell r="I84" t="str">
            <v>79 - 034</v>
          </cell>
        </row>
        <row r="85">
          <cell r="B85" t="str">
            <v>Nguyễn Thị Minh Loan</v>
          </cell>
          <cell r="C85" t="str">
            <v>Đô Vinh, Phan Rang Tháp Chàm, Ninh Thuận</v>
          </cell>
          <cell r="D85" t="str">
            <v>0296289351</v>
          </cell>
          <cell r="E85" t="str">
            <v>0296289351</v>
          </cell>
          <cell r="F85" t="str">
            <v>DN4790296289351</v>
          </cell>
          <cell r="G85" t="str">
            <v>13/01/1976</v>
          </cell>
          <cell r="H85" t="str">
            <v>Nữ</v>
          </cell>
          <cell r="I85" t="str">
            <v>58 - 114</v>
          </cell>
        </row>
        <row r="86">
          <cell r="B86" t="str">
            <v>Phạm Công Thành</v>
          </cell>
          <cell r="C86" t="str">
            <v>409 Lô B C/c Sơn Kỳ</v>
          </cell>
          <cell r="D86" t="str">
            <v>0296289360</v>
          </cell>
          <cell r="E86" t="str">
            <v>0296289360</v>
          </cell>
          <cell r="F86" t="str">
            <v>DN4790296289360</v>
          </cell>
          <cell r="G86" t="str">
            <v>03/08/1969</v>
          </cell>
          <cell r="H86" t="str">
            <v>Nam</v>
          </cell>
          <cell r="I86" t="str">
            <v>79 - 025</v>
          </cell>
        </row>
        <row r="87">
          <cell r="B87" t="str">
            <v>Đỗ Xuân Ninh</v>
          </cell>
          <cell r="C87" t="str">
            <v>Hải Ninh, Bắc Bình, Bình Thuận</v>
          </cell>
          <cell r="D87" t="str">
            <v>0296289373</v>
          </cell>
          <cell r="E87" t="str">
            <v>0296289373</v>
          </cell>
          <cell r="F87" t="str">
            <v>DN4790296289373</v>
          </cell>
          <cell r="G87" t="str">
            <v>18/08/1971</v>
          </cell>
          <cell r="H87" t="str">
            <v>Nam</v>
          </cell>
          <cell r="I87" t="str">
            <v>60 - 004</v>
          </cell>
        </row>
        <row r="88">
          <cell r="B88" t="str">
            <v>Đậu Trường Thành</v>
          </cell>
          <cell r="C88" t="str">
            <v>Phước Mỹ, Phan Rang- Tháp Chàm, Ninh Thuận</v>
          </cell>
          <cell r="D88" t="str">
            <v>0296289386</v>
          </cell>
          <cell r="E88" t="str">
            <v>0296289386</v>
          </cell>
          <cell r="F88" t="str">
            <v>DN4790296289386</v>
          </cell>
          <cell r="G88" t="str">
            <v>14/07/1967</v>
          </cell>
          <cell r="H88" t="str">
            <v>Nam</v>
          </cell>
          <cell r="I88" t="str">
            <v>79 - 009</v>
          </cell>
        </row>
        <row r="89">
          <cell r="B89" t="str">
            <v>Phan Quý Mạnh</v>
          </cell>
          <cell r="C89" t="str">
            <v>Công Hải, Ninh hải, Ninh Thuận</v>
          </cell>
          <cell r="D89" t="str">
            <v>0296289388</v>
          </cell>
          <cell r="E89" t="str">
            <v>0296289388</v>
          </cell>
          <cell r="F89" t="str">
            <v>DN4790296289388</v>
          </cell>
          <cell r="G89" t="str">
            <v>11/06/1970</v>
          </cell>
          <cell r="H89" t="str">
            <v>Nam</v>
          </cell>
          <cell r="I89" t="str">
            <v>58 - 007</v>
          </cell>
        </row>
        <row r="90">
          <cell r="B90" t="str">
            <v>Lý Tiến Sỹ</v>
          </cell>
          <cell r="C90" t="str">
            <v>Đô Vinh, Phan Rang - Tháp Chàm, Ninh Thuận</v>
          </cell>
          <cell r="D90" t="str">
            <v>0296289390</v>
          </cell>
          <cell r="E90" t="str">
            <v>0296289390</v>
          </cell>
          <cell r="F90" t="str">
            <v>DN4790296289390</v>
          </cell>
          <cell r="G90" t="str">
            <v>15/10/1972</v>
          </cell>
          <cell r="H90" t="str">
            <v>Nam</v>
          </cell>
          <cell r="I90" t="str">
            <v>58 - 001</v>
          </cell>
        </row>
        <row r="91">
          <cell r="B91" t="str">
            <v>Dương Việt Hằng</v>
          </cell>
          <cell r="C91" t="str">
            <v>81/16 Tổ 8 khu phố 4A</v>
          </cell>
          <cell r="D91" t="str">
            <v>0296289400</v>
          </cell>
          <cell r="E91" t="str">
            <v>0296289400</v>
          </cell>
          <cell r="F91" t="str">
            <v>DN4790296289400</v>
          </cell>
          <cell r="G91" t="str">
            <v>02/08/1973</v>
          </cell>
          <cell r="H91" t="str">
            <v>Nữ</v>
          </cell>
          <cell r="I91" t="str">
            <v>79 - 035</v>
          </cell>
        </row>
        <row r="92">
          <cell r="B92" t="str">
            <v>Phan Hà Nam</v>
          </cell>
          <cell r="C92" t="str">
            <v>62/15/1Nhất Chi Mai, P13, Q. Tân Bình</v>
          </cell>
          <cell r="D92" t="str">
            <v>0296289413</v>
          </cell>
          <cell r="E92" t="str">
            <v>0296289413</v>
          </cell>
          <cell r="F92" t="str">
            <v>DN4790296289413</v>
          </cell>
          <cell r="G92" t="str">
            <v>17/08/1973</v>
          </cell>
          <cell r="H92" t="str">
            <v>Nam</v>
          </cell>
          <cell r="I92" t="str">
            <v>79 - 025</v>
          </cell>
        </row>
        <row r="93">
          <cell r="B93" t="str">
            <v>Trần Thiện Minh Trí</v>
          </cell>
          <cell r="C93" t="str">
            <v>251/19 Lê Quang Đinh, F7, Q. Bình Thạnh</v>
          </cell>
          <cell r="D93" t="str">
            <v>0296289414</v>
          </cell>
          <cell r="E93" t="str">
            <v>0296289414</v>
          </cell>
          <cell r="F93" t="str">
            <v>DN4790296289414</v>
          </cell>
          <cell r="G93" t="str">
            <v>01/10/1968</v>
          </cell>
          <cell r="H93" t="str">
            <v>Nam</v>
          </cell>
          <cell r="I93" t="str">
            <v>79 - 030</v>
          </cell>
        </row>
        <row r="94">
          <cell r="B94" t="str">
            <v>Nguyễn Văn Khoa</v>
          </cell>
          <cell r="C94" t="str">
            <v>195/2B Kha Vạn Cân Hiệp Bình Chánh,Th.Đức</v>
          </cell>
          <cell r="D94" t="str">
            <v>0296289439</v>
          </cell>
          <cell r="E94" t="str">
            <v>0296289439</v>
          </cell>
          <cell r="F94" t="str">
            <v>DN4790296289439</v>
          </cell>
          <cell r="G94" t="str">
            <v>12/03/1971</v>
          </cell>
          <cell r="H94" t="str">
            <v>Nam</v>
          </cell>
          <cell r="I94" t="str">
            <v>79 - 030</v>
          </cell>
        </row>
        <row r="95">
          <cell r="B95" t="str">
            <v>Trần Quang Nghiêm</v>
          </cell>
          <cell r="C95" t="str">
            <v>1/37 Nguyễn Cư Trinh</v>
          </cell>
          <cell r="D95" t="str">
            <v>0296289442</v>
          </cell>
          <cell r="E95" t="str">
            <v>0296289442</v>
          </cell>
          <cell r="F95" t="str">
            <v>DN4790296289442</v>
          </cell>
          <cell r="G95" t="str">
            <v>02/06/1974</v>
          </cell>
          <cell r="H95" t="str">
            <v>Nam</v>
          </cell>
          <cell r="I95" t="str">
            <v>79 - 034</v>
          </cell>
        </row>
        <row r="96">
          <cell r="B96" t="str">
            <v>Đàm Ngọc Mẫn</v>
          </cell>
          <cell r="C96" t="str">
            <v>7A, KP2, F Hiệp Bình Chánh, Q. Thủ Đức</v>
          </cell>
          <cell r="D96" t="str">
            <v>0296289443</v>
          </cell>
          <cell r="E96" t="str">
            <v>0296289443</v>
          </cell>
          <cell r="F96" t="str">
            <v>DN4790296289443</v>
          </cell>
          <cell r="G96" t="str">
            <v>15/12/1974</v>
          </cell>
          <cell r="H96" t="str">
            <v>Nam</v>
          </cell>
          <cell r="I96" t="str">
            <v>79 - 034</v>
          </cell>
        </row>
        <row r="97">
          <cell r="B97" t="str">
            <v>Võ Quang Thịnh</v>
          </cell>
          <cell r="C97" t="str">
            <v>Ninh Quang, Ninh Hòa, Khánh Hòa</v>
          </cell>
          <cell r="D97" t="str">
            <v>0296289444</v>
          </cell>
          <cell r="E97" t="str">
            <v>0296289444</v>
          </cell>
          <cell r="F97" t="str">
            <v>DN4790296289444</v>
          </cell>
          <cell r="G97" t="str">
            <v>02/10/1970</v>
          </cell>
          <cell r="H97" t="str">
            <v>Nam</v>
          </cell>
          <cell r="I97" t="str">
            <v>56 - 105</v>
          </cell>
        </row>
        <row r="98">
          <cell r="B98" t="str">
            <v>Trần Quang Nghị</v>
          </cell>
          <cell r="C98" t="str">
            <v>13/17 Thắng Lợi, Dĩ An, Bình Dương</v>
          </cell>
          <cell r="D98" t="str">
            <v>0296289448</v>
          </cell>
          <cell r="E98" t="str">
            <v>0296289448</v>
          </cell>
          <cell r="F98" t="str">
            <v>DN4790296289448</v>
          </cell>
          <cell r="G98" t="str">
            <v>22/11/1966</v>
          </cell>
          <cell r="H98" t="str">
            <v>Nam</v>
          </cell>
          <cell r="I98" t="str">
            <v>79 - 025</v>
          </cell>
        </row>
        <row r="99">
          <cell r="B99" t="str">
            <v>Trần Ngọc Lợi</v>
          </cell>
          <cell r="C99" t="str">
            <v>21/2 KP.Bình Minh, Dĩ An Bình Dương</v>
          </cell>
          <cell r="D99" t="str">
            <v>0296289451</v>
          </cell>
          <cell r="E99" t="str">
            <v>0296289451</v>
          </cell>
          <cell r="F99" t="str">
            <v>DN4790296289451</v>
          </cell>
          <cell r="G99" t="str">
            <v>10/08/1968</v>
          </cell>
          <cell r="H99" t="str">
            <v>Nam</v>
          </cell>
          <cell r="I99" t="str">
            <v>79 - 037</v>
          </cell>
        </row>
        <row r="100">
          <cell r="B100" t="str">
            <v>Ngô Công Chính</v>
          </cell>
          <cell r="C100" t="str">
            <v>260A/4 KP4, P. Tam Bình, Q. Thủ Đức</v>
          </cell>
          <cell r="D100" t="str">
            <v>0296289473</v>
          </cell>
          <cell r="E100" t="str">
            <v>0296289473</v>
          </cell>
          <cell r="F100" t="str">
            <v>DN4790296289473</v>
          </cell>
          <cell r="G100" t="str">
            <v>24/01/1974</v>
          </cell>
          <cell r="H100" t="str">
            <v>Nam</v>
          </cell>
          <cell r="I100" t="str">
            <v>79 - 030</v>
          </cell>
        </row>
        <row r="101">
          <cell r="B101" t="str">
            <v>Đỗ Cao Mầu</v>
          </cell>
          <cell r="C101" t="str">
            <v>Đông Thuận, Tân Hà, Hàm Tân,Bình Thuận</v>
          </cell>
          <cell r="D101" t="str">
            <v>0296289475</v>
          </cell>
          <cell r="E101" t="str">
            <v>0296289475</v>
          </cell>
          <cell r="F101" t="str">
            <v>DN4790296289475</v>
          </cell>
          <cell r="G101" t="str">
            <v>10/04/1971</v>
          </cell>
          <cell r="H101" t="str">
            <v>Nam</v>
          </cell>
          <cell r="I101" t="str">
            <v>60 - 019</v>
          </cell>
        </row>
        <row r="102">
          <cell r="B102" t="str">
            <v>Đỗ Văn Tuyến</v>
          </cell>
          <cell r="C102" t="str">
            <v>Quảng Tíên, Thống Nhất, Đồng Nai</v>
          </cell>
          <cell r="D102" t="str">
            <v>0296289478</v>
          </cell>
          <cell r="E102" t="str">
            <v>0296289478</v>
          </cell>
          <cell r="F102" t="str">
            <v>DN4790296289478</v>
          </cell>
          <cell r="G102" t="str">
            <v>15/08/1971</v>
          </cell>
          <cell r="H102" t="str">
            <v>Nam</v>
          </cell>
          <cell r="I102" t="str">
            <v>75 - 012</v>
          </cell>
        </row>
        <row r="103">
          <cell r="B103" t="str">
            <v>Lê Đồng</v>
          </cell>
          <cell r="C103" t="str">
            <v>Ấp 94</v>
          </cell>
          <cell r="D103" t="str">
            <v>0296289479</v>
          </cell>
          <cell r="E103" t="str">
            <v>0296289479</v>
          </cell>
          <cell r="F103" t="str">
            <v>DN4790296289479</v>
          </cell>
          <cell r="G103" t="str">
            <v>25/08/1970</v>
          </cell>
          <cell r="H103" t="str">
            <v>Nam</v>
          </cell>
          <cell r="I103" t="str">
            <v>75 - 026</v>
          </cell>
        </row>
        <row r="104">
          <cell r="B104" t="str">
            <v>Vũ Văn Thảo</v>
          </cell>
          <cell r="C104" t="str">
            <v>41/63 KP3 Bình Hưng hoà, Bình tân</v>
          </cell>
          <cell r="D104" t="str">
            <v>0296289480</v>
          </cell>
          <cell r="E104" t="str">
            <v>0296289480</v>
          </cell>
          <cell r="F104" t="str">
            <v>DN4790296289480</v>
          </cell>
          <cell r="G104" t="str">
            <v>04/08/1975</v>
          </cell>
          <cell r="H104" t="str">
            <v>Nam</v>
          </cell>
          <cell r="I104" t="str">
            <v>79 - 025</v>
          </cell>
        </row>
        <row r="105">
          <cell r="B105" t="str">
            <v>Nguyễn Văn Thông</v>
          </cell>
          <cell r="C105" t="str">
            <v>11C tập thể ĐS,Hiệp Bình Chánh,Th.Đức</v>
          </cell>
          <cell r="D105" t="str">
            <v>0296289481</v>
          </cell>
          <cell r="E105" t="str">
            <v>0296289481</v>
          </cell>
          <cell r="F105" t="str">
            <v>DN4790296289481</v>
          </cell>
          <cell r="G105" t="str">
            <v>30/03/1974</v>
          </cell>
          <cell r="H105" t="str">
            <v>Nam</v>
          </cell>
          <cell r="I105" t="str">
            <v>79 - 030</v>
          </cell>
        </row>
        <row r="106">
          <cell r="B106" t="str">
            <v>Tô Quang Toán</v>
          </cell>
          <cell r="C106" t="str">
            <v>Khu tập thể ĐS A4, Biên Hòa Đồng Nai</v>
          </cell>
          <cell r="D106" t="str">
            <v>0296289482</v>
          </cell>
          <cell r="E106" t="str">
            <v>0296289482</v>
          </cell>
          <cell r="F106" t="str">
            <v>DN4790296289482</v>
          </cell>
          <cell r="G106" t="str">
            <v>10/02/1971</v>
          </cell>
          <cell r="H106" t="str">
            <v>Nam</v>
          </cell>
          <cell r="I106" t="str">
            <v>75 - 003</v>
          </cell>
        </row>
        <row r="107">
          <cell r="B107" t="str">
            <v>Trần Thị Ánh Hoa</v>
          </cell>
          <cell r="C107" t="str">
            <v>243/1 An Dương Vương P11 Q5 Tp.HCM</v>
          </cell>
          <cell r="D107" t="str">
            <v>0296289483</v>
          </cell>
          <cell r="E107" t="str">
            <v>0296289483</v>
          </cell>
          <cell r="F107" t="str">
            <v>DN4790296289483</v>
          </cell>
          <cell r="G107" t="str">
            <v>31/10/1976</v>
          </cell>
          <cell r="H107" t="str">
            <v>Nữ</v>
          </cell>
          <cell r="I107" t="str">
            <v>79 - 002</v>
          </cell>
        </row>
        <row r="108">
          <cell r="B108" t="str">
            <v>Nguyễn Thành Niên</v>
          </cell>
          <cell r="C108" t="str">
            <v>Thanh Mỹ, Ninh Quang,Ninh Hòa Khánh Hòa</v>
          </cell>
          <cell r="D108" t="str">
            <v>0296289485</v>
          </cell>
          <cell r="E108" t="str">
            <v>0296289485</v>
          </cell>
          <cell r="F108" t="str">
            <v>DN4790296289485</v>
          </cell>
          <cell r="G108" t="str">
            <v>11/06/1973</v>
          </cell>
          <cell r="H108" t="str">
            <v>Nam</v>
          </cell>
          <cell r="I108" t="str">
            <v>56 - 105</v>
          </cell>
        </row>
        <row r="109">
          <cell r="B109" t="str">
            <v>Lê Lương Hoàng</v>
          </cell>
          <cell r="C109" t="str">
            <v>Bảo An, Phan Rang- Tháp Chàm, Ninh Thuận</v>
          </cell>
          <cell r="D109" t="str">
            <v>0296289488</v>
          </cell>
          <cell r="E109" t="str">
            <v>0296289488</v>
          </cell>
          <cell r="F109" t="str">
            <v>DN4790296289488</v>
          </cell>
          <cell r="G109" t="str">
            <v>26/10/1975</v>
          </cell>
          <cell r="H109" t="str">
            <v>Nam</v>
          </cell>
          <cell r="I109" t="str">
            <v>58 - 114</v>
          </cell>
        </row>
        <row r="110">
          <cell r="B110" t="str">
            <v>Nguyễn Vũ Tất Thắng</v>
          </cell>
          <cell r="C110" t="str">
            <v>tập thể Ga Hố Nai, Biên Hòa, Đồng Nai</v>
          </cell>
          <cell r="D110" t="str">
            <v>0296289489</v>
          </cell>
          <cell r="E110" t="str">
            <v>0296289489</v>
          </cell>
          <cell r="F110" t="str">
            <v>DN4790296289489</v>
          </cell>
          <cell r="G110" t="str">
            <v>08/10/1970</v>
          </cell>
          <cell r="H110" t="str">
            <v>Nam</v>
          </cell>
          <cell r="I110" t="str">
            <v>75 - 012</v>
          </cell>
        </row>
        <row r="111">
          <cell r="B111" t="str">
            <v>Võ Văn Hiển</v>
          </cell>
          <cell r="C111" t="str">
            <v>Diên Điền, Diên Khánh, Khánh Hòa</v>
          </cell>
          <cell r="D111" t="str">
            <v>0296289494</v>
          </cell>
          <cell r="E111" t="str">
            <v>0296289494</v>
          </cell>
          <cell r="F111" t="str">
            <v>DN4790296289494</v>
          </cell>
          <cell r="G111" t="str">
            <v>22/08/1971</v>
          </cell>
          <cell r="H111" t="str">
            <v>Nam</v>
          </cell>
          <cell r="I111" t="str">
            <v>56 - 183</v>
          </cell>
        </row>
        <row r="112">
          <cell r="B112" t="str">
            <v>Vũ Đình Hợp</v>
          </cell>
          <cell r="C112" t="str">
            <v>Quang Khải, Tứ Lộc, Hải Dương</v>
          </cell>
          <cell r="D112" t="str">
            <v>0296289496</v>
          </cell>
          <cell r="E112" t="str">
            <v>0296289496</v>
          </cell>
          <cell r="F112" t="str">
            <v>DN4790296289496</v>
          </cell>
          <cell r="G112" t="str">
            <v>05/04/1973</v>
          </cell>
          <cell r="H112" t="str">
            <v>Nam</v>
          </cell>
          <cell r="I112" t="str">
            <v>79 - 030</v>
          </cell>
        </row>
        <row r="113">
          <cell r="B113" t="str">
            <v>Nguyễn Minh Hải</v>
          </cell>
          <cell r="C113" t="str">
            <v>Gia Ray, Xuân Lộc, Đồng Nai</v>
          </cell>
          <cell r="D113" t="str">
            <v>0296289498</v>
          </cell>
          <cell r="E113" t="str">
            <v>0296289498</v>
          </cell>
          <cell r="F113" t="str">
            <v>DN4790296289498</v>
          </cell>
          <cell r="G113" t="str">
            <v>07/09/1976</v>
          </cell>
          <cell r="H113" t="str">
            <v>Nam</v>
          </cell>
          <cell r="I113" t="str">
            <v>79 - 034</v>
          </cell>
        </row>
        <row r="114">
          <cell r="B114" t="str">
            <v>Vũ Văn Quang</v>
          </cell>
          <cell r="C114" t="str">
            <v>246/2A XVNT, P.21, Q.Bình Thạnh, Tp.HCM</v>
          </cell>
          <cell r="D114" t="str">
            <v>0296289502</v>
          </cell>
          <cell r="E114" t="str">
            <v>0296289502</v>
          </cell>
          <cell r="F114" t="str">
            <v>DN4790296289502</v>
          </cell>
          <cell r="G114" t="str">
            <v>05/10/1968</v>
          </cell>
          <cell r="H114" t="str">
            <v>Nam</v>
          </cell>
          <cell r="I114" t="str">
            <v>79 - 030</v>
          </cell>
        </row>
        <row r="115">
          <cell r="B115" t="str">
            <v>Vũ Mạnh Hùng</v>
          </cell>
          <cell r="C115" t="str">
            <v>Đô Vinh, Phan Rang -Tháp Chàm NinhThuận</v>
          </cell>
          <cell r="D115" t="str">
            <v>0296289504</v>
          </cell>
          <cell r="E115" t="str">
            <v>0296289504</v>
          </cell>
          <cell r="F115" t="str">
            <v>DN4790296289504</v>
          </cell>
          <cell r="G115" t="str">
            <v>15/12/1972</v>
          </cell>
          <cell r="H115" t="str">
            <v>Nam</v>
          </cell>
          <cell r="I115" t="str">
            <v>79 - 034</v>
          </cell>
        </row>
        <row r="116">
          <cell r="B116" t="str">
            <v>Đặng Đức Hùng</v>
          </cell>
          <cell r="C116" t="str">
            <v>Hải Ninh, Bắc Bình, Bình Thuận</v>
          </cell>
          <cell r="D116" t="str">
            <v>0296289505</v>
          </cell>
          <cell r="E116" t="str">
            <v>0296289505</v>
          </cell>
          <cell r="F116" t="str">
            <v>DN4790296289505</v>
          </cell>
          <cell r="G116" t="str">
            <v>18/04/1973</v>
          </cell>
          <cell r="H116" t="str">
            <v>Nam</v>
          </cell>
          <cell r="I116" t="str">
            <v>58 - 007</v>
          </cell>
        </row>
        <row r="117">
          <cell r="B117" t="str">
            <v>Nguyễn Hữu Tín</v>
          </cell>
          <cell r="C117" t="str">
            <v>Hiệp Giao, Vân Canh, Bình Định</v>
          </cell>
          <cell r="D117" t="str">
            <v>0297049244</v>
          </cell>
          <cell r="E117" t="str">
            <v>0297049244</v>
          </cell>
          <cell r="F117" t="str">
            <v>DN4790297049244</v>
          </cell>
          <cell r="G117" t="str">
            <v>02/01/1969</v>
          </cell>
          <cell r="H117" t="str">
            <v>Nam</v>
          </cell>
          <cell r="I117" t="str">
            <v>52 - 008</v>
          </cell>
        </row>
        <row r="118">
          <cell r="B118" t="str">
            <v>Võ Công Tương</v>
          </cell>
          <cell r="C118" t="str">
            <v>Mương Mán, Hàm Thuận Nam, Bình Thuận</v>
          </cell>
          <cell r="D118" t="str">
            <v>0297049245</v>
          </cell>
          <cell r="E118" t="str">
            <v>0297049245</v>
          </cell>
          <cell r="F118" t="str">
            <v>DN4790297049245</v>
          </cell>
          <cell r="G118" t="str">
            <v>30/10/1972</v>
          </cell>
          <cell r="H118" t="str">
            <v>Nam</v>
          </cell>
          <cell r="I118" t="str">
            <v>75 - 281</v>
          </cell>
        </row>
        <row r="119">
          <cell r="B119" t="str">
            <v>Bùi Duy Giáp</v>
          </cell>
          <cell r="C119" t="str">
            <v>Đông La, Đông Hưng, Thái Bình</v>
          </cell>
          <cell r="D119" t="str">
            <v>0297049246</v>
          </cell>
          <cell r="E119" t="str">
            <v>0297049246</v>
          </cell>
          <cell r="F119" t="str">
            <v>DN4790297049246</v>
          </cell>
          <cell r="G119" t="str">
            <v>17/02/1974</v>
          </cell>
          <cell r="H119" t="str">
            <v>Nam</v>
          </cell>
          <cell r="I119" t="str">
            <v>79 - 025</v>
          </cell>
        </row>
        <row r="120">
          <cell r="B120" t="str">
            <v>Đinh Kim Hùng</v>
          </cell>
          <cell r="C120" t="str">
            <v>Công Hải, Ninh hải, Ninh Thuận</v>
          </cell>
          <cell r="D120" t="str">
            <v>0297049247</v>
          </cell>
          <cell r="E120" t="str">
            <v>0297049247</v>
          </cell>
          <cell r="F120" t="str">
            <v>DN4790297049247</v>
          </cell>
          <cell r="G120" t="str">
            <v>28/12/1974</v>
          </cell>
          <cell r="H120" t="str">
            <v>Nam</v>
          </cell>
          <cell r="I120" t="str">
            <v>52 - 008</v>
          </cell>
        </row>
        <row r="121">
          <cell r="B121" t="str">
            <v>Nguyễn Trọng Bảy</v>
          </cell>
          <cell r="C121" t="str">
            <v>Khóm 3, Thị trấn Vạn Gĩa, Khánh Hòa</v>
          </cell>
          <cell r="D121" t="str">
            <v>0297049249</v>
          </cell>
          <cell r="E121" t="str">
            <v>0297049249</v>
          </cell>
          <cell r="F121" t="str">
            <v>DN4790297049249</v>
          </cell>
          <cell r="G121" t="str">
            <v>19/05/1973</v>
          </cell>
          <cell r="H121" t="str">
            <v>Nam</v>
          </cell>
          <cell r="I121" t="str">
            <v>56 - 002</v>
          </cell>
        </row>
        <row r="122">
          <cell r="B122" t="str">
            <v>Nguyễn Văn Dương</v>
          </cell>
          <cell r="C122" t="str">
            <v>87 Lê Trung Kiên, Tuy Hòa, Phú Yên</v>
          </cell>
          <cell r="D122" t="str">
            <v>0297049250</v>
          </cell>
          <cell r="E122" t="str">
            <v>0297049250</v>
          </cell>
          <cell r="F122" t="str">
            <v>DN4790297049250</v>
          </cell>
          <cell r="G122" t="str">
            <v>16/09/1969</v>
          </cell>
          <cell r="H122" t="str">
            <v>Nam</v>
          </cell>
          <cell r="I122" t="str">
            <v>54 - 016</v>
          </cell>
        </row>
        <row r="123">
          <cell r="B123" t="str">
            <v>Trần Văn Nghị</v>
          </cell>
          <cell r="C123" t="str">
            <v>Hải Ninh, Bắc Bình, Bình Thuận</v>
          </cell>
          <cell r="D123" t="str">
            <v>0297049251</v>
          </cell>
          <cell r="E123" t="str">
            <v>0297049251</v>
          </cell>
          <cell r="F123" t="str">
            <v>DN4790297049251</v>
          </cell>
          <cell r="G123" t="str">
            <v>06/10/1971</v>
          </cell>
          <cell r="H123" t="str">
            <v>Nam</v>
          </cell>
          <cell r="I123" t="str">
            <v>60 - 171</v>
          </cell>
        </row>
        <row r="124">
          <cell r="B124" t="str">
            <v>Phan Văn Phái</v>
          </cell>
          <cell r="C124" t="str">
            <v>Suối Kiết, Tánh Linh, Bình Thuận</v>
          </cell>
          <cell r="D124" t="str">
            <v>0297049252</v>
          </cell>
          <cell r="E124" t="str">
            <v>0297049252</v>
          </cell>
          <cell r="F124" t="str">
            <v>DN4790297049252</v>
          </cell>
          <cell r="G124" t="str">
            <v>17/03/1971</v>
          </cell>
          <cell r="H124" t="str">
            <v>Nam</v>
          </cell>
          <cell r="I124" t="str">
            <v>75 - 013</v>
          </cell>
        </row>
        <row r="125">
          <cell r="B125" t="str">
            <v>Lê Bá Khanh</v>
          </cell>
          <cell r="C125" t="str">
            <v>Hải Ninh, Bắc Bình, Bình Thuận</v>
          </cell>
          <cell r="D125" t="str">
            <v>0297049253</v>
          </cell>
          <cell r="E125" t="str">
            <v>0297049253</v>
          </cell>
          <cell r="F125" t="str">
            <v>DN4790297049253</v>
          </cell>
          <cell r="G125" t="str">
            <v>01/01/1969</v>
          </cell>
          <cell r="H125" t="str">
            <v>Nam</v>
          </cell>
          <cell r="I125" t="str">
            <v>60 - 005</v>
          </cell>
        </row>
        <row r="126">
          <cell r="B126" t="str">
            <v>Phạm Mạnh Hùng</v>
          </cell>
          <cell r="C126" t="str">
            <v>23/32 KP Bình Minh, Dĩ An, Bình Dương</v>
          </cell>
          <cell r="D126" t="str">
            <v>0297049254</v>
          </cell>
          <cell r="E126" t="str">
            <v>0297049254</v>
          </cell>
          <cell r="F126" t="str">
            <v>DN4790297049254</v>
          </cell>
          <cell r="G126" t="str">
            <v>03/04/1972</v>
          </cell>
          <cell r="H126" t="str">
            <v>Nam</v>
          </cell>
          <cell r="I126" t="str">
            <v>79 - 034</v>
          </cell>
        </row>
        <row r="127">
          <cell r="B127" t="str">
            <v>Vũ Ngọc Toán</v>
          </cell>
          <cell r="C127" t="str">
            <v>C18/1bis KP2, P. Tăng Nhơn Phú A, Q9</v>
          </cell>
          <cell r="D127" t="str">
            <v>0297049256</v>
          </cell>
          <cell r="E127" t="str">
            <v>0297049256</v>
          </cell>
          <cell r="F127" t="str">
            <v>DN4790297049256</v>
          </cell>
          <cell r="G127" t="str">
            <v>20/09/1970</v>
          </cell>
          <cell r="H127" t="str">
            <v>Nam</v>
          </cell>
          <cell r="I127" t="str">
            <v>79 - 036</v>
          </cell>
        </row>
        <row r="128">
          <cell r="B128" t="str">
            <v>Nguyễn Thanh Tiến</v>
          </cell>
          <cell r="C128" t="str">
            <v>Phước Mỹ, Phan RangTháp Chàm,NinhThuận</v>
          </cell>
          <cell r="D128" t="str">
            <v>0297049257</v>
          </cell>
          <cell r="E128" t="str">
            <v>0297049257</v>
          </cell>
          <cell r="F128" t="str">
            <v>DN4790297049257</v>
          </cell>
          <cell r="G128" t="str">
            <v>18/10/1972</v>
          </cell>
          <cell r="H128" t="str">
            <v>Nam</v>
          </cell>
          <cell r="I128" t="str">
            <v>58 - 114</v>
          </cell>
        </row>
        <row r="129">
          <cell r="B129" t="str">
            <v>Lê Trung Thắng</v>
          </cell>
          <cell r="C129" t="str">
            <v>Khu Tập thể TTTH Cay Cầy, Nha Trang, KH</v>
          </cell>
          <cell r="D129" t="str">
            <v>0297049260</v>
          </cell>
          <cell r="E129" t="str">
            <v>0297049260</v>
          </cell>
          <cell r="F129" t="str">
            <v>DN4790297049260</v>
          </cell>
          <cell r="G129" t="str">
            <v>30/08/1976</v>
          </cell>
          <cell r="H129" t="str">
            <v>Nam</v>
          </cell>
          <cell r="I129" t="str">
            <v>56 - 001</v>
          </cell>
        </row>
        <row r="130">
          <cell r="B130" t="str">
            <v>Phạm Minh Thơ</v>
          </cell>
          <cell r="C130" t="str">
            <v>Vạn Hữu, Ninh Quang, Ninh Hòa Khánh Hòa</v>
          </cell>
          <cell r="D130" t="str">
            <v>0297049262</v>
          </cell>
          <cell r="E130" t="str">
            <v>0297049262</v>
          </cell>
          <cell r="F130" t="str">
            <v>DN4790297049262</v>
          </cell>
          <cell r="G130" t="str">
            <v>02/05/1970</v>
          </cell>
          <cell r="H130" t="str">
            <v>Nam</v>
          </cell>
          <cell r="I130" t="str">
            <v>56 - 105</v>
          </cell>
        </row>
        <row r="131">
          <cell r="B131" t="str">
            <v>Vũ Xuân Toán</v>
          </cell>
          <cell r="C131" t="str">
            <v>Mương Mán, Hàm Thuận Nam, Bình Thuận</v>
          </cell>
          <cell r="D131" t="str">
            <v>0297049264</v>
          </cell>
          <cell r="E131" t="str">
            <v>0297049264</v>
          </cell>
          <cell r="F131" t="str">
            <v>DN4790297049264</v>
          </cell>
          <cell r="G131" t="str">
            <v>07/01/1972</v>
          </cell>
          <cell r="H131" t="str">
            <v>Nam</v>
          </cell>
          <cell r="I131" t="str">
            <v>60 - 099</v>
          </cell>
        </row>
        <row r="132">
          <cell r="B132" t="str">
            <v>Đặng Xuân Thư</v>
          </cell>
          <cell r="C132" t="str">
            <v>Hồng Sơn, Hàm Thuận Bắc, Bình Thuận</v>
          </cell>
          <cell r="D132" t="str">
            <v>0297049267</v>
          </cell>
          <cell r="E132" t="str">
            <v>0297049267</v>
          </cell>
          <cell r="F132" t="str">
            <v>DN4790297049267</v>
          </cell>
          <cell r="G132" t="str">
            <v>02/06/1975</v>
          </cell>
          <cell r="H132" t="str">
            <v>Nam</v>
          </cell>
          <cell r="I132" t="str">
            <v>60 - 005</v>
          </cell>
        </row>
        <row r="133">
          <cell r="B133" t="str">
            <v>Lê Anh Đức</v>
          </cell>
          <cell r="C133" t="str">
            <v>128/90 Đường 25, P18, Q. Tân Bình</v>
          </cell>
          <cell r="D133" t="str">
            <v>0298003063</v>
          </cell>
          <cell r="E133" t="str">
            <v>0298003063</v>
          </cell>
          <cell r="F133" t="str">
            <v>DN4790298003063</v>
          </cell>
          <cell r="G133" t="str">
            <v>12/03/1976</v>
          </cell>
          <cell r="H133" t="str">
            <v>Nam</v>
          </cell>
          <cell r="I133" t="str">
            <v>79 - 054</v>
          </cell>
        </row>
        <row r="134">
          <cell r="B134" t="str">
            <v>Vũ Bá Ngọc</v>
          </cell>
          <cell r="C134" t="str">
            <v>121/59 Lê Thị Riêng, P. Bến Thành, Q1</v>
          </cell>
          <cell r="D134" t="str">
            <v>0298003064</v>
          </cell>
          <cell r="E134" t="str">
            <v>0298003064</v>
          </cell>
          <cell r="F134" t="str">
            <v>DN4790298003064</v>
          </cell>
          <cell r="G134" t="str">
            <v>18/04/1974</v>
          </cell>
          <cell r="H134" t="str">
            <v>Nam</v>
          </cell>
          <cell r="I134" t="str">
            <v>79 - 076</v>
          </cell>
        </row>
        <row r="135">
          <cell r="B135" t="str">
            <v>Nguyễn Xuân Quảng</v>
          </cell>
          <cell r="C135" t="str">
            <v>khu tập thể ga Gò Vấp, P3, Q. Gò Vấp</v>
          </cell>
          <cell r="D135" t="str">
            <v>0298003066</v>
          </cell>
          <cell r="E135" t="str">
            <v>0298003066</v>
          </cell>
          <cell r="F135" t="str">
            <v>DN4790298003066</v>
          </cell>
          <cell r="G135" t="str">
            <v>06/03/1972</v>
          </cell>
          <cell r="H135" t="str">
            <v>Nam</v>
          </cell>
          <cell r="I135" t="str">
            <v>75 - 250</v>
          </cell>
        </row>
        <row r="136">
          <cell r="B136" t="str">
            <v>Phạm Viết Chung</v>
          </cell>
          <cell r="C136" t="str">
            <v>Khu tập thể Ga Biên Hòa, Đồng Nai</v>
          </cell>
          <cell r="D136" t="str">
            <v>0298003067</v>
          </cell>
          <cell r="E136" t="str">
            <v>0298003067</v>
          </cell>
          <cell r="F136" t="str">
            <v>DN4790298003067</v>
          </cell>
          <cell r="G136" t="str">
            <v>06/02/1976</v>
          </cell>
          <cell r="H136" t="str">
            <v>Nam</v>
          </cell>
          <cell r="I136" t="str">
            <v>79 - 034</v>
          </cell>
        </row>
        <row r="137">
          <cell r="B137" t="str">
            <v>Trần Văn Đoàn</v>
          </cell>
          <cell r="C137" t="str">
            <v>Xuân Lộc, Long Khánh, Đồng Nai</v>
          </cell>
          <cell r="D137" t="str">
            <v>0298003069</v>
          </cell>
          <cell r="E137" t="str">
            <v>0298003069</v>
          </cell>
          <cell r="F137" t="str">
            <v>DN4790298003069</v>
          </cell>
          <cell r="G137" t="str">
            <v>08/06/1971</v>
          </cell>
          <cell r="H137" t="str">
            <v>Nam</v>
          </cell>
          <cell r="I137" t="str">
            <v>75 - 281</v>
          </cell>
        </row>
        <row r="138">
          <cell r="B138" t="str">
            <v>Lò Văn Tứ</v>
          </cell>
          <cell r="C138" t="str">
            <v>Tân Nghĩa, Hàm Tân, Bình Thuận</v>
          </cell>
          <cell r="D138" t="str">
            <v>0298003070</v>
          </cell>
          <cell r="E138" t="str">
            <v>0298003070</v>
          </cell>
          <cell r="F138" t="str">
            <v>DN4790298003070</v>
          </cell>
          <cell r="G138" t="str">
            <v>21/08/1974</v>
          </cell>
          <cell r="H138" t="str">
            <v>Nam</v>
          </cell>
          <cell r="I138" t="str">
            <v>60 - 019</v>
          </cell>
        </row>
        <row r="139">
          <cell r="B139" t="str">
            <v>Nguyễn Quốc Hưng</v>
          </cell>
          <cell r="C139" t="str">
            <v>KP5 Long Bình, Biên Hòa, Đồng Nai</v>
          </cell>
          <cell r="D139" t="str">
            <v>0298003071</v>
          </cell>
          <cell r="E139" t="str">
            <v>0298003071</v>
          </cell>
          <cell r="F139" t="str">
            <v>DN4790298003071</v>
          </cell>
          <cell r="G139" t="str">
            <v>10/10/1977</v>
          </cell>
          <cell r="H139" t="str">
            <v>Nam</v>
          </cell>
          <cell r="I139" t="str">
            <v>79 - 034</v>
          </cell>
        </row>
        <row r="140">
          <cell r="B140" t="str">
            <v>Phạm Văn Đính</v>
          </cell>
          <cell r="C140" t="str">
            <v>Mương Mán, Hàm Thuận Nam, Bình Thuận</v>
          </cell>
          <cell r="D140" t="str">
            <v>0298003072</v>
          </cell>
          <cell r="E140" t="str">
            <v>0298003072</v>
          </cell>
          <cell r="F140" t="str">
            <v>DN4790298003072</v>
          </cell>
          <cell r="G140" t="str">
            <v>26/12/1972</v>
          </cell>
          <cell r="H140" t="str">
            <v>Nam</v>
          </cell>
          <cell r="I140" t="str">
            <v>60 - 040</v>
          </cell>
        </row>
        <row r="141">
          <cell r="B141" t="str">
            <v>Lương Quốc Dũng</v>
          </cell>
          <cell r="C141" t="str">
            <v>Công Hải, Ninh hải, Ninh Thuận</v>
          </cell>
          <cell r="D141" t="str">
            <v>0298003073</v>
          </cell>
          <cell r="E141" t="str">
            <v>0298003073</v>
          </cell>
          <cell r="F141" t="str">
            <v>DN4790298003073</v>
          </cell>
          <cell r="G141" t="str">
            <v>21/10/1977</v>
          </cell>
          <cell r="H141" t="str">
            <v>Nam</v>
          </cell>
          <cell r="I141" t="str">
            <v>58 - 114</v>
          </cell>
        </row>
        <row r="142">
          <cell r="B142" t="str">
            <v>Nguyễn Chí Tánh</v>
          </cell>
          <cell r="C142" t="str">
            <v>Phước Diêm, Ninh Phước, Ninh Thuận</v>
          </cell>
          <cell r="D142" t="str">
            <v>0298003074</v>
          </cell>
          <cell r="E142" t="str">
            <v>0298003074</v>
          </cell>
          <cell r="F142" t="str">
            <v>DN4790298003074</v>
          </cell>
          <cell r="G142" t="str">
            <v>11/07/1976</v>
          </cell>
          <cell r="H142" t="str">
            <v>Nam</v>
          </cell>
          <cell r="I142" t="str">
            <v>58 - 007</v>
          </cell>
        </row>
        <row r="143">
          <cell r="B143" t="str">
            <v>Phan Thái Mạnh</v>
          </cell>
          <cell r="C143" t="str">
            <v>Phước Diêm, Ninh Phước, Ninh Thuận</v>
          </cell>
          <cell r="D143" t="str">
            <v>0298003075</v>
          </cell>
          <cell r="E143" t="str">
            <v>0298003075</v>
          </cell>
          <cell r="F143" t="str">
            <v>DN4790298003075</v>
          </cell>
          <cell r="G143" t="str">
            <v>10/06/1976</v>
          </cell>
          <cell r="H143" t="str">
            <v>Nam</v>
          </cell>
          <cell r="I143" t="str">
            <v>79 - 034</v>
          </cell>
        </row>
        <row r="144">
          <cell r="B144" t="str">
            <v>Lưu Công Luân</v>
          </cell>
          <cell r="C144" t="str">
            <v>Vĩnh Hảo, Tuy Phong, Bình Thuận</v>
          </cell>
          <cell r="D144" t="str">
            <v>0298003076</v>
          </cell>
          <cell r="E144" t="str">
            <v>0298003076</v>
          </cell>
          <cell r="F144" t="str">
            <v>DN4790298003076</v>
          </cell>
          <cell r="G144" t="str">
            <v>10/10/1973</v>
          </cell>
          <cell r="H144" t="str">
            <v>Nam</v>
          </cell>
          <cell r="I144" t="str">
            <v>60 - 004</v>
          </cell>
        </row>
        <row r="145">
          <cell r="B145" t="str">
            <v>Phạm Huy Hoàng</v>
          </cell>
          <cell r="C145" t="str">
            <v>Sông Lũỷy, Bắc Bình, Bình Thuận</v>
          </cell>
          <cell r="D145" t="str">
            <v>0298003077</v>
          </cell>
          <cell r="E145" t="str">
            <v>0298003077</v>
          </cell>
          <cell r="F145" t="str">
            <v>DN4790298003077</v>
          </cell>
          <cell r="G145" t="str">
            <v>10/07/1975</v>
          </cell>
          <cell r="H145" t="str">
            <v>Nam</v>
          </cell>
          <cell r="I145" t="str">
            <v>60 - 005</v>
          </cell>
        </row>
        <row r="146">
          <cell r="B146" t="str">
            <v>Nguyễn Đình Hùng</v>
          </cell>
          <cell r="C146" t="str">
            <v>Phước Diêm, Ninh Phước, Ninh Thuận</v>
          </cell>
          <cell r="D146" t="str">
            <v>0298003078</v>
          </cell>
          <cell r="E146" t="str">
            <v>0298003078</v>
          </cell>
          <cell r="F146" t="str">
            <v>DN4790298003078</v>
          </cell>
          <cell r="G146" t="str">
            <v>27/03/1975</v>
          </cell>
          <cell r="H146" t="str">
            <v>Nam</v>
          </cell>
          <cell r="I146" t="str">
            <v>58 - 001</v>
          </cell>
        </row>
        <row r="147">
          <cell r="B147" t="str">
            <v>Phạm Trung Kết</v>
          </cell>
          <cell r="C147" t="str">
            <v>Đô Vinh, Phan Rang Tháp Chàm, Ninh Thuận</v>
          </cell>
          <cell r="D147" t="str">
            <v>0298003079</v>
          </cell>
          <cell r="E147" t="str">
            <v>0298003079</v>
          </cell>
          <cell r="F147" t="str">
            <v>DN4790298003079</v>
          </cell>
          <cell r="G147" t="str">
            <v>21/12/1972</v>
          </cell>
          <cell r="H147" t="str">
            <v>Nam</v>
          </cell>
          <cell r="I147" t="str">
            <v>58 - 114</v>
          </cell>
        </row>
        <row r="148">
          <cell r="B148" t="str">
            <v>Nguyễn Thị Tuyết Trinh</v>
          </cell>
          <cell r="C148" t="str">
            <v>Đô Vinh, Phan Rang Tháp Chàm, Ninh Thuận</v>
          </cell>
          <cell r="D148" t="str">
            <v>0298003080</v>
          </cell>
          <cell r="E148" t="str">
            <v>0298003080</v>
          </cell>
          <cell r="F148" t="str">
            <v>DN4790298003080</v>
          </cell>
          <cell r="G148" t="str">
            <v>11/09/1974</v>
          </cell>
          <cell r="H148" t="str">
            <v>Nữ</v>
          </cell>
          <cell r="I148" t="str">
            <v>58 - 114</v>
          </cell>
        </row>
        <row r="149">
          <cell r="B149" t="str">
            <v>Lê Hoàng Anh</v>
          </cell>
          <cell r="C149" t="str">
            <v>Thọ Thanh, Trường Xuân, Thanh Hóa</v>
          </cell>
          <cell r="D149" t="str">
            <v>0298003081</v>
          </cell>
          <cell r="E149" t="str">
            <v>0298003081</v>
          </cell>
          <cell r="F149" t="str">
            <v>DN4790298003081</v>
          </cell>
          <cell r="G149" t="str">
            <v>26/11/1976</v>
          </cell>
          <cell r="H149" t="str">
            <v>Nam</v>
          </cell>
          <cell r="I149" t="str">
            <v>56 - 183</v>
          </cell>
        </row>
        <row r="150">
          <cell r="B150" t="str">
            <v>Đinh Văn Thanh</v>
          </cell>
          <cell r="C150" t="str">
            <v>Hạ Long, Quảng Ninh</v>
          </cell>
          <cell r="D150" t="str">
            <v>0298003082</v>
          </cell>
          <cell r="E150" t="str">
            <v>0298003082</v>
          </cell>
          <cell r="F150" t="str">
            <v>DN4790298003082</v>
          </cell>
          <cell r="G150" t="str">
            <v>13/10/1975</v>
          </cell>
          <cell r="H150" t="str">
            <v>Nam</v>
          </cell>
          <cell r="I150" t="str">
            <v>56 - 183</v>
          </cell>
        </row>
        <row r="151">
          <cell r="B151" t="str">
            <v>Phạm Văn Đăng</v>
          </cell>
          <cell r="C151" t="str">
            <v>Chí Thạnh, Tuy An, Phú Yên</v>
          </cell>
          <cell r="D151" t="str">
            <v>0298003084</v>
          </cell>
          <cell r="E151" t="str">
            <v>0298003084</v>
          </cell>
          <cell r="F151" t="str">
            <v>DN4790298003084</v>
          </cell>
          <cell r="G151" t="str">
            <v>10/03/1970</v>
          </cell>
          <cell r="H151" t="str">
            <v>Nam</v>
          </cell>
          <cell r="I151" t="str">
            <v>54 - 003</v>
          </cell>
        </row>
        <row r="152">
          <cell r="B152" t="str">
            <v>Nguyễn Đức Dũng</v>
          </cell>
          <cell r="C152" t="str">
            <v>8/4Quốc Lộ 1, P2, Tuy Hòa, Phú Yên</v>
          </cell>
          <cell r="D152" t="str">
            <v>0298003085</v>
          </cell>
          <cell r="E152" t="str">
            <v>0298003085</v>
          </cell>
          <cell r="F152" t="str">
            <v>DN4790298003085</v>
          </cell>
          <cell r="G152" t="str">
            <v>04/02/1972</v>
          </cell>
          <cell r="H152" t="str">
            <v>Nam</v>
          </cell>
          <cell r="I152" t="str">
            <v>54 - 031</v>
          </cell>
        </row>
        <row r="153">
          <cell r="B153" t="str">
            <v>Trần Ngọc Mạnh</v>
          </cell>
          <cell r="C153" t="str">
            <v>Khu tập thể ĐS, Tuy Hòa, Phú Yên</v>
          </cell>
          <cell r="D153" t="str">
            <v>0298003089</v>
          </cell>
          <cell r="E153" t="str">
            <v>0298003089</v>
          </cell>
          <cell r="F153" t="str">
            <v>DN4790298003089</v>
          </cell>
          <cell r="G153" t="str">
            <v>01/10/1972</v>
          </cell>
          <cell r="H153" t="str">
            <v>Nam</v>
          </cell>
          <cell r="I153" t="str">
            <v>54 - 016</v>
          </cell>
        </row>
        <row r="154">
          <cell r="B154" t="str">
            <v>Võ Ngọc Tùng</v>
          </cell>
          <cell r="C154" t="str">
            <v>22/17 Lê Lợi, P5, Tuy Hòa, Phú Yên</v>
          </cell>
          <cell r="D154" t="str">
            <v>0298003090</v>
          </cell>
          <cell r="E154" t="str">
            <v>0298003090</v>
          </cell>
          <cell r="F154" t="str">
            <v>DN4790298003090</v>
          </cell>
          <cell r="G154" t="str">
            <v>02/01/1975</v>
          </cell>
          <cell r="H154" t="str">
            <v>Nam</v>
          </cell>
          <cell r="I154" t="str">
            <v>54 - 162</v>
          </cell>
        </row>
        <row r="155">
          <cell r="B155" t="str">
            <v>Phùng Văn Thiêm</v>
          </cell>
          <cell r="C155" t="str">
            <v>Đại Lãnh, Vạn Ninh, Khánh Hòa</v>
          </cell>
          <cell r="D155" t="str">
            <v>0298003092</v>
          </cell>
          <cell r="E155" t="str">
            <v>0298003092</v>
          </cell>
          <cell r="F155" t="str">
            <v>DN4790298003092</v>
          </cell>
          <cell r="G155" t="str">
            <v>30/08/1973</v>
          </cell>
          <cell r="H155" t="str">
            <v>Nam</v>
          </cell>
          <cell r="I155" t="str">
            <v>54 - 031</v>
          </cell>
        </row>
        <row r="156">
          <cell r="B156" t="str">
            <v>Nguyễn Trung Khoa</v>
          </cell>
          <cell r="C156" t="str">
            <v>Tuy An, Tuy Hòa, Phú Yên</v>
          </cell>
          <cell r="D156" t="str">
            <v>0298003093</v>
          </cell>
          <cell r="E156" t="str">
            <v>0298003093</v>
          </cell>
          <cell r="F156" t="str">
            <v>DN4790298003093</v>
          </cell>
          <cell r="G156" t="str">
            <v>20/10/1973</v>
          </cell>
          <cell r="H156" t="str">
            <v>Nam</v>
          </cell>
          <cell r="I156" t="str">
            <v>54 - 016</v>
          </cell>
        </row>
        <row r="157">
          <cell r="B157" t="str">
            <v>Nguyễn Ngọc Quang</v>
          </cell>
          <cell r="C157" t="str">
            <v>Chí Thạnh, Tuy An, Phú Yên</v>
          </cell>
          <cell r="D157" t="str">
            <v>0298003094</v>
          </cell>
          <cell r="E157" t="str">
            <v>0298003094</v>
          </cell>
          <cell r="F157" t="str">
            <v>DN4790298003094</v>
          </cell>
          <cell r="G157" t="str">
            <v>23/12/1972</v>
          </cell>
          <cell r="H157" t="str">
            <v>Nam</v>
          </cell>
          <cell r="I157" t="str">
            <v>54 - 003</v>
          </cell>
        </row>
        <row r="158">
          <cell r="B158" t="str">
            <v>Đỗ Thị Thanh Bình</v>
          </cell>
          <cell r="C158" t="str">
            <v>87 Lê Trung Kiên, Tuy Hòa, Phú Yên</v>
          </cell>
          <cell r="D158" t="str">
            <v>0298003096</v>
          </cell>
          <cell r="E158" t="str">
            <v>0298003096</v>
          </cell>
          <cell r="F158" t="str">
            <v>DN4790298003096</v>
          </cell>
          <cell r="G158" t="str">
            <v>04/11/1974</v>
          </cell>
          <cell r="H158" t="str">
            <v>Nữ</v>
          </cell>
          <cell r="I158" t="str">
            <v>56 - 181</v>
          </cell>
        </row>
        <row r="159">
          <cell r="B159" t="str">
            <v>Lê Đức Ánh</v>
          </cell>
          <cell r="C159" t="str">
            <v>1/3B Lê Đức Thọ, P.13, Q.Gò Vấp, Tp.HCM</v>
          </cell>
          <cell r="D159" t="str">
            <v>0298023612</v>
          </cell>
          <cell r="E159" t="str">
            <v>0298023612</v>
          </cell>
          <cell r="F159" t="str">
            <v>DN4790298023612</v>
          </cell>
          <cell r="G159" t="str">
            <v>10/02/1966</v>
          </cell>
          <cell r="H159" t="str">
            <v>Nam</v>
          </cell>
          <cell r="I159" t="str">
            <v>79 - 024</v>
          </cell>
        </row>
        <row r="160">
          <cell r="B160" t="str">
            <v>Nguyễn Đăng Nghĩa</v>
          </cell>
          <cell r="C160" t="str">
            <v>Phan Thanh, Bắc Bình, Bình Thuận</v>
          </cell>
          <cell r="D160" t="str">
            <v>0298023614</v>
          </cell>
          <cell r="E160" t="str">
            <v>0298023614</v>
          </cell>
          <cell r="F160" t="str">
            <v>DN4790298023614</v>
          </cell>
          <cell r="G160" t="str">
            <v>18/12/1974</v>
          </cell>
          <cell r="H160" t="str">
            <v>Nam</v>
          </cell>
          <cell r="I160" t="str">
            <v>60 - 171</v>
          </cell>
        </row>
        <row r="161">
          <cell r="B161" t="str">
            <v>Bùi Đình Thăng</v>
          </cell>
          <cell r="C161" t="str">
            <v>Tân Nghĩa, Hàm Tân, Bình Thuận</v>
          </cell>
          <cell r="D161" t="str">
            <v>0298023615</v>
          </cell>
          <cell r="E161" t="str">
            <v>0298023615</v>
          </cell>
          <cell r="F161" t="str">
            <v>DN4790298023615</v>
          </cell>
          <cell r="G161" t="str">
            <v>24/07/1976</v>
          </cell>
          <cell r="H161" t="str">
            <v>Nam</v>
          </cell>
          <cell r="I161" t="str">
            <v>60 - 019</v>
          </cell>
        </row>
        <row r="162">
          <cell r="B162" t="str">
            <v>Nguyễn Văn Tình</v>
          </cell>
          <cell r="C162" t="str">
            <v>Sông Lũỷy, Bắc Bình, Bình Thuận</v>
          </cell>
          <cell r="D162" t="str">
            <v>0298023618</v>
          </cell>
          <cell r="E162" t="str">
            <v>0298023618</v>
          </cell>
          <cell r="F162" t="str">
            <v>DN4790298023618</v>
          </cell>
          <cell r="G162" t="str">
            <v>01/07/1975</v>
          </cell>
          <cell r="H162" t="str">
            <v>Nam</v>
          </cell>
          <cell r="I162" t="str">
            <v>60 - 071</v>
          </cell>
        </row>
        <row r="163">
          <cell r="B163" t="str">
            <v>Phạm Mạnh Dũng</v>
          </cell>
          <cell r="C163" t="str">
            <v>Dĩ An, Bình Dương</v>
          </cell>
          <cell r="D163" t="str">
            <v>0298111762</v>
          </cell>
          <cell r="E163" t="str">
            <v>0298111762</v>
          </cell>
          <cell r="F163" t="str">
            <v>DN4790298111762</v>
          </cell>
          <cell r="G163" t="str">
            <v>06/06/1974</v>
          </cell>
          <cell r="H163" t="str">
            <v>Nam</v>
          </cell>
          <cell r="I163" t="str">
            <v>79 - 034</v>
          </cell>
        </row>
        <row r="164">
          <cell r="B164" t="str">
            <v>Tạ Văn Yạch</v>
          </cell>
          <cell r="C164" t="str">
            <v>01 Nguyễn Thông, P9, Q3, TP.HCM</v>
          </cell>
          <cell r="D164" t="str">
            <v>0298111763</v>
          </cell>
          <cell r="E164" t="str">
            <v>0298111763</v>
          </cell>
          <cell r="F164" t="str">
            <v>DN4790298111763</v>
          </cell>
          <cell r="G164" t="str">
            <v>25/07/1973</v>
          </cell>
          <cell r="H164" t="str">
            <v>Nam</v>
          </cell>
          <cell r="I164" t="str">
            <v>79 - 025</v>
          </cell>
        </row>
        <row r="165">
          <cell r="B165" t="str">
            <v>Trần Thị Kim Hoa</v>
          </cell>
          <cell r="C165" t="str">
            <v>15/3 Đường số 2, An Bình,Dĩ An,B.Dương</v>
          </cell>
          <cell r="D165" t="str">
            <v>0298111766</v>
          </cell>
          <cell r="E165" t="str">
            <v>0298111766</v>
          </cell>
          <cell r="F165" t="str">
            <v>DN4790298111766</v>
          </cell>
          <cell r="G165" t="str">
            <v>13/08/1974</v>
          </cell>
          <cell r="H165" t="str">
            <v>Nữ</v>
          </cell>
          <cell r="I165" t="str">
            <v>79 - 016</v>
          </cell>
        </row>
        <row r="166">
          <cell r="B166" t="str">
            <v>Thái Công Lộc</v>
          </cell>
          <cell r="C166" t="str">
            <v>99/2 Nguyễn Văn Lạc, P19, QBT</v>
          </cell>
          <cell r="D166" t="str">
            <v>0298111767</v>
          </cell>
          <cell r="E166" t="str">
            <v>0298111767</v>
          </cell>
          <cell r="F166" t="str">
            <v>DN4790298111767</v>
          </cell>
          <cell r="G166" t="str">
            <v>21/09/1976</v>
          </cell>
          <cell r="H166" t="str">
            <v>Nam</v>
          </cell>
          <cell r="I166" t="str">
            <v>79 - 025</v>
          </cell>
        </row>
        <row r="167">
          <cell r="B167" t="str">
            <v>Đoàn Văn Quang</v>
          </cell>
          <cell r="C167" t="str">
            <v>01 Nguyễn Thông, P9, Q3</v>
          </cell>
          <cell r="D167" t="str">
            <v>0299040736</v>
          </cell>
          <cell r="E167" t="str">
            <v>0299040736</v>
          </cell>
          <cell r="F167" t="str">
            <v>DN4790299040736</v>
          </cell>
          <cell r="G167" t="str">
            <v>17/11/1976</v>
          </cell>
          <cell r="H167" t="str">
            <v>Nam</v>
          </cell>
          <cell r="I167" t="str">
            <v>79 - 024</v>
          </cell>
        </row>
        <row r="168">
          <cell r="B168" t="str">
            <v>Lê Xuân Định</v>
          </cell>
          <cell r="C168" t="str">
            <v>Trường KTNV, Huyện Dĩ An, Bình Dương</v>
          </cell>
          <cell r="D168" t="str">
            <v>0299040737</v>
          </cell>
          <cell r="E168" t="str">
            <v>0299040737</v>
          </cell>
          <cell r="F168" t="str">
            <v>DN4790299040737</v>
          </cell>
          <cell r="G168" t="str">
            <v>15/01/1973</v>
          </cell>
          <cell r="H168" t="str">
            <v>Nam</v>
          </cell>
          <cell r="I168" t="str">
            <v>79 - 037</v>
          </cell>
        </row>
        <row r="169">
          <cell r="B169" t="str">
            <v>Đinh Văn Tỉnh</v>
          </cell>
          <cell r="C169" t="str">
            <v>Mương Mán, Hàm Thuận Nam, Bình Thuận</v>
          </cell>
          <cell r="D169" t="str">
            <v>0299040738</v>
          </cell>
          <cell r="E169" t="str">
            <v>0299040738</v>
          </cell>
          <cell r="F169" t="str">
            <v>DN4790299040738</v>
          </cell>
          <cell r="G169" t="str">
            <v>31/10/1971</v>
          </cell>
          <cell r="H169" t="str">
            <v>Nam</v>
          </cell>
          <cell r="I169" t="str">
            <v>60 - 099</v>
          </cell>
        </row>
        <row r="170">
          <cell r="B170" t="str">
            <v>Trần Thế Phiệt</v>
          </cell>
          <cell r="C170" t="str">
            <v>Phước Dân, Ninh Phước, Ninh Thuận</v>
          </cell>
          <cell r="D170" t="str">
            <v>0299040742</v>
          </cell>
          <cell r="E170" t="str">
            <v>0299040742</v>
          </cell>
          <cell r="F170" t="str">
            <v>DN4790299040742</v>
          </cell>
          <cell r="G170" t="str">
            <v>05/09/1972</v>
          </cell>
          <cell r="H170" t="str">
            <v>Nam</v>
          </cell>
          <cell r="I170" t="str">
            <v>58 - 114</v>
          </cell>
        </row>
        <row r="171">
          <cell r="B171" t="str">
            <v>Nguyễn Thế Mạnh</v>
          </cell>
          <cell r="C171" t="str">
            <v>Sông Lũỷy, Bắc Bình, Bình Thuận</v>
          </cell>
          <cell r="D171" t="str">
            <v>0299040743</v>
          </cell>
          <cell r="E171" t="str">
            <v>0299040743</v>
          </cell>
          <cell r="F171" t="str">
            <v>DN4790299040743</v>
          </cell>
          <cell r="G171" t="str">
            <v>17/02/1978</v>
          </cell>
          <cell r="H171" t="str">
            <v>Nam</v>
          </cell>
          <cell r="I171" t="str">
            <v>60 - 152</v>
          </cell>
        </row>
        <row r="172">
          <cell r="B172" t="str">
            <v>Lương Lê Duy Vũ</v>
          </cell>
          <cell r="C172" t="str">
            <v>Đô Vinh, Phan Rang  Tháp Chàm, Ninh Thuận</v>
          </cell>
          <cell r="D172" t="str">
            <v>0299040746</v>
          </cell>
          <cell r="E172" t="str">
            <v>0299040746</v>
          </cell>
          <cell r="F172" t="str">
            <v>DN4790299040746</v>
          </cell>
          <cell r="G172" t="str">
            <v>30/01/1979</v>
          </cell>
          <cell r="H172" t="str">
            <v>Nam</v>
          </cell>
          <cell r="I172" t="str">
            <v>79 - 025</v>
          </cell>
        </row>
        <row r="173">
          <cell r="B173" t="str">
            <v>Dương Anh Nam</v>
          </cell>
          <cell r="C173" t="str">
            <v>Sông Lũỷy, Bắc Bình, Bình Thuận</v>
          </cell>
          <cell r="D173" t="str">
            <v>0299040747</v>
          </cell>
          <cell r="E173" t="str">
            <v>0299040747</v>
          </cell>
          <cell r="F173" t="str">
            <v>DN4790299040747</v>
          </cell>
          <cell r="G173" t="str">
            <v>20/12/1975</v>
          </cell>
          <cell r="H173" t="str">
            <v>Nam</v>
          </cell>
          <cell r="I173" t="str">
            <v>60 - 171</v>
          </cell>
        </row>
        <row r="174">
          <cell r="B174" t="str">
            <v>Ngô Cự Sang</v>
          </cell>
          <cell r="C174" t="str">
            <v>Hải Xuân</v>
          </cell>
          <cell r="D174" t="str">
            <v>0299040749</v>
          </cell>
          <cell r="E174" t="str">
            <v>0299040749</v>
          </cell>
          <cell r="F174" t="str">
            <v>DN4790299040749</v>
          </cell>
          <cell r="G174" t="str">
            <v>04/04/1976</v>
          </cell>
          <cell r="H174" t="str">
            <v>Nam</v>
          </cell>
          <cell r="I174" t="str">
            <v>58 - 007</v>
          </cell>
        </row>
        <row r="175">
          <cell r="B175" t="str">
            <v>Trần Đình Tụ</v>
          </cell>
          <cell r="C175" t="str">
            <v>Hòa Vinh, Tuy Hòa,Phú Yên</v>
          </cell>
          <cell r="D175" t="str">
            <v>0299040750</v>
          </cell>
          <cell r="E175" t="str">
            <v>0299040750</v>
          </cell>
          <cell r="F175" t="str">
            <v>DN4790299040750</v>
          </cell>
          <cell r="G175" t="str">
            <v>11/08/1975</v>
          </cell>
          <cell r="H175" t="str">
            <v>Nam</v>
          </cell>
          <cell r="I175" t="str">
            <v>54 - 016</v>
          </cell>
        </row>
        <row r="176">
          <cell r="B176" t="str">
            <v>Lê Hoài Vũ</v>
          </cell>
          <cell r="C176" t="str">
            <v>Canh Thuận, Vân Canh, Bình Định</v>
          </cell>
          <cell r="D176" t="str">
            <v>0299040751</v>
          </cell>
          <cell r="E176" t="str">
            <v>0299040751</v>
          </cell>
          <cell r="F176" t="str">
            <v>DN4790299040751</v>
          </cell>
          <cell r="G176" t="str">
            <v>17/05/1977</v>
          </cell>
          <cell r="H176" t="str">
            <v>Nam</v>
          </cell>
          <cell r="I176" t="str">
            <v>54 - 016</v>
          </cell>
        </row>
        <row r="177">
          <cell r="B177" t="str">
            <v>Đặng Ngọc Hùng</v>
          </cell>
          <cell r="C177" t="str">
            <v>An Hiệp, Tuy An, Tuy Hòa, Phú Yên</v>
          </cell>
          <cell r="D177" t="str">
            <v>0299040752</v>
          </cell>
          <cell r="E177" t="str">
            <v>0299040752</v>
          </cell>
          <cell r="F177" t="str">
            <v>DN4790299040752</v>
          </cell>
          <cell r="G177" t="str">
            <v>12/11/1977</v>
          </cell>
          <cell r="H177" t="str">
            <v>Nam</v>
          </cell>
          <cell r="I177" t="str">
            <v>54 - 016</v>
          </cell>
        </row>
        <row r="178">
          <cell r="B178" t="str">
            <v>Ngô Thanh Hoàng</v>
          </cell>
          <cell r="C178" t="str">
            <v>71 Nguyễn Thái Học, P3, Tuy Hòa Phú Yên</v>
          </cell>
          <cell r="D178" t="str">
            <v>0299040753</v>
          </cell>
          <cell r="E178" t="str">
            <v>0299040753</v>
          </cell>
          <cell r="F178" t="str">
            <v>DN4790299040753</v>
          </cell>
          <cell r="G178" t="str">
            <v>19/09/1977</v>
          </cell>
          <cell r="H178" t="str">
            <v>Nam</v>
          </cell>
          <cell r="I178" t="str">
            <v>54 - 016</v>
          </cell>
        </row>
        <row r="179">
          <cell r="B179" t="str">
            <v>Trần Đình Phi</v>
          </cell>
          <cell r="C179" t="str">
            <v>Cam Nghĩa, Cam Ranh, Khánh Hòa</v>
          </cell>
          <cell r="D179" t="str">
            <v>0299040757</v>
          </cell>
          <cell r="E179" t="str">
            <v>0299040757</v>
          </cell>
          <cell r="F179" t="str">
            <v>DN4790299040757</v>
          </cell>
          <cell r="G179" t="str">
            <v>20/02/1978</v>
          </cell>
          <cell r="H179" t="str">
            <v>Nam</v>
          </cell>
          <cell r="I179" t="str">
            <v>56 - 046</v>
          </cell>
        </row>
        <row r="180">
          <cell r="B180" t="str">
            <v>Nguyễn Huỳnh Hữu Hậu</v>
          </cell>
          <cell r="C180" t="str">
            <v>Vạn Gĩa, Vạn Ninh, Khánh Hòa</v>
          </cell>
          <cell r="D180" t="str">
            <v>0299040759</v>
          </cell>
          <cell r="E180" t="str">
            <v>0299040759</v>
          </cell>
          <cell r="F180" t="str">
            <v>DN4790299040759</v>
          </cell>
          <cell r="G180" t="str">
            <v>22/11/1972</v>
          </cell>
          <cell r="H180" t="str">
            <v>Nam</v>
          </cell>
          <cell r="I180" t="str">
            <v>56 - 002</v>
          </cell>
        </row>
        <row r="181">
          <cell r="B181" t="str">
            <v>Nguyễn Công Sơn</v>
          </cell>
          <cell r="C181" t="str">
            <v>Vĩnh Điềm Trung, Vĩnh Hiệp, Khánh Hòa</v>
          </cell>
          <cell r="D181" t="str">
            <v>0299040761</v>
          </cell>
          <cell r="E181" t="str">
            <v>0299040761</v>
          </cell>
          <cell r="F181" t="str">
            <v>DN4790299040761</v>
          </cell>
          <cell r="G181" t="str">
            <v>10/12/1977</v>
          </cell>
          <cell r="H181" t="str">
            <v>Nam</v>
          </cell>
          <cell r="I181" t="str">
            <v>56 - 197</v>
          </cell>
        </row>
        <row r="182">
          <cell r="B182" t="str">
            <v>Nguyễn Trung Lương</v>
          </cell>
          <cell r="C182" t="str">
            <v>Ninh Hòa, Khánh Hòa</v>
          </cell>
          <cell r="D182" t="str">
            <v>0299040762</v>
          </cell>
          <cell r="E182" t="str">
            <v>0299040762</v>
          </cell>
          <cell r="F182" t="str">
            <v>DN4790299040762</v>
          </cell>
          <cell r="G182" t="str">
            <v>06/01/1977</v>
          </cell>
          <cell r="H182" t="str">
            <v>Nam</v>
          </cell>
          <cell r="I182" t="str">
            <v>56 - 177</v>
          </cell>
        </row>
        <row r="183">
          <cell r="B183" t="str">
            <v>Trần Nhật Minh</v>
          </cell>
          <cell r="C183" t="str">
            <v>44/13/20 đường số 9</v>
          </cell>
          <cell r="D183" t="str">
            <v>3621198179</v>
          </cell>
          <cell r="E183" t="str">
            <v/>
          </cell>
          <cell r="F183" t="str">
            <v>DN4793621198179</v>
          </cell>
          <cell r="G183" t="str">
            <v>18/05/1999</v>
          </cell>
          <cell r="H183" t="str">
            <v>Nam</v>
          </cell>
          <cell r="I183" t="str">
            <v>79 - 037</v>
          </cell>
        </row>
        <row r="184">
          <cell r="B184" t="str">
            <v>Phan Trung Hậu</v>
          </cell>
          <cell r="C184" t="str">
            <v>53 Tổ 15 Khu 3</v>
          </cell>
          <cell r="D184" t="str">
            <v>3621849073</v>
          </cell>
          <cell r="E184" t="str">
            <v/>
          </cell>
          <cell r="F184" t="str">
            <v>DN4793621849073</v>
          </cell>
          <cell r="G184" t="str">
            <v>31/12/1997</v>
          </cell>
          <cell r="H184" t="str">
            <v>Nam</v>
          </cell>
          <cell r="I184" t="str">
            <v>79 - 034</v>
          </cell>
        </row>
        <row r="185">
          <cell r="B185" t="str">
            <v>Tô Việt Thông</v>
          </cell>
          <cell r="C185" t="str">
            <v>Thôn Định Phong, Xã An Nghiệp, Huyện Tuy An, Phú Yên</v>
          </cell>
          <cell r="D185" t="str">
            <v>3907004303</v>
          </cell>
          <cell r="E185" t="str">
            <v>3907004303</v>
          </cell>
          <cell r="F185" t="str">
            <v>DN4793907004303</v>
          </cell>
          <cell r="G185" t="str">
            <v>15/01/1987</v>
          </cell>
          <cell r="H185" t="str">
            <v>Nam</v>
          </cell>
          <cell r="I185" t="str">
            <v>54 - 016</v>
          </cell>
        </row>
        <row r="186">
          <cell r="B186" t="str">
            <v>Nguyễn Kim Tuấn</v>
          </cell>
          <cell r="C186" t="str">
            <v>151 Lê Trung Kiên, Tuy Hòa,Phú Yên</v>
          </cell>
          <cell r="D186" t="str">
            <v>3996010346</v>
          </cell>
          <cell r="E186" t="str">
            <v>3996010346</v>
          </cell>
          <cell r="F186" t="str">
            <v>DN4793996010346</v>
          </cell>
          <cell r="G186" t="str">
            <v>10/10/1972</v>
          </cell>
          <cell r="H186" t="str">
            <v>Nam</v>
          </cell>
          <cell r="I186" t="str">
            <v>54 - 162</v>
          </cell>
        </row>
        <row r="187">
          <cell r="B187" t="str">
            <v>Võ Đình Phúc</v>
          </cell>
          <cell r="C187" t="str">
            <v>Xóm Phượng Hoàng</v>
          </cell>
          <cell r="D187" t="str">
            <v>4025071327</v>
          </cell>
          <cell r="E187" t="str">
            <v/>
          </cell>
          <cell r="F187" t="str">
            <v>DN4794025071327</v>
          </cell>
          <cell r="G187" t="str">
            <v>25/06/1990</v>
          </cell>
          <cell r="H187" t="str">
            <v>Nam</v>
          </cell>
          <cell r="I187" t="str">
            <v>75 - 013</v>
          </cell>
        </row>
        <row r="188">
          <cell r="B188" t="str">
            <v>Nguyễn Tuấn Vũ</v>
          </cell>
          <cell r="C188" t="str">
            <v>X7</v>
          </cell>
          <cell r="D188" t="str">
            <v>4216509571</v>
          </cell>
          <cell r="E188" t="str">
            <v/>
          </cell>
          <cell r="F188" t="str">
            <v>DN4794216509571</v>
          </cell>
          <cell r="G188" t="str">
            <v>30/10/2002</v>
          </cell>
          <cell r="H188" t="str">
            <v>Nam</v>
          </cell>
          <cell r="I188" t="str">
            <v>75 - 013</v>
          </cell>
        </row>
        <row r="189">
          <cell r="B189" t="str">
            <v>Hoàng Minh Thu</v>
          </cell>
          <cell r="C189" t="str">
            <v>Quảng Thủy</v>
          </cell>
          <cell r="D189" t="str">
            <v>4420816389</v>
          </cell>
          <cell r="E189" t="str">
            <v/>
          </cell>
          <cell r="F189" t="str">
            <v>DN4794420816389</v>
          </cell>
          <cell r="G189" t="str">
            <v>05/08/1997</v>
          </cell>
          <cell r="H189" t="str">
            <v>Nam</v>
          </cell>
          <cell r="I189" t="str">
            <v>75 - 012</v>
          </cell>
        </row>
        <row r="190">
          <cell r="B190" t="str">
            <v>Nguyễn Mạnh Tường</v>
          </cell>
          <cell r="C190" t="str">
            <v>Thôn 4</v>
          </cell>
          <cell r="D190" t="str">
            <v>4620575297</v>
          </cell>
          <cell r="E190" t="str">
            <v/>
          </cell>
          <cell r="F190" t="str">
            <v>DN4794620575297</v>
          </cell>
          <cell r="G190" t="str">
            <v>06/03/1997</v>
          </cell>
          <cell r="H190" t="str">
            <v>Nam</v>
          </cell>
          <cell r="I190" t="str">
            <v>74 - 024</v>
          </cell>
        </row>
        <row r="191">
          <cell r="B191" t="str">
            <v>Trần Anh Văn</v>
          </cell>
          <cell r="C191" t="str">
            <v>Tổ 3, ấp Giấn Dân, Long Thạnh Mỹ, quận 9,HCM</v>
          </cell>
          <cell r="D191" t="str">
            <v>4707073996</v>
          </cell>
          <cell r="E191" t="str">
            <v>4707073996</v>
          </cell>
          <cell r="F191" t="str">
            <v>DN4794707073996</v>
          </cell>
          <cell r="G191" t="str">
            <v>01/09/1982</v>
          </cell>
          <cell r="H191" t="str">
            <v>Nam</v>
          </cell>
          <cell r="I191" t="str">
            <v>79 - 014</v>
          </cell>
        </row>
        <row r="192">
          <cell r="B192" t="str">
            <v>Trần Hoàng Khuê</v>
          </cell>
          <cell r="C192" t="str">
            <v>Xã Ngọc Thạnh II</v>
          </cell>
          <cell r="D192" t="str">
            <v>5221421004</v>
          </cell>
          <cell r="E192" t="str">
            <v/>
          </cell>
          <cell r="F192" t="str">
            <v>DN4795221421004</v>
          </cell>
          <cell r="G192" t="str">
            <v>10/04/1993</v>
          </cell>
          <cell r="H192" t="str">
            <v>Nam</v>
          </cell>
          <cell r="I192" t="str">
            <v>52 - 008</v>
          </cell>
        </row>
        <row r="193">
          <cell r="B193" t="str">
            <v>Lê Hồng Vinh</v>
          </cell>
          <cell r="C193" t="str">
            <v>Tăng Lợi</v>
          </cell>
          <cell r="D193" t="str">
            <v>5221512807</v>
          </cell>
          <cell r="E193" t="str">
            <v/>
          </cell>
          <cell r="F193" t="str">
            <v>DN4795221512807</v>
          </cell>
          <cell r="G193" t="str">
            <v>15/03/1994</v>
          </cell>
          <cell r="H193" t="str">
            <v>Nam</v>
          </cell>
          <cell r="I193" t="str">
            <v>52 - 187</v>
          </cell>
        </row>
        <row r="194">
          <cell r="B194" t="str">
            <v>Đinh Ngọc Tiên</v>
          </cell>
          <cell r="C194" t="str">
            <v>Định Phong</v>
          </cell>
          <cell r="D194" t="str">
            <v>5416002595</v>
          </cell>
          <cell r="E194" t="str">
            <v/>
          </cell>
          <cell r="F194" t="str">
            <v>DN4795416002595</v>
          </cell>
          <cell r="G194" t="str">
            <v>26/02/1990</v>
          </cell>
          <cell r="H194" t="str">
            <v>Nam</v>
          </cell>
          <cell r="I194" t="str">
            <v>52 - 008</v>
          </cell>
        </row>
        <row r="195">
          <cell r="B195" t="str">
            <v>Phạm Ngọc Tuyền</v>
          </cell>
          <cell r="C195" t="str">
            <v>Định Trung 2</v>
          </cell>
          <cell r="D195" t="str">
            <v>5416005197</v>
          </cell>
          <cell r="E195" t="str">
            <v/>
          </cell>
          <cell r="F195" t="str">
            <v>DN4795416005197</v>
          </cell>
          <cell r="G195" t="str">
            <v>20/03/1992</v>
          </cell>
          <cell r="H195" t="str">
            <v>Nam</v>
          </cell>
          <cell r="I195" t="str">
            <v>54 - 003</v>
          </cell>
        </row>
        <row r="196">
          <cell r="B196" t="str">
            <v>Lê Anh Kha</v>
          </cell>
          <cell r="C196" t="str">
            <v>.</v>
          </cell>
          <cell r="D196" t="str">
            <v>5420176933</v>
          </cell>
          <cell r="E196" t="str">
            <v/>
          </cell>
          <cell r="F196" t="str">
            <v>DN4795420176933</v>
          </cell>
          <cell r="G196" t="str">
            <v>01/01/1998</v>
          </cell>
          <cell r="H196" t="str">
            <v>Nam</v>
          </cell>
          <cell r="I196" t="str">
            <v>56 - 012</v>
          </cell>
        </row>
        <row r="197">
          <cell r="B197" t="str">
            <v>Nguyễn Văn Hoàng</v>
          </cell>
          <cell r="C197" t="str">
            <v>.</v>
          </cell>
          <cell r="D197" t="str">
            <v>5420256816</v>
          </cell>
          <cell r="E197" t="str">
            <v/>
          </cell>
          <cell r="F197" t="str">
            <v>DN4795420256816</v>
          </cell>
          <cell r="G197" t="str">
            <v>01/08/1992</v>
          </cell>
          <cell r="H197" t="str">
            <v>Nam</v>
          </cell>
          <cell r="I197" t="str">
            <v>54 - 016</v>
          </cell>
        </row>
        <row r="198">
          <cell r="B198" t="str">
            <v>Nguyễn Đình Sửu</v>
          </cell>
          <cell r="C198" t="str">
            <v>Long Châu</v>
          </cell>
          <cell r="D198" t="str">
            <v>5420273207</v>
          </cell>
          <cell r="E198" t="str">
            <v/>
          </cell>
          <cell r="F198" t="str">
            <v>DN4795420273207</v>
          </cell>
          <cell r="G198" t="str">
            <v>10/02/2003</v>
          </cell>
          <cell r="H198" t="str">
            <v>Nam</v>
          </cell>
          <cell r="I198" t="str">
            <v>54 - 031</v>
          </cell>
        </row>
        <row r="199">
          <cell r="B199" t="str">
            <v>Nguyễn Tấn Thịnh</v>
          </cell>
          <cell r="C199" t="str">
            <v>Thạnh Đức</v>
          </cell>
          <cell r="D199" t="str">
            <v>5420297269</v>
          </cell>
          <cell r="E199" t="str">
            <v/>
          </cell>
          <cell r="F199" t="str">
            <v>DN4795420297269</v>
          </cell>
          <cell r="G199" t="str">
            <v>08/11/2000</v>
          </cell>
          <cell r="H199" t="str">
            <v>Nam</v>
          </cell>
          <cell r="I199" t="str">
            <v>56 - 001</v>
          </cell>
        </row>
        <row r="200">
          <cell r="B200" t="str">
            <v>Nguyễn Thanh Tuấn</v>
          </cell>
          <cell r="C200" t="str">
            <v>Thôn Thế Hiên</v>
          </cell>
          <cell r="D200" t="str">
            <v>5420332174</v>
          </cell>
          <cell r="E200" t="str">
            <v/>
          </cell>
          <cell r="F200" t="str">
            <v>DN4795420332174</v>
          </cell>
          <cell r="G200" t="str">
            <v>15/10/1993</v>
          </cell>
          <cell r="H200" t="str">
            <v>Nam</v>
          </cell>
          <cell r="I200" t="str">
            <v>54 - 003</v>
          </cell>
        </row>
        <row r="201">
          <cell r="B201" t="str">
            <v>Nguyễn Hoàng Thông</v>
          </cell>
          <cell r="C201" t="str">
            <v>Trung Lương 1</v>
          </cell>
          <cell r="D201" t="str">
            <v>5420344229</v>
          </cell>
          <cell r="E201" t="str">
            <v/>
          </cell>
          <cell r="F201" t="str">
            <v>DN4795420344229</v>
          </cell>
          <cell r="G201" t="str">
            <v>06/06/2002</v>
          </cell>
          <cell r="H201" t="str">
            <v>Nam</v>
          </cell>
          <cell r="I201" t="str">
            <v>54 - 003</v>
          </cell>
        </row>
        <row r="202">
          <cell r="B202" t="str">
            <v>Ngô Thái Long</v>
          </cell>
          <cell r="C202" t="str">
            <v>Định Phong</v>
          </cell>
          <cell r="D202" t="str">
            <v>5420344933</v>
          </cell>
          <cell r="E202" t="str">
            <v/>
          </cell>
          <cell r="F202" t="str">
            <v>DN4795420344933</v>
          </cell>
          <cell r="G202" t="str">
            <v>13/05/1998</v>
          </cell>
          <cell r="H202" t="str">
            <v>Nam</v>
          </cell>
          <cell r="I202" t="str">
            <v>52 - 008</v>
          </cell>
        </row>
        <row r="203">
          <cell r="B203" t="str">
            <v>Nguyễn Xuân Anh</v>
          </cell>
          <cell r="C203" t="str">
            <v>Thôn Hòa Đa</v>
          </cell>
          <cell r="D203" t="str">
            <v>5420360021</v>
          </cell>
          <cell r="E203" t="str">
            <v/>
          </cell>
          <cell r="F203" t="str">
            <v>DN4795420360021</v>
          </cell>
          <cell r="G203" t="str">
            <v>19/07/1995</v>
          </cell>
          <cell r="H203" t="str">
            <v>Nam</v>
          </cell>
          <cell r="I203" t="str">
            <v>54 - 017</v>
          </cell>
        </row>
        <row r="204">
          <cell r="B204" t="str">
            <v>Nguyễn Ngọc Quý</v>
          </cell>
          <cell r="C204" t="str">
            <v>An Thổ</v>
          </cell>
          <cell r="D204" t="str">
            <v>5420407536</v>
          </cell>
          <cell r="E204" t="str">
            <v/>
          </cell>
          <cell r="F204" t="str">
            <v>DN4795420407536</v>
          </cell>
          <cell r="G204" t="str">
            <v>01/05/1997</v>
          </cell>
          <cell r="H204" t="str">
            <v>Nam</v>
          </cell>
          <cell r="I204" t="str">
            <v>79 - 009</v>
          </cell>
        </row>
        <row r="205">
          <cell r="B205" t="str">
            <v>Trần Văn Đức</v>
          </cell>
          <cell r="C205" t="str">
            <v/>
          </cell>
          <cell r="D205" t="str">
            <v>5420439084</v>
          </cell>
          <cell r="E205" t="str">
            <v/>
          </cell>
          <cell r="F205" t="str">
            <v>DN4795420439084</v>
          </cell>
          <cell r="G205" t="str">
            <v>18/09/1988</v>
          </cell>
          <cell r="H205" t="str">
            <v>Nam</v>
          </cell>
          <cell r="I205" t="str">
            <v>56 - 183</v>
          </cell>
        </row>
        <row r="206">
          <cell r="B206" t="str">
            <v>Nguyễn Nhật Quang</v>
          </cell>
          <cell r="C206" t="str">
            <v>Thôn Phước Mỹ</v>
          </cell>
          <cell r="D206" t="str">
            <v>5420589490</v>
          </cell>
          <cell r="E206" t="str">
            <v/>
          </cell>
          <cell r="F206" t="str">
            <v>DN4795420589490</v>
          </cell>
          <cell r="G206" t="str">
            <v>22/06/1997</v>
          </cell>
          <cell r="H206" t="str">
            <v>Nam</v>
          </cell>
          <cell r="I206" t="str">
            <v>54 - 031</v>
          </cell>
        </row>
        <row r="207">
          <cell r="B207" t="str">
            <v>Lê Nhật Tân</v>
          </cell>
          <cell r="C207" t="str">
            <v>Phước Mỹ</v>
          </cell>
          <cell r="D207" t="str">
            <v>5420635502</v>
          </cell>
          <cell r="E207" t="str">
            <v/>
          </cell>
          <cell r="F207" t="str">
            <v>DN4795420635502</v>
          </cell>
          <cell r="G207" t="str">
            <v>07/10/2002</v>
          </cell>
          <cell r="H207" t="str">
            <v>Nam</v>
          </cell>
          <cell r="I207" t="str">
            <v>56 - 002</v>
          </cell>
        </row>
        <row r="208">
          <cell r="B208" t="str">
            <v>Lê Huy Tường</v>
          </cell>
          <cell r="C208" t="str">
            <v>Phước Mỹ</v>
          </cell>
          <cell r="D208" t="str">
            <v>5420663881</v>
          </cell>
          <cell r="E208" t="str">
            <v/>
          </cell>
          <cell r="F208" t="str">
            <v>DN4795420663881</v>
          </cell>
          <cell r="G208" t="str">
            <v>24/07/1994</v>
          </cell>
          <cell r="H208" t="str">
            <v>Nam</v>
          </cell>
          <cell r="I208" t="str">
            <v>54 - 130</v>
          </cell>
        </row>
        <row r="209">
          <cell r="B209" t="str">
            <v>Nguyễn Văn Nhì</v>
          </cell>
          <cell r="C209" t="str">
            <v>Đại Phú</v>
          </cell>
          <cell r="D209" t="str">
            <v>5420698153</v>
          </cell>
          <cell r="E209" t="str">
            <v/>
          </cell>
          <cell r="F209" t="str">
            <v>DN4795420698153</v>
          </cell>
          <cell r="G209" t="str">
            <v>01/10/1987</v>
          </cell>
          <cell r="H209" t="str">
            <v>Nam</v>
          </cell>
          <cell r="I209" t="str">
            <v>54 - 162</v>
          </cell>
        </row>
        <row r="210">
          <cell r="B210" t="str">
            <v>Dương Tùng Lâm</v>
          </cell>
          <cell r="C210" t="str">
            <v>Liên Trì 1</v>
          </cell>
          <cell r="D210" t="str">
            <v>5421108410</v>
          </cell>
          <cell r="E210" t="str">
            <v/>
          </cell>
          <cell r="F210" t="str">
            <v>DN4795421108410</v>
          </cell>
          <cell r="G210" t="str">
            <v>17/07/1994</v>
          </cell>
          <cell r="H210" t="str">
            <v>Nam</v>
          </cell>
          <cell r="I210" t="str">
            <v>54 - 039</v>
          </cell>
        </row>
        <row r="211">
          <cell r="B211" t="str">
            <v>Trần Đức Hoàng</v>
          </cell>
          <cell r="C211" t="str">
            <v>Khu phố Chí Thạnh</v>
          </cell>
          <cell r="D211" t="str">
            <v>5421108411</v>
          </cell>
          <cell r="E211" t="str">
            <v/>
          </cell>
          <cell r="F211" t="str">
            <v>DN4795421108411</v>
          </cell>
          <cell r="G211" t="str">
            <v>09/08/1995</v>
          </cell>
          <cell r="H211" t="str">
            <v>Nam</v>
          </cell>
          <cell r="I211" t="str">
            <v>52 - 008</v>
          </cell>
        </row>
        <row r="212">
          <cell r="B212" t="str">
            <v>Võ Trung Nghĩa</v>
          </cell>
          <cell r="C212" t="str">
            <v>Xã Phước Lương</v>
          </cell>
          <cell r="D212" t="str">
            <v>5421211760</v>
          </cell>
          <cell r="E212" t="str">
            <v/>
          </cell>
          <cell r="F212" t="str">
            <v>DN4795421211760</v>
          </cell>
          <cell r="G212" t="str">
            <v>21/11/1993</v>
          </cell>
          <cell r="H212" t="str">
            <v>Nam</v>
          </cell>
          <cell r="I212" t="str">
            <v>52 - 008</v>
          </cell>
        </row>
        <row r="213">
          <cell r="B213" t="str">
            <v>Huỳnh Văn Phúc</v>
          </cell>
          <cell r="C213" t="str">
            <v>Lãnh Vân</v>
          </cell>
          <cell r="D213" t="str">
            <v>5421218021</v>
          </cell>
          <cell r="E213" t="str">
            <v/>
          </cell>
          <cell r="F213" t="str">
            <v>DN4795421218021</v>
          </cell>
          <cell r="G213" t="str">
            <v>10/12/1995</v>
          </cell>
          <cell r="H213" t="str">
            <v>Nam</v>
          </cell>
          <cell r="I213" t="str">
            <v>54 - 015</v>
          </cell>
        </row>
        <row r="214">
          <cell r="B214" t="str">
            <v>Huỳnh Phát Đạt</v>
          </cell>
          <cell r="C214" t="str">
            <v>Tổ 12, thôn Vĩnh Điềm Thượng</v>
          </cell>
          <cell r="D214" t="str">
            <v>5610001038</v>
          </cell>
          <cell r="E214" t="str">
            <v/>
          </cell>
          <cell r="F214" t="str">
            <v>DN4795610001038</v>
          </cell>
          <cell r="G214" t="str">
            <v>13/11/1986</v>
          </cell>
          <cell r="H214" t="str">
            <v>Nam</v>
          </cell>
          <cell r="I214" t="str">
            <v>56 - 001</v>
          </cell>
        </row>
        <row r="215">
          <cell r="B215" t="str">
            <v>Nguyễn Hà Kim Long</v>
          </cell>
          <cell r="C215" t="str">
            <v>Thôn Phú Ân Nam 2</v>
          </cell>
          <cell r="D215" t="str">
            <v>5614006670</v>
          </cell>
          <cell r="E215" t="str">
            <v/>
          </cell>
          <cell r="F215" t="str">
            <v>DN4795614006670</v>
          </cell>
          <cell r="G215" t="str">
            <v>23/01/1989</v>
          </cell>
          <cell r="H215" t="str">
            <v>Nam</v>
          </cell>
          <cell r="I215" t="str">
            <v>56 - 001</v>
          </cell>
        </row>
        <row r="216">
          <cell r="B216" t="str">
            <v>Nguyễn Việt Hiếu</v>
          </cell>
          <cell r="C216" t="str">
            <v>Tổ 5</v>
          </cell>
          <cell r="D216" t="str">
            <v>5615001724</v>
          </cell>
          <cell r="E216" t="str">
            <v/>
          </cell>
          <cell r="F216" t="str">
            <v>DN4795615001724</v>
          </cell>
          <cell r="G216" t="str">
            <v>02/07/1995</v>
          </cell>
          <cell r="H216" t="str">
            <v>Nam</v>
          </cell>
          <cell r="I216" t="str">
            <v>75 - 013</v>
          </cell>
        </row>
        <row r="217">
          <cell r="B217" t="str">
            <v>Lê Thành Khoan</v>
          </cell>
          <cell r="C217" t="str">
            <v>thôn Hoà Diêm</v>
          </cell>
          <cell r="D217" t="str">
            <v>5615860319</v>
          </cell>
          <cell r="E217" t="str">
            <v/>
          </cell>
          <cell r="F217" t="str">
            <v>DN4795615860319</v>
          </cell>
          <cell r="G217" t="str">
            <v>23/03/1993</v>
          </cell>
          <cell r="H217" t="str">
            <v>Nam</v>
          </cell>
          <cell r="I217" t="str">
            <v>56 - 183</v>
          </cell>
        </row>
        <row r="218">
          <cell r="B218" t="str">
            <v>Nguyễn Trọng Vương</v>
          </cell>
          <cell r="C218" t="str">
            <v>Hải Triều</v>
          </cell>
          <cell r="D218" t="str">
            <v>5616835032</v>
          </cell>
          <cell r="E218" t="str">
            <v/>
          </cell>
          <cell r="F218" t="str">
            <v>DN4795616835032</v>
          </cell>
          <cell r="G218" t="str">
            <v>07/03/1984</v>
          </cell>
          <cell r="H218" t="str">
            <v>Nam</v>
          </cell>
          <cell r="I218" t="str">
            <v>56 - 002</v>
          </cell>
        </row>
        <row r="219">
          <cell r="B219" t="str">
            <v>Huỳnh Phi Hoàng</v>
          </cell>
          <cell r="C219" t="str">
            <v>thôn Long Hòa</v>
          </cell>
          <cell r="D219" t="str">
            <v>5616835630</v>
          </cell>
          <cell r="E219" t="str">
            <v/>
          </cell>
          <cell r="F219" t="str">
            <v>DN4795616835630</v>
          </cell>
          <cell r="G219" t="str">
            <v>05/03/1990</v>
          </cell>
          <cell r="H219" t="str">
            <v>Nam</v>
          </cell>
          <cell r="I219" t="str">
            <v>56 - 002</v>
          </cell>
        </row>
        <row r="220">
          <cell r="B220" t="str">
            <v>Nguyễn Cao Cường</v>
          </cell>
          <cell r="C220" t="str">
            <v>Quảng Đức</v>
          </cell>
          <cell r="D220" t="str">
            <v>5620541381</v>
          </cell>
          <cell r="E220" t="str">
            <v/>
          </cell>
          <cell r="F220" t="str">
            <v>DN4795620541381</v>
          </cell>
          <cell r="G220" t="str">
            <v>26/09/1987</v>
          </cell>
          <cell r="H220" t="str">
            <v>Nam</v>
          </cell>
          <cell r="I220" t="str">
            <v>56 - 158</v>
          </cell>
        </row>
        <row r="221">
          <cell r="B221" t="str">
            <v>Biện Huỳnh Vi Tính</v>
          </cell>
          <cell r="C221" t="str">
            <v>Thôn Văn Thủy 1</v>
          </cell>
          <cell r="D221" t="str">
            <v>5620626851</v>
          </cell>
          <cell r="E221" t="str">
            <v/>
          </cell>
          <cell r="F221" t="str">
            <v>DN4795620626851</v>
          </cell>
          <cell r="G221" t="str">
            <v>10/12/1994</v>
          </cell>
          <cell r="H221" t="str">
            <v>Nam</v>
          </cell>
          <cell r="I221" t="str">
            <v>56 - 173</v>
          </cell>
        </row>
        <row r="222">
          <cell r="B222" t="str">
            <v>Đỗ Cao Quốc Thịnh</v>
          </cell>
          <cell r="C222" t="str">
            <v>Tân Đức Đông</v>
          </cell>
          <cell r="D222" t="str">
            <v>5620665674</v>
          </cell>
          <cell r="E222" t="str">
            <v/>
          </cell>
          <cell r="F222" t="str">
            <v>DN4795620665674</v>
          </cell>
          <cell r="G222" t="str">
            <v>09/08/1995</v>
          </cell>
          <cell r="H222" t="str">
            <v>Nam</v>
          </cell>
          <cell r="I222" t="str">
            <v>60 - 004</v>
          </cell>
        </row>
        <row r="223">
          <cell r="B223" t="str">
            <v>Nguyễn Hồng Diệp</v>
          </cell>
          <cell r="C223" t="str">
            <v>Phú Cang 1 Bắc</v>
          </cell>
          <cell r="D223" t="str">
            <v>5620681049</v>
          </cell>
          <cell r="E223" t="str">
            <v/>
          </cell>
          <cell r="F223" t="str">
            <v>DN4795620681049</v>
          </cell>
          <cell r="G223" t="str">
            <v>08/05/2000</v>
          </cell>
          <cell r="H223" t="str">
            <v>Nam</v>
          </cell>
          <cell r="I223" t="str">
            <v>52 - 008</v>
          </cell>
        </row>
        <row r="224">
          <cell r="B224" t="str">
            <v>Đặng Nhật Đoàn</v>
          </cell>
          <cell r="C224" t="str">
            <v>Long Hòa</v>
          </cell>
          <cell r="D224" t="str">
            <v>5620695755</v>
          </cell>
          <cell r="E224" t="str">
            <v/>
          </cell>
          <cell r="F224" t="str">
            <v>DN4795620695755</v>
          </cell>
          <cell r="G224" t="str">
            <v>20/03/1994</v>
          </cell>
          <cell r="H224" t="str">
            <v>Nam</v>
          </cell>
          <cell r="I224" t="str">
            <v>56 - 002</v>
          </cell>
        </row>
        <row r="225">
          <cell r="B225" t="str">
            <v>Nguyễn Lê Hải Long</v>
          </cell>
          <cell r="C225" t="str">
            <v>Tây Bắc 1</v>
          </cell>
          <cell r="D225" t="str">
            <v>5620710019</v>
          </cell>
          <cell r="E225" t="str">
            <v/>
          </cell>
          <cell r="F225" t="str">
            <v>DN4795620710019</v>
          </cell>
          <cell r="G225" t="str">
            <v>18/01/1995</v>
          </cell>
          <cell r="H225" t="str">
            <v>Nam</v>
          </cell>
          <cell r="I225" t="str">
            <v>56 - 002</v>
          </cell>
        </row>
        <row r="226">
          <cell r="B226" t="str">
            <v>Nguyễn Quốc Dũng</v>
          </cell>
          <cell r="C226" t="str">
            <v>Phước Lộc</v>
          </cell>
          <cell r="D226" t="str">
            <v>5620822647</v>
          </cell>
          <cell r="E226" t="str">
            <v/>
          </cell>
          <cell r="F226" t="str">
            <v>DN4795620822647</v>
          </cell>
          <cell r="G226" t="str">
            <v>15/02/1997</v>
          </cell>
          <cell r="H226" t="str">
            <v>Nam</v>
          </cell>
          <cell r="I226" t="str">
            <v>56 - 001</v>
          </cell>
        </row>
        <row r="227">
          <cell r="B227" t="str">
            <v>Huỳnh Anh Quốc</v>
          </cell>
          <cell r="C227" t="str">
            <v>Đại Cát 1</v>
          </cell>
          <cell r="D227" t="str">
            <v>5620894690</v>
          </cell>
          <cell r="E227" t="str">
            <v/>
          </cell>
          <cell r="F227" t="str">
            <v>DN4795620894690</v>
          </cell>
          <cell r="G227" t="str">
            <v>22/04/1996</v>
          </cell>
          <cell r="H227" t="str">
            <v>Nam</v>
          </cell>
          <cell r="I227" t="str">
            <v>56 - 003</v>
          </cell>
        </row>
        <row r="228">
          <cell r="B228" t="str">
            <v>Lương Công Minh</v>
          </cell>
          <cell r="C228" t="str">
            <v>Thôn Bình Trị</v>
          </cell>
          <cell r="D228" t="str">
            <v>5621018220</v>
          </cell>
          <cell r="E228" t="str">
            <v/>
          </cell>
          <cell r="F228" t="str">
            <v>DN4795621018220</v>
          </cell>
          <cell r="G228" t="str">
            <v>09/09/1992</v>
          </cell>
          <cell r="H228" t="str">
            <v>Nam</v>
          </cell>
          <cell r="I228" t="str">
            <v>56 - 105</v>
          </cell>
        </row>
        <row r="229">
          <cell r="B229" t="str">
            <v>Lê Duy Hiệp</v>
          </cell>
          <cell r="C229" t="str">
            <v>Vĩnh Cát</v>
          </cell>
          <cell r="D229" t="str">
            <v>5621123915</v>
          </cell>
          <cell r="E229" t="str">
            <v/>
          </cell>
          <cell r="F229" t="str">
            <v>DN4795621123915</v>
          </cell>
          <cell r="G229" t="str">
            <v>23/08/1997</v>
          </cell>
          <cell r="H229" t="str">
            <v>Nam</v>
          </cell>
          <cell r="I229" t="str">
            <v>56 - 001</v>
          </cell>
        </row>
        <row r="230">
          <cell r="B230" t="str">
            <v>Đỗ Thanh Phú</v>
          </cell>
          <cell r="C230" t="str">
            <v>Thôn Tân Quang</v>
          </cell>
          <cell r="D230" t="str">
            <v>5621246048</v>
          </cell>
          <cell r="E230" t="str">
            <v/>
          </cell>
          <cell r="F230" t="str">
            <v>DN4795621246048</v>
          </cell>
          <cell r="G230" t="str">
            <v>29/01/1995</v>
          </cell>
          <cell r="H230" t="str">
            <v>Nam</v>
          </cell>
          <cell r="I230" t="str">
            <v>75 - 013</v>
          </cell>
        </row>
        <row r="231">
          <cell r="B231" t="str">
            <v>Nguyễn Phong Huỳnh</v>
          </cell>
          <cell r="C231" t="str">
            <v>Tổ dân phố số 8</v>
          </cell>
          <cell r="D231" t="str">
            <v>5621546574</v>
          </cell>
          <cell r="E231" t="str">
            <v/>
          </cell>
          <cell r="F231" t="str">
            <v>DN4795621546574</v>
          </cell>
          <cell r="G231" t="str">
            <v>26/12/1991</v>
          </cell>
          <cell r="H231" t="str">
            <v>Nam</v>
          </cell>
          <cell r="I231" t="str">
            <v>56 - 105</v>
          </cell>
        </row>
        <row r="232">
          <cell r="B232" t="str">
            <v>Nguyễn Ngọc Tiến</v>
          </cell>
          <cell r="C232" t="str">
            <v>Thôn Triệu Hải</v>
          </cell>
          <cell r="D232" t="str">
            <v>5621590974</v>
          </cell>
          <cell r="E232" t="str">
            <v/>
          </cell>
          <cell r="F232" t="str">
            <v>DN4795621590974</v>
          </cell>
          <cell r="G232" t="str">
            <v>14/01/1996</v>
          </cell>
          <cell r="H232" t="str">
            <v>Nam</v>
          </cell>
          <cell r="I232" t="str">
            <v>56 - 158</v>
          </cell>
        </row>
        <row r="233">
          <cell r="B233" t="str">
            <v>Phan Thành Thái</v>
          </cell>
          <cell r="C233" t="str">
            <v>Xuân Vinh</v>
          </cell>
          <cell r="D233" t="str">
            <v>5621683975</v>
          </cell>
          <cell r="E233" t="str">
            <v/>
          </cell>
          <cell r="F233" t="str">
            <v>DN4795621683975</v>
          </cell>
          <cell r="G233" t="str">
            <v>10/07/2000</v>
          </cell>
          <cell r="H233" t="str">
            <v>Nam</v>
          </cell>
          <cell r="I233" t="str">
            <v>60 - 004</v>
          </cell>
        </row>
        <row r="234">
          <cell r="B234" t="str">
            <v>Nguyễn Quốc Trung</v>
          </cell>
          <cell r="C234" t="str">
            <v>Vạn Hữu</v>
          </cell>
          <cell r="D234" t="str">
            <v>5621707740</v>
          </cell>
          <cell r="E234" t="str">
            <v/>
          </cell>
          <cell r="F234" t="str">
            <v>DN4795621707740</v>
          </cell>
          <cell r="G234" t="str">
            <v>27/10/1994</v>
          </cell>
          <cell r="H234" t="str">
            <v>Nam</v>
          </cell>
          <cell r="I234" t="str">
            <v>56 - 105</v>
          </cell>
        </row>
        <row r="235">
          <cell r="B235" t="str">
            <v>Trần Xuân Dậu</v>
          </cell>
          <cell r="C235" t="str">
            <v>Thôn Hòa Sơn</v>
          </cell>
          <cell r="D235" t="str">
            <v>5621722598</v>
          </cell>
          <cell r="E235" t="str">
            <v/>
          </cell>
          <cell r="F235" t="str">
            <v>DN4795621722598</v>
          </cell>
          <cell r="G235" t="str">
            <v>03/04/1994</v>
          </cell>
          <cell r="H235" t="str">
            <v>Nam</v>
          </cell>
          <cell r="I235" t="str">
            <v>56 - 183</v>
          </cell>
        </row>
        <row r="236">
          <cell r="B236" t="str">
            <v>Mai Xuân Thức</v>
          </cell>
          <cell r="C236" t="str">
            <v>Mễ Thượng, Yên Khang, ý Yên, Nam Định</v>
          </cell>
          <cell r="D236" t="str">
            <v>5815001629</v>
          </cell>
          <cell r="E236" t="str">
            <v>5815001629</v>
          </cell>
          <cell r="F236" t="str">
            <v>DN4795815001629</v>
          </cell>
          <cell r="G236" t="str">
            <v>28/12/1994</v>
          </cell>
          <cell r="H236" t="str">
            <v>Nam</v>
          </cell>
          <cell r="I236" t="str">
            <v>58 - 007</v>
          </cell>
        </row>
        <row r="237">
          <cell r="B237" t="str">
            <v>Nguyễn Phúc Ân</v>
          </cell>
          <cell r="C237" t="str">
            <v>Thôn An Xuân</v>
          </cell>
          <cell r="D237" t="str">
            <v>5816005686</v>
          </cell>
          <cell r="E237" t="str">
            <v/>
          </cell>
          <cell r="F237" t="str">
            <v>DN4795816005686</v>
          </cell>
          <cell r="G237" t="str">
            <v>19/08/1989</v>
          </cell>
          <cell r="H237" t="str">
            <v>Nam</v>
          </cell>
          <cell r="I237" t="str">
            <v>58 - 114</v>
          </cell>
        </row>
        <row r="238">
          <cell r="B238" t="str">
            <v>Nguyễn Hoàng Duy</v>
          </cell>
          <cell r="C238" t="str">
            <v>Khu phố 5</v>
          </cell>
          <cell r="D238" t="str">
            <v>5820080388</v>
          </cell>
          <cell r="E238" t="str">
            <v/>
          </cell>
          <cell r="F238" t="str">
            <v>DN4795820080388</v>
          </cell>
          <cell r="G238" t="str">
            <v>27/12/1996</v>
          </cell>
          <cell r="H238" t="str">
            <v>Nam</v>
          </cell>
          <cell r="I238" t="str">
            <v>58 - 114</v>
          </cell>
        </row>
        <row r="239">
          <cell r="B239" t="str">
            <v>Võ Đăng Quang</v>
          </cell>
          <cell r="C239" t="str">
            <v>Tổ 22, Khu phố 1</v>
          </cell>
          <cell r="D239" t="str">
            <v>5820085433</v>
          </cell>
          <cell r="E239" t="str">
            <v/>
          </cell>
          <cell r="F239" t="str">
            <v>DN4795820085433</v>
          </cell>
          <cell r="G239" t="str">
            <v>09/03/1984</v>
          </cell>
          <cell r="H239" t="str">
            <v>Nam</v>
          </cell>
          <cell r="I239" t="str">
            <v>58 - 007</v>
          </cell>
        </row>
        <row r="240">
          <cell r="B240" t="str">
            <v>Nguyễn Xuân Trung</v>
          </cell>
          <cell r="C240" t="str">
            <v/>
          </cell>
          <cell r="D240" t="str">
            <v>5820159307</v>
          </cell>
          <cell r="E240" t="str">
            <v/>
          </cell>
          <cell r="F240" t="str">
            <v>DN4795820159307</v>
          </cell>
          <cell r="G240" t="str">
            <v>07/01/1995</v>
          </cell>
          <cell r="H240" t="str">
            <v>Nam</v>
          </cell>
          <cell r="I240" t="str">
            <v>58 - 114</v>
          </cell>
        </row>
        <row r="241">
          <cell r="B241" t="str">
            <v>Lê Văn Cường</v>
          </cell>
          <cell r="C241" t="str">
            <v>Số 7 Bác Ái</v>
          </cell>
          <cell r="D241" t="str">
            <v>5820680768</v>
          </cell>
          <cell r="E241" t="str">
            <v/>
          </cell>
          <cell r="F241" t="str">
            <v>DN4795820680768</v>
          </cell>
          <cell r="G241" t="str">
            <v>11/08/1997</v>
          </cell>
          <cell r="H241" t="str">
            <v>Nam</v>
          </cell>
          <cell r="I241" t="str">
            <v>58 - 114</v>
          </cell>
        </row>
        <row r="242">
          <cell r="B242" t="str">
            <v>Nguyễn Tiến Đạt</v>
          </cell>
          <cell r="C242" t="str">
            <v>Khu phố 5</v>
          </cell>
          <cell r="D242" t="str">
            <v>5820706020</v>
          </cell>
          <cell r="E242" t="str">
            <v/>
          </cell>
          <cell r="F242" t="str">
            <v>DN4795820706020</v>
          </cell>
          <cell r="G242" t="str">
            <v>18/08/2001</v>
          </cell>
          <cell r="H242" t="str">
            <v>Nam</v>
          </cell>
          <cell r="I242" t="str">
            <v>58 - 114</v>
          </cell>
        </row>
        <row r="243">
          <cell r="B243" t="str">
            <v>Trần Việt Tân</v>
          </cell>
          <cell r="C243" t="str">
            <v>64/8 Nguyễn Thượng Hiền</v>
          </cell>
          <cell r="D243" t="str">
            <v>5820711907</v>
          </cell>
          <cell r="E243" t="str">
            <v/>
          </cell>
          <cell r="F243" t="str">
            <v>DN4795820711907</v>
          </cell>
          <cell r="G243" t="str">
            <v>02/04/1994</v>
          </cell>
          <cell r="H243" t="str">
            <v>Nam</v>
          </cell>
          <cell r="I243" t="str">
            <v>58 - 114</v>
          </cell>
        </row>
        <row r="244">
          <cell r="B244" t="str">
            <v>Hồ Hữu Đức</v>
          </cell>
          <cell r="C244" t="str">
            <v>Quán Thẻ 1</v>
          </cell>
          <cell r="D244" t="str">
            <v>5820728843</v>
          </cell>
          <cell r="E244" t="str">
            <v/>
          </cell>
          <cell r="F244" t="str">
            <v>DN4795820728843</v>
          </cell>
          <cell r="G244" t="str">
            <v>10/10/1996</v>
          </cell>
          <cell r="H244" t="str">
            <v>Nam</v>
          </cell>
          <cell r="I244" t="str">
            <v>58 - 114</v>
          </cell>
        </row>
        <row r="245">
          <cell r="B245" t="str">
            <v>Nguyễn Quỳnh Châu</v>
          </cell>
          <cell r="C245" t="str">
            <v>Nha Hố 2</v>
          </cell>
          <cell r="D245" t="str">
            <v>5820829020</v>
          </cell>
          <cell r="E245" t="str">
            <v/>
          </cell>
          <cell r="F245" t="str">
            <v>DN4795820829020</v>
          </cell>
          <cell r="G245" t="str">
            <v>13/03/1991</v>
          </cell>
          <cell r="H245" t="str">
            <v>Nam</v>
          </cell>
          <cell r="I245" t="str">
            <v>75 - 013</v>
          </cell>
        </row>
        <row r="246">
          <cell r="B246" t="str">
            <v>Đàm Văn Trí</v>
          </cell>
          <cell r="C246" t="str">
            <v>Khu phố 6</v>
          </cell>
          <cell r="D246" t="str">
            <v>5820899176</v>
          </cell>
          <cell r="E246" t="str">
            <v/>
          </cell>
          <cell r="F246" t="str">
            <v>DN4795820899176</v>
          </cell>
          <cell r="G246" t="str">
            <v>14/09/1992</v>
          </cell>
          <cell r="H246" t="str">
            <v>Nam</v>
          </cell>
          <cell r="I246" t="str">
            <v>79 - 034</v>
          </cell>
        </row>
        <row r="247">
          <cell r="B247" t="str">
            <v>Bùi Ngọc Nam</v>
          </cell>
          <cell r="C247" t="str">
            <v>Khu phố 4</v>
          </cell>
          <cell r="D247" t="str">
            <v>5820915754</v>
          </cell>
          <cell r="E247" t="str">
            <v/>
          </cell>
          <cell r="F247" t="str">
            <v>DN4795820915754</v>
          </cell>
          <cell r="G247" t="str">
            <v>10/05/1992</v>
          </cell>
          <cell r="H247" t="str">
            <v>Nam</v>
          </cell>
          <cell r="I247" t="str">
            <v>58 - 114</v>
          </cell>
        </row>
        <row r="248">
          <cell r="B248" t="str">
            <v>Nguyễn Văn Chính</v>
          </cell>
          <cell r="C248" t="str">
            <v>xã Sông Phan</v>
          </cell>
          <cell r="D248" t="str">
            <v>6015003365</v>
          </cell>
          <cell r="E248" t="str">
            <v/>
          </cell>
          <cell r="F248" t="str">
            <v>DN4796015003365</v>
          </cell>
          <cell r="G248" t="str">
            <v>20/04/1995</v>
          </cell>
          <cell r="H248" t="str">
            <v>Nam</v>
          </cell>
          <cell r="I248" t="str">
            <v>60 - 170</v>
          </cell>
        </row>
        <row r="249">
          <cell r="B249" t="str">
            <v>Huỳnh Thanh Toàn</v>
          </cell>
          <cell r="C249" t="str">
            <v>Thôn La Bá</v>
          </cell>
          <cell r="D249" t="str">
            <v>6020385293</v>
          </cell>
          <cell r="E249" t="str">
            <v/>
          </cell>
          <cell r="F249" t="str">
            <v>DN4796020385293</v>
          </cell>
          <cell r="G249" t="str">
            <v>09/10/1994</v>
          </cell>
          <cell r="H249" t="str">
            <v>Nam</v>
          </cell>
          <cell r="I249" t="str">
            <v>60 - 004</v>
          </cell>
        </row>
        <row r="250">
          <cell r="B250" t="str">
            <v>Huỳnh Thanh Tài</v>
          </cell>
          <cell r="C250" t="str">
            <v>Thôn La Bá</v>
          </cell>
          <cell r="D250" t="str">
            <v>6020385294</v>
          </cell>
          <cell r="E250" t="str">
            <v/>
          </cell>
          <cell r="F250" t="str">
            <v>DN4796020385294</v>
          </cell>
          <cell r="G250" t="str">
            <v>23/04/1995</v>
          </cell>
          <cell r="H250" t="str">
            <v>Nam</v>
          </cell>
          <cell r="I250" t="str">
            <v>60 - 004</v>
          </cell>
        </row>
        <row r="251">
          <cell r="B251" t="str">
            <v>Trần Huỳnh Minh Hoài</v>
          </cell>
          <cell r="C251" t="str">
            <v>Hòa Bình</v>
          </cell>
          <cell r="D251" t="str">
            <v>6020496581</v>
          </cell>
          <cell r="E251" t="str">
            <v/>
          </cell>
          <cell r="F251" t="str">
            <v>DN4796020496581</v>
          </cell>
          <cell r="G251" t="str">
            <v>26/03/2002</v>
          </cell>
          <cell r="H251" t="str">
            <v>Nam</v>
          </cell>
          <cell r="I251" t="str">
            <v>60 - 171</v>
          </cell>
        </row>
        <row r="252">
          <cell r="B252" t="str">
            <v>Khê Thanh Tuấn</v>
          </cell>
          <cell r="C252" t="str">
            <v>Thôn Bình Tiến</v>
          </cell>
          <cell r="D252" t="str">
            <v>6020498173</v>
          </cell>
          <cell r="E252" t="str">
            <v/>
          </cell>
          <cell r="F252" t="str">
            <v>DN4796020498173</v>
          </cell>
          <cell r="G252" t="str">
            <v>29/06/2001</v>
          </cell>
          <cell r="H252" t="str">
            <v>Nam</v>
          </cell>
          <cell r="I252" t="str">
            <v>60 - 171</v>
          </cell>
        </row>
        <row r="253">
          <cell r="B253" t="str">
            <v>Nguyễn Văn Sơn</v>
          </cell>
          <cell r="C253" t="str">
            <v>Thôn Thái Hiệp</v>
          </cell>
          <cell r="D253" t="str">
            <v>6020506368</v>
          </cell>
          <cell r="E253" t="str">
            <v/>
          </cell>
          <cell r="F253" t="str">
            <v>DN4796020506368</v>
          </cell>
          <cell r="G253" t="str">
            <v>27/06/1990</v>
          </cell>
          <cell r="H253" t="str">
            <v>Nam</v>
          </cell>
          <cell r="I253" t="str">
            <v>60 - 171</v>
          </cell>
        </row>
        <row r="254">
          <cell r="B254" t="str">
            <v>Nguyễn Anh Tuấn</v>
          </cell>
          <cell r="C254" t="str">
            <v>Hải Xuân</v>
          </cell>
          <cell r="D254" t="str">
            <v>6020534347</v>
          </cell>
          <cell r="E254" t="str">
            <v/>
          </cell>
          <cell r="F254" t="str">
            <v>DN4796020534347</v>
          </cell>
          <cell r="G254" t="str">
            <v>26/11/1991</v>
          </cell>
          <cell r="H254" t="str">
            <v>Nam</v>
          </cell>
          <cell r="I254" t="str">
            <v>60 - 171</v>
          </cell>
        </row>
        <row r="255">
          <cell r="B255" t="str">
            <v>Nguyễn Hải Linh</v>
          </cell>
          <cell r="C255" t="str">
            <v/>
          </cell>
          <cell r="D255" t="str">
            <v>6020542125</v>
          </cell>
          <cell r="E255" t="str">
            <v/>
          </cell>
          <cell r="F255" t="str">
            <v>DN4796020542125</v>
          </cell>
          <cell r="G255" t="str">
            <v>04/04/1990</v>
          </cell>
          <cell r="H255" t="str">
            <v>Nam</v>
          </cell>
          <cell r="I255" t="str">
            <v>60 - 152</v>
          </cell>
        </row>
        <row r="256">
          <cell r="B256" t="str">
            <v>Võ Đình Minh Quang</v>
          </cell>
          <cell r="C256" t="str">
            <v>Thôn Hòa Bình</v>
          </cell>
          <cell r="D256" t="str">
            <v>6020567848</v>
          </cell>
          <cell r="E256" t="str">
            <v/>
          </cell>
          <cell r="F256" t="str">
            <v>DN4796020567848</v>
          </cell>
          <cell r="G256" t="str">
            <v>14/09/2004</v>
          </cell>
          <cell r="H256" t="str">
            <v>Nam</v>
          </cell>
          <cell r="I256" t="str">
            <v>60 - 004</v>
          </cell>
        </row>
        <row r="257">
          <cell r="B257" t="str">
            <v>Nguyễn Vinh Quan</v>
          </cell>
          <cell r="C257" t="str">
            <v>Thái Hòa</v>
          </cell>
          <cell r="D257" t="str">
            <v>6020587555</v>
          </cell>
          <cell r="E257" t="str">
            <v/>
          </cell>
          <cell r="F257" t="str">
            <v>DN4796020587555</v>
          </cell>
          <cell r="G257" t="str">
            <v>30/01/1995</v>
          </cell>
          <cell r="H257" t="str">
            <v>Nam</v>
          </cell>
          <cell r="I257" t="str">
            <v>60 - 171</v>
          </cell>
        </row>
        <row r="258">
          <cell r="B258" t="str">
            <v>Bùi Huy Hoàng</v>
          </cell>
          <cell r="C258" t="str">
            <v>Khu phố 1</v>
          </cell>
          <cell r="D258" t="str">
            <v>6020629549</v>
          </cell>
          <cell r="E258" t="str">
            <v/>
          </cell>
          <cell r="F258" t="str">
            <v>DN4796020629549</v>
          </cell>
          <cell r="G258" t="str">
            <v>14/07/1989</v>
          </cell>
          <cell r="H258" t="str">
            <v>Nam</v>
          </cell>
          <cell r="I258" t="str">
            <v>60 - 152</v>
          </cell>
        </row>
        <row r="259">
          <cell r="B259" t="str">
            <v>Nguyễn Văn Boan</v>
          </cell>
          <cell r="C259" t="str">
            <v>Thôn 3</v>
          </cell>
          <cell r="D259" t="str">
            <v>6020715455</v>
          </cell>
          <cell r="E259" t="str">
            <v>6020715455</v>
          </cell>
          <cell r="F259" t="str">
            <v>DN4796020715455</v>
          </cell>
          <cell r="G259" t="str">
            <v>27/02/1993</v>
          </cell>
          <cell r="H259" t="str">
            <v>Nam</v>
          </cell>
          <cell r="I259" t="str">
            <v>60 - 171</v>
          </cell>
        </row>
        <row r="260">
          <cell r="B260" t="str">
            <v>Trần Đình Khải</v>
          </cell>
          <cell r="C260" t="str">
            <v>Thôn 1</v>
          </cell>
          <cell r="D260" t="str">
            <v>6020752970</v>
          </cell>
          <cell r="E260" t="str">
            <v/>
          </cell>
          <cell r="F260" t="str">
            <v>DN4796020752970</v>
          </cell>
          <cell r="G260" t="str">
            <v>03/10/1997</v>
          </cell>
          <cell r="H260" t="str">
            <v>Nam</v>
          </cell>
          <cell r="I260" t="str">
            <v>60 - 152</v>
          </cell>
        </row>
        <row r="261">
          <cell r="B261" t="str">
            <v>Võ Thành Tân</v>
          </cell>
          <cell r="C261" t="str">
            <v>Số 428 Thôn Phú Sơn</v>
          </cell>
          <cell r="D261" t="str">
            <v>6020797593</v>
          </cell>
          <cell r="E261" t="str">
            <v/>
          </cell>
          <cell r="F261" t="str">
            <v>DN4796020797593</v>
          </cell>
          <cell r="G261" t="str">
            <v>10/02/1997</v>
          </cell>
          <cell r="H261" t="str">
            <v>Nam</v>
          </cell>
          <cell r="I261" t="str">
            <v>60 - 152</v>
          </cell>
        </row>
        <row r="262">
          <cell r="B262" t="str">
            <v>Mang Văn Võng</v>
          </cell>
          <cell r="C262" t="str">
            <v>Thôn 1</v>
          </cell>
          <cell r="D262" t="str">
            <v>6020809586</v>
          </cell>
          <cell r="E262" t="str">
            <v/>
          </cell>
          <cell r="F262" t="str">
            <v>DN4796020809586</v>
          </cell>
          <cell r="G262" t="str">
            <v>16/10/2001</v>
          </cell>
          <cell r="H262" t="str">
            <v>Nam</v>
          </cell>
          <cell r="I262" t="str">
            <v>60 - 152</v>
          </cell>
        </row>
        <row r="263">
          <cell r="B263" t="str">
            <v>Nguyễn Hoàng Phong</v>
          </cell>
          <cell r="C263" t="str">
            <v>PHÚ SƠN</v>
          </cell>
          <cell r="D263" t="str">
            <v>6020826425</v>
          </cell>
          <cell r="E263" t="str">
            <v/>
          </cell>
          <cell r="F263" t="str">
            <v>DN4796020826425</v>
          </cell>
          <cell r="G263" t="str">
            <v>12/12/2002</v>
          </cell>
          <cell r="H263" t="str">
            <v>Nam</v>
          </cell>
          <cell r="I263" t="str">
            <v>60 - 152</v>
          </cell>
        </row>
        <row r="264">
          <cell r="B264" t="str">
            <v>Nguyễn Quốc Tuấn</v>
          </cell>
          <cell r="C264" t="str">
            <v>Thôn II</v>
          </cell>
          <cell r="D264" t="str">
            <v>6020874884</v>
          </cell>
          <cell r="E264" t="str">
            <v/>
          </cell>
          <cell r="F264" t="str">
            <v>DN4796020874884</v>
          </cell>
          <cell r="G264" t="str">
            <v>29/11/1991</v>
          </cell>
          <cell r="H264" t="str">
            <v>Nam</v>
          </cell>
          <cell r="I264" t="str">
            <v>60 - 013</v>
          </cell>
        </row>
        <row r="265">
          <cell r="B265" t="str">
            <v>Lê Trung Kiên</v>
          </cell>
          <cell r="C265" t="str">
            <v>Thôn 1</v>
          </cell>
          <cell r="D265" t="str">
            <v>6020887782</v>
          </cell>
          <cell r="E265" t="str">
            <v/>
          </cell>
          <cell r="F265" t="str">
            <v>DN4796020887782</v>
          </cell>
          <cell r="G265" t="str">
            <v>23/11/1997</v>
          </cell>
          <cell r="H265" t="str">
            <v>Nam</v>
          </cell>
          <cell r="I265" t="str">
            <v>60 - 171</v>
          </cell>
        </row>
        <row r="266">
          <cell r="B266" t="str">
            <v>Lê Tiến Đạt</v>
          </cell>
          <cell r="C266" t="str">
            <v>Thôn 3</v>
          </cell>
          <cell r="D266" t="str">
            <v>6020896164</v>
          </cell>
          <cell r="E266" t="str">
            <v/>
          </cell>
          <cell r="F266" t="str">
            <v>DN4796020896164</v>
          </cell>
          <cell r="G266" t="str">
            <v>15/03/1995</v>
          </cell>
          <cell r="H266" t="str">
            <v>Nam</v>
          </cell>
          <cell r="I266" t="str">
            <v>60 - 040</v>
          </cell>
        </row>
        <row r="267">
          <cell r="B267" t="str">
            <v>Nguyễn Đoàn Anh Tú</v>
          </cell>
          <cell r="C267" t="str">
            <v>Số 43</v>
          </cell>
          <cell r="D267" t="str">
            <v>6020917853</v>
          </cell>
          <cell r="E267" t="str">
            <v/>
          </cell>
          <cell r="F267" t="str">
            <v>DN4796020917853</v>
          </cell>
          <cell r="G267" t="str">
            <v>14/10/2002</v>
          </cell>
          <cell r="H267" t="str">
            <v>Nam</v>
          </cell>
          <cell r="I267" t="str">
            <v>60 - 152</v>
          </cell>
        </row>
        <row r="268">
          <cell r="B268" t="str">
            <v>Phùng Minh Thanh</v>
          </cell>
          <cell r="C268" t="str">
            <v>Đức Thuận</v>
          </cell>
          <cell r="D268" t="str">
            <v>6020943037</v>
          </cell>
          <cell r="E268" t="str">
            <v/>
          </cell>
          <cell r="F268" t="str">
            <v>DN4796020943037</v>
          </cell>
          <cell r="G268" t="str">
            <v>06/03/1991</v>
          </cell>
          <cell r="H268" t="str">
            <v>Nam</v>
          </cell>
          <cell r="I268" t="str">
            <v>60 - 013</v>
          </cell>
        </row>
        <row r="269">
          <cell r="B269" t="str">
            <v>Ngô Hùng</v>
          </cell>
          <cell r="C269" t="str">
            <v>Thôn 3</v>
          </cell>
          <cell r="D269" t="str">
            <v>6020952305</v>
          </cell>
          <cell r="E269" t="str">
            <v/>
          </cell>
          <cell r="F269" t="str">
            <v>DN4796020952305</v>
          </cell>
          <cell r="G269" t="str">
            <v>10/09/2002</v>
          </cell>
          <cell r="H269" t="str">
            <v>Nam</v>
          </cell>
          <cell r="I269" t="str">
            <v>60 - 013</v>
          </cell>
        </row>
        <row r="270">
          <cell r="B270" t="str">
            <v>Nguyễn Đoàn Anh Tuấn</v>
          </cell>
          <cell r="C270" t="str">
            <v>Thôn 3</v>
          </cell>
          <cell r="D270" t="str">
            <v>6020964702</v>
          </cell>
          <cell r="E270" t="str">
            <v/>
          </cell>
          <cell r="F270" t="str">
            <v>DN4796020964702</v>
          </cell>
          <cell r="G270" t="str">
            <v>16/01/2000</v>
          </cell>
          <cell r="H270" t="str">
            <v>Nam</v>
          </cell>
          <cell r="I270" t="str">
            <v>60 - 013</v>
          </cell>
        </row>
        <row r="271">
          <cell r="B271" t="str">
            <v>Trần Văn Tròn</v>
          </cell>
          <cell r="C271" t="str">
            <v>Thôn Tân Quang</v>
          </cell>
          <cell r="D271" t="str">
            <v>6021174375</v>
          </cell>
          <cell r="E271" t="str">
            <v/>
          </cell>
          <cell r="F271" t="str">
            <v>DN4796021174375</v>
          </cell>
          <cell r="G271" t="str">
            <v>24/01/2005</v>
          </cell>
          <cell r="H271" t="str">
            <v>Nam</v>
          </cell>
          <cell r="I271" t="str">
            <v>60 - 019</v>
          </cell>
        </row>
        <row r="272">
          <cell r="B272" t="str">
            <v>Phương Hoài</v>
          </cell>
          <cell r="C272" t="str">
            <v>16 Võ Thị Sáu</v>
          </cell>
          <cell r="D272" t="str">
            <v>6021270791</v>
          </cell>
          <cell r="E272" t="str">
            <v/>
          </cell>
          <cell r="F272" t="str">
            <v>DN4796021270791</v>
          </cell>
          <cell r="G272" t="str">
            <v>06/03/1991</v>
          </cell>
          <cell r="H272" t="str">
            <v>Nam</v>
          </cell>
          <cell r="I272" t="str">
            <v>60 - 171</v>
          </cell>
        </row>
        <row r="273">
          <cell r="B273" t="str">
            <v>Lê Hùng Sơn</v>
          </cell>
          <cell r="C273" t="str">
            <v>Thôn 2</v>
          </cell>
          <cell r="D273" t="str">
            <v>6021283754</v>
          </cell>
          <cell r="E273" t="str">
            <v/>
          </cell>
          <cell r="F273" t="str">
            <v>DN4796021283754</v>
          </cell>
          <cell r="G273" t="str">
            <v>01/01/2002</v>
          </cell>
          <cell r="H273" t="str">
            <v>Nam</v>
          </cell>
          <cell r="I273" t="str">
            <v>60 - 171</v>
          </cell>
        </row>
        <row r="274">
          <cell r="B274" t="str">
            <v>Đào Xuân Thịnh</v>
          </cell>
          <cell r="C274" t="str">
            <v/>
          </cell>
          <cell r="D274" t="str">
            <v>6021336718</v>
          </cell>
          <cell r="E274" t="str">
            <v/>
          </cell>
          <cell r="F274" t="str">
            <v>DN4796021336718</v>
          </cell>
          <cell r="G274" t="str">
            <v>28/02/2001</v>
          </cell>
          <cell r="H274" t="str">
            <v>Nam</v>
          </cell>
          <cell r="I274" t="str">
            <v>60 - 152</v>
          </cell>
        </row>
        <row r="275">
          <cell r="B275" t="str">
            <v>Trần Kỳ Vĩ</v>
          </cell>
          <cell r="C275" t="str">
            <v/>
          </cell>
          <cell r="D275" t="str">
            <v>6021553945</v>
          </cell>
          <cell r="E275" t="str">
            <v/>
          </cell>
          <cell r="F275" t="str">
            <v>DN4796021553945</v>
          </cell>
          <cell r="G275" t="str">
            <v>11/08/1994</v>
          </cell>
          <cell r="H275" t="str">
            <v>Nam</v>
          </cell>
          <cell r="I275" t="str">
            <v>60 - 005</v>
          </cell>
        </row>
        <row r="276">
          <cell r="B276" t="str">
            <v>Trần Nguyễn Châu Thành Nhân</v>
          </cell>
          <cell r="C276" t="str">
            <v>Thôn Thái Hòa</v>
          </cell>
          <cell r="D276" t="str">
            <v>6021681537</v>
          </cell>
          <cell r="E276" t="str">
            <v/>
          </cell>
          <cell r="F276" t="str">
            <v>DN4796021681537</v>
          </cell>
          <cell r="G276" t="str">
            <v>07/05/1991</v>
          </cell>
          <cell r="H276" t="str">
            <v>Nam</v>
          </cell>
          <cell r="I276" t="str">
            <v>60 - 040</v>
          </cell>
        </row>
        <row r="277">
          <cell r="B277" t="str">
            <v>Phạm Thế Mỹ</v>
          </cell>
          <cell r="C277" t="str">
            <v>Khu phố Long Bình</v>
          </cell>
          <cell r="D277" t="str">
            <v>7409331345</v>
          </cell>
          <cell r="E277" t="str">
            <v/>
          </cell>
          <cell r="F277" t="str">
            <v>DN4797409331345</v>
          </cell>
          <cell r="G277" t="str">
            <v>30/12/1989</v>
          </cell>
          <cell r="H277" t="str">
            <v>Nam</v>
          </cell>
          <cell r="I277" t="str">
            <v>56 - 002</v>
          </cell>
        </row>
        <row r="278">
          <cell r="B278" t="str">
            <v>Đặng Bảo Trung</v>
          </cell>
          <cell r="C278" t="str">
            <v>Thôn 7</v>
          </cell>
          <cell r="D278" t="str">
            <v>7414156958</v>
          </cell>
          <cell r="E278" t="str">
            <v/>
          </cell>
          <cell r="F278" t="str">
            <v>DN4797414156958</v>
          </cell>
          <cell r="G278" t="str">
            <v>27/07/1996</v>
          </cell>
          <cell r="H278" t="str">
            <v>Nam</v>
          </cell>
          <cell r="I278" t="str">
            <v>75 - 012</v>
          </cell>
        </row>
        <row r="279">
          <cell r="B279" t="str">
            <v>Dương Tấn Quang</v>
          </cell>
          <cell r="C279" t="str">
            <v>Bình Thới</v>
          </cell>
          <cell r="D279" t="str">
            <v>7415039279</v>
          </cell>
          <cell r="E279" t="str">
            <v/>
          </cell>
          <cell r="F279" t="str">
            <v>DN4797415039279</v>
          </cell>
          <cell r="G279" t="str">
            <v>18/07/1994</v>
          </cell>
          <cell r="H279" t="str">
            <v>Nam</v>
          </cell>
          <cell r="I279" t="str">
            <v>56 - 183</v>
          </cell>
        </row>
        <row r="280">
          <cell r="B280" t="str">
            <v>Đinh Văn Phú</v>
          </cell>
          <cell r="C280" t="str">
            <v>Xuân Trường, Xuân Lộc, Đồng Nai</v>
          </cell>
          <cell r="D280" t="str">
            <v>7415072333</v>
          </cell>
          <cell r="E280" t="str">
            <v/>
          </cell>
          <cell r="F280" t="str">
            <v>DN4797415072333</v>
          </cell>
          <cell r="G280" t="str">
            <v>01/01/1991</v>
          </cell>
          <cell r="H280" t="str">
            <v>Nam</v>
          </cell>
          <cell r="I280" t="str">
            <v>75 - 013</v>
          </cell>
        </row>
        <row r="281">
          <cell r="B281" t="str">
            <v>Nguyễn Thành Phú</v>
          </cell>
          <cell r="C281" t="str">
            <v>Thôn Long Phụng</v>
          </cell>
          <cell r="D281" t="str">
            <v>7416052018</v>
          </cell>
          <cell r="E281" t="str">
            <v/>
          </cell>
          <cell r="F281" t="str">
            <v>DN4797416052018</v>
          </cell>
          <cell r="G281" t="str">
            <v>26/10/1993</v>
          </cell>
          <cell r="H281" t="str">
            <v>Nam</v>
          </cell>
          <cell r="I281" t="str">
            <v>54 - 031</v>
          </cell>
        </row>
        <row r="282">
          <cell r="B282" t="str">
            <v>Nguyễn Ngọc Tưởng</v>
          </cell>
          <cell r="C282" t="str">
            <v>đại thắng, vụ bản, nam định</v>
          </cell>
          <cell r="D282" t="str">
            <v>7508056985</v>
          </cell>
          <cell r="E282" t="str">
            <v>7508056985</v>
          </cell>
          <cell r="F282" t="str">
            <v>DN4797508056985</v>
          </cell>
          <cell r="G282" t="str">
            <v>08/06/1986</v>
          </cell>
          <cell r="H282" t="str">
            <v>Nam</v>
          </cell>
          <cell r="I282" t="str">
            <v>79 - 037</v>
          </cell>
        </row>
        <row r="283">
          <cell r="B283" t="str">
            <v>Phan Đình Tuấn</v>
          </cell>
          <cell r="C283" t="str">
            <v>Khu phố 5</v>
          </cell>
          <cell r="D283" t="str">
            <v>7512150032</v>
          </cell>
          <cell r="E283" t="str">
            <v>7512150032</v>
          </cell>
          <cell r="F283" t="str">
            <v>DN4797512150032</v>
          </cell>
          <cell r="G283" t="str">
            <v>09/09/1993</v>
          </cell>
          <cell r="H283" t="str">
            <v>Nam</v>
          </cell>
          <cell r="I283" t="str">
            <v>60 - 013</v>
          </cell>
        </row>
        <row r="284">
          <cell r="B284" t="str">
            <v>Nguyễn Minh Tiến</v>
          </cell>
          <cell r="C284" t="str">
            <v>Thôn 3</v>
          </cell>
          <cell r="D284" t="str">
            <v>7514051883</v>
          </cell>
          <cell r="E284" t="str">
            <v/>
          </cell>
          <cell r="F284" t="str">
            <v>DN4797514051883</v>
          </cell>
          <cell r="G284" t="str">
            <v>01/05/1995</v>
          </cell>
          <cell r="H284" t="str">
            <v>Nam</v>
          </cell>
          <cell r="I284" t="str">
            <v>60 - 152</v>
          </cell>
        </row>
        <row r="285">
          <cell r="B285" t="str">
            <v>Phạm Ngọc Chương</v>
          </cell>
          <cell r="C285" t="str">
            <v>Phú Khê 2</v>
          </cell>
          <cell r="D285" t="str">
            <v>7515143430</v>
          </cell>
          <cell r="E285" t="str">
            <v/>
          </cell>
          <cell r="F285" t="str">
            <v>DN4797515143430</v>
          </cell>
          <cell r="G285" t="str">
            <v>27/07/1992</v>
          </cell>
          <cell r="H285" t="str">
            <v>Nam</v>
          </cell>
          <cell r="I285" t="str">
            <v>54 - 031</v>
          </cell>
        </row>
        <row r="286">
          <cell r="B286" t="str">
            <v>Trần Ngọc Thắng</v>
          </cell>
          <cell r="C286" t="str">
            <v>Ấp Bảo Vinh A</v>
          </cell>
          <cell r="D286" t="str">
            <v>7523998264</v>
          </cell>
          <cell r="E286" t="str">
            <v/>
          </cell>
          <cell r="F286" t="str">
            <v>DN4797523998264</v>
          </cell>
          <cell r="G286" t="str">
            <v>13/04/1995</v>
          </cell>
          <cell r="H286" t="str">
            <v>Nam</v>
          </cell>
          <cell r="I286" t="str">
            <v>75 - 012</v>
          </cell>
        </row>
        <row r="287">
          <cell r="B287" t="str">
            <v>Bùi Nhật Thành</v>
          </cell>
          <cell r="C287" t="str">
            <v>39 Nguyễn Chí Thanh</v>
          </cell>
          <cell r="D287" t="str">
            <v>7524042614</v>
          </cell>
          <cell r="E287" t="str">
            <v/>
          </cell>
          <cell r="F287" t="str">
            <v>DN4797524042614</v>
          </cell>
          <cell r="G287" t="str">
            <v>11/12/1996</v>
          </cell>
          <cell r="H287" t="str">
            <v>Nam</v>
          </cell>
          <cell r="I287" t="str">
            <v>75 - 013</v>
          </cell>
        </row>
        <row r="288">
          <cell r="B288" t="str">
            <v>Phan Trung Thành</v>
          </cell>
          <cell r="C288" t="str">
            <v>Quảng Phát</v>
          </cell>
          <cell r="D288" t="str">
            <v>7524954297</v>
          </cell>
          <cell r="E288" t="str">
            <v/>
          </cell>
          <cell r="F288" t="str">
            <v>DN4797524954297</v>
          </cell>
          <cell r="G288" t="str">
            <v>23/06/1999</v>
          </cell>
          <cell r="H288" t="str">
            <v>Nam</v>
          </cell>
          <cell r="I288" t="str">
            <v>75 - 012</v>
          </cell>
        </row>
        <row r="289">
          <cell r="B289" t="str">
            <v>Nguyễn Hữu Tính</v>
          </cell>
          <cell r="C289" t="str">
            <v>Ấp Trung Nghĩa</v>
          </cell>
          <cell r="D289" t="str">
            <v>7526553032</v>
          </cell>
          <cell r="E289" t="str">
            <v/>
          </cell>
          <cell r="F289" t="str">
            <v>DN4797526553032</v>
          </cell>
          <cell r="G289" t="str">
            <v>25/12/1992</v>
          </cell>
          <cell r="H289" t="str">
            <v>Nam</v>
          </cell>
          <cell r="I289" t="str">
            <v>75 - 281</v>
          </cell>
        </row>
        <row r="290">
          <cell r="B290" t="str">
            <v>Nguyễn Tùng Lâm</v>
          </cell>
          <cell r="C290" t="str">
            <v>.</v>
          </cell>
          <cell r="D290" t="str">
            <v>7526563528</v>
          </cell>
          <cell r="E290" t="str">
            <v/>
          </cell>
          <cell r="F290" t="str">
            <v>DN4797526563528</v>
          </cell>
          <cell r="G290" t="str">
            <v>19/07/1999</v>
          </cell>
          <cell r="H290" t="str">
            <v>Nam</v>
          </cell>
          <cell r="I290" t="str">
            <v>79 - 034</v>
          </cell>
        </row>
        <row r="291">
          <cell r="B291" t="str">
            <v>Bùi Công Mạnh</v>
          </cell>
          <cell r="C291" t="str">
            <v>4/2 Thống Nhất, Dĩ An, Bình Dương</v>
          </cell>
          <cell r="D291" t="str">
            <v>7908106901</v>
          </cell>
          <cell r="E291" t="str">
            <v>7908106901</v>
          </cell>
          <cell r="F291" t="str">
            <v>DN4797908106901</v>
          </cell>
          <cell r="G291" t="str">
            <v>17/05/1981</v>
          </cell>
          <cell r="H291" t="str">
            <v>Nam</v>
          </cell>
          <cell r="I291" t="str">
            <v>79 - 037</v>
          </cell>
        </row>
        <row r="292">
          <cell r="B292" t="str">
            <v>Hoàng Kim Rạng</v>
          </cell>
          <cell r="C292" t="str">
            <v>Thành Sơn, Xuân Hải, Ninh Hải, Ninh Thuận</v>
          </cell>
          <cell r="D292" t="str">
            <v>7908106902</v>
          </cell>
          <cell r="E292" t="str">
            <v>7908106902</v>
          </cell>
          <cell r="F292" t="str">
            <v>DN4797908106902</v>
          </cell>
          <cell r="G292" t="str">
            <v>27/03/1983</v>
          </cell>
          <cell r="H292" t="str">
            <v>Nam</v>
          </cell>
          <cell r="I292" t="str">
            <v>58 - 114</v>
          </cell>
        </row>
        <row r="293">
          <cell r="B293" t="str">
            <v>Nguyễn Trọng Nhân</v>
          </cell>
          <cell r="C293" t="str">
            <v>xã sông luỹ, bắc bình, bình thuận</v>
          </cell>
          <cell r="D293" t="str">
            <v>7908106903</v>
          </cell>
          <cell r="E293" t="str">
            <v>7908106903</v>
          </cell>
          <cell r="F293" t="str">
            <v>DN4797908106903</v>
          </cell>
          <cell r="G293" t="str">
            <v>12/07/1982</v>
          </cell>
          <cell r="H293" t="str">
            <v>Nam</v>
          </cell>
          <cell r="I293" t="str">
            <v>58 - 007</v>
          </cell>
        </row>
        <row r="294">
          <cell r="B294" t="str">
            <v>Uông Nhật Sáng</v>
          </cell>
          <cell r="C294" t="str">
            <v>đô vinh, phan rang, ninh thuận</v>
          </cell>
          <cell r="D294" t="str">
            <v>7908106905</v>
          </cell>
          <cell r="E294" t="str">
            <v>7908106905</v>
          </cell>
          <cell r="F294" t="str">
            <v>DN4797908106905</v>
          </cell>
          <cell r="G294" t="str">
            <v>21/09/1986</v>
          </cell>
          <cell r="H294" t="str">
            <v>Nam</v>
          </cell>
          <cell r="I294" t="str">
            <v>79 - 031</v>
          </cell>
        </row>
        <row r="295">
          <cell r="B295" t="str">
            <v>Phạm Tiến Mạnh</v>
          </cell>
          <cell r="C295" t="str">
            <v>Khu phố 3</v>
          </cell>
          <cell r="D295" t="str">
            <v>7908106908</v>
          </cell>
          <cell r="E295" t="str">
            <v>7908106908</v>
          </cell>
          <cell r="F295" t="str">
            <v>DN4797908106908</v>
          </cell>
          <cell r="G295" t="str">
            <v>03/12/1987</v>
          </cell>
          <cell r="H295" t="str">
            <v>Nam</v>
          </cell>
          <cell r="I295" t="str">
            <v>58 - 007</v>
          </cell>
        </row>
        <row r="296">
          <cell r="B296" t="str">
            <v>Lê Thị Ngọc Mai</v>
          </cell>
          <cell r="C296" t="str">
            <v>Đức Thiện, Đức Phong, Bù Đăng, Bình Phước</v>
          </cell>
          <cell r="D296" t="str">
            <v>7908106911</v>
          </cell>
          <cell r="E296" t="str">
            <v>7908106911</v>
          </cell>
          <cell r="F296" t="str">
            <v>DN4797908106911</v>
          </cell>
          <cell r="G296" t="str">
            <v>21/10/1986</v>
          </cell>
          <cell r="H296" t="str">
            <v>Nữ</v>
          </cell>
          <cell r="I296" t="str">
            <v>56 - 181</v>
          </cell>
        </row>
        <row r="297">
          <cell r="B297" t="str">
            <v>Võ Văn Vận</v>
          </cell>
          <cell r="C297" t="str">
            <v>Thôn Long Hoà, Vạn Long, Vạn Ninh, NT, KH</v>
          </cell>
          <cell r="D297" t="str">
            <v>7908106913</v>
          </cell>
          <cell r="E297" t="str">
            <v>7908106913</v>
          </cell>
          <cell r="F297" t="str">
            <v>DN4797908106913</v>
          </cell>
          <cell r="G297" t="str">
            <v>10/11/1986</v>
          </cell>
          <cell r="H297" t="str">
            <v>Nam</v>
          </cell>
          <cell r="I297" t="str">
            <v>56 - 002</v>
          </cell>
        </row>
        <row r="298">
          <cell r="B298" t="str">
            <v>Nguyễn Quang Thuấn</v>
          </cell>
          <cell r="C298" t="str">
            <v>Xã Đại Lãnh, Vạn Ninh, Khánh Hoa'</v>
          </cell>
          <cell r="D298" t="str">
            <v>7908106915</v>
          </cell>
          <cell r="E298" t="str">
            <v>7908106915</v>
          </cell>
          <cell r="F298" t="str">
            <v>DN4797908106915</v>
          </cell>
          <cell r="G298" t="str">
            <v>26/07/1986</v>
          </cell>
          <cell r="H298" t="str">
            <v>Nam</v>
          </cell>
          <cell r="I298" t="str">
            <v>56 - 073</v>
          </cell>
        </row>
        <row r="299">
          <cell r="B299" t="str">
            <v>Nguyễn Hoàng Anh</v>
          </cell>
          <cell r="C299" t="str">
            <v>23 Trần Phú, Xuân An, Long Khánh, Đồng Nai</v>
          </cell>
          <cell r="D299" t="str">
            <v>7908106916</v>
          </cell>
          <cell r="E299" t="str">
            <v>7908106916</v>
          </cell>
          <cell r="F299" t="str">
            <v>DN4797908106916</v>
          </cell>
          <cell r="G299" t="str">
            <v>22/09/1984</v>
          </cell>
          <cell r="H299" t="str">
            <v>Nam</v>
          </cell>
          <cell r="I299" t="str">
            <v>75 - 281</v>
          </cell>
        </row>
        <row r="300">
          <cell r="B300" t="str">
            <v>Nguyễn Xuân Thế</v>
          </cell>
          <cell r="C300" t="str">
            <v>Quảng Sơn, Ninh Sơn, Ninh Thuận</v>
          </cell>
          <cell r="D300" t="str">
            <v>7908106918</v>
          </cell>
          <cell r="E300" t="str">
            <v>7908106918</v>
          </cell>
          <cell r="F300" t="str">
            <v>DN4797908106918</v>
          </cell>
          <cell r="G300" t="str">
            <v>19/07/1987</v>
          </cell>
          <cell r="H300" t="str">
            <v>Nam</v>
          </cell>
          <cell r="I300" t="str">
            <v>58 - 114</v>
          </cell>
        </row>
        <row r="301">
          <cell r="B301" t="str">
            <v>Nguyễn Tú Long</v>
          </cell>
          <cell r="C301" t="str">
            <v>16 tổ 18B, Ruộng Hời, Bảo Vinh, Long Khánh</v>
          </cell>
          <cell r="D301" t="str">
            <v>7908106919</v>
          </cell>
          <cell r="E301" t="str">
            <v>7908106919</v>
          </cell>
          <cell r="F301" t="str">
            <v>DN4797908106919</v>
          </cell>
          <cell r="G301" t="str">
            <v>28/07/1984</v>
          </cell>
          <cell r="H301" t="str">
            <v>Nam</v>
          </cell>
          <cell r="I301" t="str">
            <v>79 - 034</v>
          </cell>
        </row>
        <row r="302">
          <cell r="B302" t="str">
            <v>Nguyễn Xuân Hùng</v>
          </cell>
          <cell r="C302" t="str">
            <v>12A B134 Cát Bi, Hải Phòng</v>
          </cell>
          <cell r="D302" t="str">
            <v>7908106922</v>
          </cell>
          <cell r="E302" t="str">
            <v>7908106922</v>
          </cell>
          <cell r="F302" t="str">
            <v>DN4797908106922</v>
          </cell>
          <cell r="G302" t="str">
            <v>02/11/1983</v>
          </cell>
          <cell r="H302" t="str">
            <v>Nam</v>
          </cell>
          <cell r="I302" t="str">
            <v>79 - 016</v>
          </cell>
        </row>
        <row r="303">
          <cell r="B303" t="str">
            <v>Đỗ Bá Cường</v>
          </cell>
          <cell r="C303" t="str">
            <v>PK6, xuân an, long khánh, đồng nai</v>
          </cell>
          <cell r="D303" t="str">
            <v>7908206108</v>
          </cell>
          <cell r="E303" t="str">
            <v>7908206108</v>
          </cell>
          <cell r="F303" t="str">
            <v>DN4797908206108</v>
          </cell>
          <cell r="G303" t="str">
            <v>20/07/1985</v>
          </cell>
          <cell r="H303" t="str">
            <v>Nam</v>
          </cell>
          <cell r="I303" t="str">
            <v>75 - 281</v>
          </cell>
        </row>
        <row r="304">
          <cell r="B304" t="str">
            <v>Trần Thị Thu Hoài</v>
          </cell>
          <cell r="C304" t="str">
            <v>, Xã Xà Bang, Xã Xà Bang, Huyện Châu Đức, Tỉnh Bà Rịa - Vũng Tàu</v>
          </cell>
          <cell r="D304" t="str">
            <v>7908246583</v>
          </cell>
          <cell r="E304" t="str">
            <v>7908246583</v>
          </cell>
          <cell r="F304" t="str">
            <v>DN4797908246583</v>
          </cell>
          <cell r="G304" t="str">
            <v>01/01/1986</v>
          </cell>
          <cell r="H304" t="str">
            <v>Nữ</v>
          </cell>
          <cell r="I304" t="str">
            <v>79 - 034</v>
          </cell>
        </row>
        <row r="305">
          <cell r="B305" t="str">
            <v>Nguyễn Thanh Hào</v>
          </cell>
          <cell r="C305" t="str">
            <v>KP2 thị trấn Tân Sơn, Ninh Sơn, Ninh Thuận</v>
          </cell>
          <cell r="D305" t="str">
            <v>7908252471</v>
          </cell>
          <cell r="E305" t="str">
            <v>7908252471</v>
          </cell>
          <cell r="F305" t="str">
            <v>DN4797908252471</v>
          </cell>
          <cell r="G305" t="str">
            <v>08/01/1987</v>
          </cell>
          <cell r="H305" t="str">
            <v>Nam</v>
          </cell>
          <cell r="I305" t="str">
            <v>58 - 007</v>
          </cell>
        </row>
        <row r="306">
          <cell r="B306" t="str">
            <v>Lê Thị Mỹ Vân</v>
          </cell>
          <cell r="C306" t="str">
            <v>7618Cao Hành, Phú Trinh, Phan Thiết,bình thuận</v>
          </cell>
          <cell r="D306" t="str">
            <v>7908282412</v>
          </cell>
          <cell r="E306" t="str">
            <v>7908282412</v>
          </cell>
          <cell r="F306" t="str">
            <v>DN4797908282412</v>
          </cell>
          <cell r="G306" t="str">
            <v>30/09/1984</v>
          </cell>
          <cell r="H306" t="str">
            <v>Nữ</v>
          </cell>
          <cell r="I306" t="str">
            <v>60 - 040</v>
          </cell>
        </row>
        <row r="307">
          <cell r="B307" t="str">
            <v>Nguyễn Hoàng Long</v>
          </cell>
          <cell r="C307" t="str">
            <v>95A3 nguyễn Oanh, P17, gò vấp, TPHCM</v>
          </cell>
          <cell r="D307" t="str">
            <v>7908296771</v>
          </cell>
          <cell r="E307" t="str">
            <v>7908296771</v>
          </cell>
          <cell r="F307" t="str">
            <v>DN4797908296771</v>
          </cell>
          <cell r="G307" t="str">
            <v>03/11/1983</v>
          </cell>
          <cell r="H307" t="str">
            <v>Nam</v>
          </cell>
          <cell r="I307" t="str">
            <v>79 - 016</v>
          </cell>
        </row>
        <row r="308">
          <cell r="B308" t="str">
            <v>Nguyễn Tấn Huy</v>
          </cell>
          <cell r="C308" t="str">
            <v>244 Đại Thành</v>
          </cell>
          <cell r="D308" t="str">
            <v>7908477173</v>
          </cell>
          <cell r="E308" t="str">
            <v>7908477173</v>
          </cell>
          <cell r="F308" t="str">
            <v>DN4797908477173</v>
          </cell>
          <cell r="G308" t="str">
            <v>22/12/1987</v>
          </cell>
          <cell r="H308" t="str">
            <v>Nam</v>
          </cell>
          <cell r="I308" t="str">
            <v>60 - 152</v>
          </cell>
        </row>
        <row r="309">
          <cell r="B309" t="str">
            <v>Lưu Bích Hồng</v>
          </cell>
          <cell r="C309" t="str">
            <v>11/5 nguyễn hồng Sơn, Nha trang, Khánh Hoà</v>
          </cell>
          <cell r="D309" t="str">
            <v>7909077812</v>
          </cell>
          <cell r="E309" t="str">
            <v>7909077812</v>
          </cell>
          <cell r="F309" t="str">
            <v>DN4797909077812</v>
          </cell>
          <cell r="G309" t="str">
            <v>02/02/1982</v>
          </cell>
          <cell r="H309" t="str">
            <v>Nữ</v>
          </cell>
          <cell r="I309" t="str">
            <v>56 - 184</v>
          </cell>
        </row>
        <row r="310">
          <cell r="B310" t="str">
            <v>Trần Thị Diệu Hòa</v>
          </cell>
          <cell r="C310" t="str">
            <v>phước tân, Nha Trang, khánh hòa</v>
          </cell>
          <cell r="D310" t="str">
            <v>7909175800</v>
          </cell>
          <cell r="E310" t="str">
            <v>7909175800</v>
          </cell>
          <cell r="F310" t="str">
            <v>DN4797909175800</v>
          </cell>
          <cell r="G310" t="str">
            <v>09/07/1985</v>
          </cell>
          <cell r="H310" t="str">
            <v>Nữ</v>
          </cell>
          <cell r="I310" t="str">
            <v>56 - 181</v>
          </cell>
        </row>
        <row r="311">
          <cell r="B311" t="str">
            <v>Lê Thị Mộng Thu</v>
          </cell>
          <cell r="C311" t="str">
            <v>28 huỳnh thúc kháng, Nha Trang, khánh hòa</v>
          </cell>
          <cell r="D311" t="str">
            <v>7909175801</v>
          </cell>
          <cell r="E311" t="str">
            <v>7909175801</v>
          </cell>
          <cell r="F311" t="str">
            <v>DN4797909175801</v>
          </cell>
          <cell r="G311" t="str">
            <v>01/07/1983</v>
          </cell>
          <cell r="H311" t="str">
            <v>Nữ</v>
          </cell>
          <cell r="I311" t="str">
            <v>56 - 001</v>
          </cell>
        </row>
        <row r="312">
          <cell r="B312" t="str">
            <v>Vũ Văn Tuân</v>
          </cell>
          <cell r="C312" t="str">
            <v>C99 bis, nguyễn văn quá, đông hưng thuận, q12</v>
          </cell>
          <cell r="D312" t="str">
            <v>7909296592</v>
          </cell>
          <cell r="E312" t="str">
            <v>7909296592</v>
          </cell>
          <cell r="F312" t="str">
            <v>DN4797909296592</v>
          </cell>
          <cell r="G312" t="str">
            <v>23/10/1985</v>
          </cell>
          <cell r="H312" t="str">
            <v>Nam</v>
          </cell>
          <cell r="I312" t="str">
            <v>79 - 014</v>
          </cell>
        </row>
        <row r="313">
          <cell r="B313" t="str">
            <v>Nguyễn Thị Lý Bá</v>
          </cell>
          <cell r="C313" t="str">
            <v>19/57 đường 49, KP6</v>
          </cell>
          <cell r="D313" t="str">
            <v>7909317151</v>
          </cell>
          <cell r="E313" t="str">
            <v>7909317151</v>
          </cell>
          <cell r="F313" t="str">
            <v>DN4797909317151</v>
          </cell>
          <cell r="G313" t="str">
            <v>29/11/1989</v>
          </cell>
          <cell r="H313" t="str">
            <v>Nữ</v>
          </cell>
          <cell r="I313" t="str">
            <v>79 - 034</v>
          </cell>
        </row>
        <row r="314">
          <cell r="B314" t="str">
            <v>Nguyễn Văn Minh</v>
          </cell>
          <cell r="C314" t="str">
            <v>thôn 4, vinh hà, phú vang, Thừa Thiên Huế</v>
          </cell>
          <cell r="D314" t="str">
            <v>7909317152</v>
          </cell>
          <cell r="E314" t="str">
            <v>7909317152</v>
          </cell>
          <cell r="F314" t="str">
            <v>DN4797909317152</v>
          </cell>
          <cell r="G314" t="str">
            <v>03/02/1988</v>
          </cell>
          <cell r="H314" t="str">
            <v>Nam</v>
          </cell>
          <cell r="I314" t="str">
            <v>79 - 034</v>
          </cell>
        </row>
        <row r="315">
          <cell r="B315" t="str">
            <v>Đinh Thị Hà</v>
          </cell>
          <cell r="C315" t="str">
            <v>Số 7 Lý Thường Kiệt</v>
          </cell>
          <cell r="D315" t="str">
            <v>7909333964</v>
          </cell>
          <cell r="E315" t="str">
            <v>7909333964</v>
          </cell>
          <cell r="F315" t="str">
            <v>DN4797909333964</v>
          </cell>
          <cell r="G315" t="str">
            <v>13/06/1988</v>
          </cell>
          <cell r="H315" t="str">
            <v>Nữ</v>
          </cell>
          <cell r="I315" t="str">
            <v>79 - 037</v>
          </cell>
        </row>
        <row r="316">
          <cell r="B316" t="str">
            <v>Nguyễn Hoàng Bảo Chí</v>
          </cell>
          <cell r="C316" t="str">
            <v>19 Lê Đại hành,phan rang,ninh thuận</v>
          </cell>
          <cell r="D316" t="str">
            <v>7909400276</v>
          </cell>
          <cell r="E316" t="str">
            <v>7909400276</v>
          </cell>
          <cell r="F316" t="str">
            <v>DN4797909400276</v>
          </cell>
          <cell r="G316" t="str">
            <v>11/11/1982</v>
          </cell>
          <cell r="H316" t="str">
            <v>Nam</v>
          </cell>
          <cell r="I316" t="str">
            <v>79 - 014</v>
          </cell>
        </row>
        <row r="317">
          <cell r="B317" t="str">
            <v>Trương Thị Kim Anh</v>
          </cell>
          <cell r="C317" t="str">
            <v>Số 61, tổ 51, KP4, linh tây, thủ đức, HCM</v>
          </cell>
          <cell r="D317" t="str">
            <v>7910216152</v>
          </cell>
          <cell r="E317" t="str">
            <v>7910216152</v>
          </cell>
          <cell r="F317" t="str">
            <v>DN4797910216152</v>
          </cell>
          <cell r="G317" t="str">
            <v>22/04/1982</v>
          </cell>
          <cell r="H317" t="str">
            <v>Nữ</v>
          </cell>
          <cell r="I317" t="str">
            <v>79 - 031</v>
          </cell>
        </row>
        <row r="318">
          <cell r="B318" t="str">
            <v>Trần Đức Cường</v>
          </cell>
          <cell r="C318" t="str">
            <v>Fim nôm, hiệp thạnh, đức trọng, lâm đồng</v>
          </cell>
          <cell r="D318" t="str">
            <v>7910229533</v>
          </cell>
          <cell r="E318" t="str">
            <v>7910229533</v>
          </cell>
          <cell r="F318" t="str">
            <v>DN4797910229533</v>
          </cell>
          <cell r="G318" t="str">
            <v>10/10/1985</v>
          </cell>
          <cell r="H318" t="str">
            <v>Nam</v>
          </cell>
          <cell r="I318" t="str">
            <v>79 - 071</v>
          </cell>
        </row>
        <row r="319">
          <cell r="B319" t="str">
            <v>Nguyễn Thị Phúc Hạnh</v>
          </cell>
          <cell r="C319" t="str">
            <v>tân an, quảng thanh, quảng trạch, quảng bình</v>
          </cell>
          <cell r="D319" t="str">
            <v>7910240511</v>
          </cell>
          <cell r="E319" t="str">
            <v>7910240511</v>
          </cell>
          <cell r="F319" t="str">
            <v>DN4797910240511</v>
          </cell>
          <cell r="G319" t="str">
            <v>08/09/1987</v>
          </cell>
          <cell r="H319" t="str">
            <v>Nữ</v>
          </cell>
          <cell r="I319" t="str">
            <v>79 - 034</v>
          </cell>
        </row>
        <row r="320">
          <cell r="B320" t="str">
            <v>Lê Ngọc Dũng</v>
          </cell>
          <cell r="C320" t="str">
            <v>thạch bàn, phú thuỷ, lê thuỷ, quảng bình</v>
          </cell>
          <cell r="D320" t="str">
            <v>7910240512</v>
          </cell>
          <cell r="E320" t="str">
            <v>7910240512</v>
          </cell>
          <cell r="F320" t="str">
            <v>DN4797910240512</v>
          </cell>
          <cell r="G320" t="str">
            <v>27/10/1984</v>
          </cell>
          <cell r="H320" t="str">
            <v>Nam</v>
          </cell>
          <cell r="I320" t="str">
            <v>60 - 152</v>
          </cell>
        </row>
        <row r="321">
          <cell r="B321" t="str">
            <v>Nguyễn Anh Tú</v>
          </cell>
          <cell r="C321" t="str">
            <v>hiệp hội, vân canh, bình định</v>
          </cell>
          <cell r="D321" t="str">
            <v>7910240513</v>
          </cell>
          <cell r="E321" t="str">
            <v>7910240513</v>
          </cell>
          <cell r="F321" t="str">
            <v>DN4797910240513</v>
          </cell>
          <cell r="G321" t="str">
            <v>20/06/1987</v>
          </cell>
          <cell r="H321" t="str">
            <v>Nam</v>
          </cell>
          <cell r="I321" t="str">
            <v>52 - 008</v>
          </cell>
        </row>
        <row r="322">
          <cell r="B322" t="str">
            <v>Lê Thanh Tịnh</v>
          </cell>
          <cell r="C322" t="str">
            <v>xóm 7, phúc trạch, hương khê, hà tĩnh</v>
          </cell>
          <cell r="D322" t="str">
            <v>7910439716</v>
          </cell>
          <cell r="E322" t="str">
            <v>7910439716</v>
          </cell>
          <cell r="F322" t="str">
            <v>DN4797910439716</v>
          </cell>
          <cell r="G322" t="str">
            <v>12/10/1988</v>
          </cell>
          <cell r="H322" t="str">
            <v>Nam</v>
          </cell>
          <cell r="I322" t="str">
            <v>74 - 024</v>
          </cell>
        </row>
        <row r="323">
          <cell r="B323" t="str">
            <v>Dương Tuấn Mỹ</v>
          </cell>
          <cell r="C323" t="str">
            <v>định phong, an nghiệp, tuy an, phú yên</v>
          </cell>
          <cell r="D323" t="str">
            <v>7910508292</v>
          </cell>
          <cell r="E323" t="str">
            <v>7910508292</v>
          </cell>
          <cell r="F323" t="str">
            <v>DN4797910508292</v>
          </cell>
          <cell r="G323" t="str">
            <v>10/09/1988</v>
          </cell>
          <cell r="H323" t="str">
            <v>Nam</v>
          </cell>
          <cell r="I323" t="str">
            <v>54 - 003</v>
          </cell>
        </row>
        <row r="324">
          <cell r="B324" t="str">
            <v>Nguyễn Đức Khoa</v>
          </cell>
          <cell r="C324" t="str">
            <v>KP bà triệu, p7, tuy hoà, phú yên</v>
          </cell>
          <cell r="D324" t="str">
            <v>7910508293</v>
          </cell>
          <cell r="E324" t="str">
            <v>7910508293</v>
          </cell>
          <cell r="F324" t="str">
            <v>DN4797910508293</v>
          </cell>
          <cell r="G324" t="str">
            <v>01/06/1988</v>
          </cell>
          <cell r="H324" t="str">
            <v>Nam</v>
          </cell>
          <cell r="I324" t="str">
            <v>54 - 032</v>
          </cell>
        </row>
        <row r="325">
          <cell r="B325" t="str">
            <v>Dương Tấn Bảo</v>
          </cell>
          <cell r="C325" t="str">
            <v>xóm 9, an châu, bình thới, bình sơn, quãng ngãi</v>
          </cell>
          <cell r="D325" t="str">
            <v>7911084384</v>
          </cell>
          <cell r="E325" t="str">
            <v>7911084384</v>
          </cell>
          <cell r="F325" t="str">
            <v>DN4797911084384</v>
          </cell>
          <cell r="G325" t="str">
            <v>20/02/1986</v>
          </cell>
          <cell r="H325" t="str">
            <v>Nam</v>
          </cell>
          <cell r="I325" t="str">
            <v>56 - 183</v>
          </cell>
        </row>
        <row r="326">
          <cell r="B326" t="str">
            <v>Hồ Thị Kiều Vy</v>
          </cell>
          <cell r="C326" t="str">
            <v>87 lê trung kiên, tuy hoà, phú yên</v>
          </cell>
          <cell r="D326" t="str">
            <v>7911097076</v>
          </cell>
          <cell r="E326" t="str">
            <v>7911097076</v>
          </cell>
          <cell r="F326" t="str">
            <v>DN4797911097076</v>
          </cell>
          <cell r="G326" t="str">
            <v>04/04/1986</v>
          </cell>
          <cell r="H326" t="str">
            <v>Nữ</v>
          </cell>
          <cell r="I326" t="str">
            <v>54 - 162</v>
          </cell>
        </row>
        <row r="327">
          <cell r="B327" t="str">
            <v>Nguyễn Văn Dũng</v>
          </cell>
          <cell r="C327" t="str">
            <v>hồng kỳ, nghĩa phúc, tân kỳ ,nghệ an</v>
          </cell>
          <cell r="D327" t="str">
            <v>7911248152</v>
          </cell>
          <cell r="E327" t="str">
            <v>7911248152</v>
          </cell>
          <cell r="F327" t="str">
            <v>DN4797911248152</v>
          </cell>
          <cell r="G327" t="str">
            <v>22/10/1986</v>
          </cell>
          <cell r="H327" t="str">
            <v>Nam</v>
          </cell>
          <cell r="I327" t="str">
            <v>79 - 034</v>
          </cell>
        </row>
        <row r="328">
          <cell r="B328" t="str">
            <v>Võ Thành Công</v>
          </cell>
          <cell r="C328" t="str">
            <v>thôn 4,hồng sơn,hàm thuận bắc,bình thuận</v>
          </cell>
          <cell r="D328" t="str">
            <v>7911375316</v>
          </cell>
          <cell r="E328" t="str">
            <v>7911375316</v>
          </cell>
          <cell r="F328" t="str">
            <v>DN4797911375316</v>
          </cell>
          <cell r="G328" t="str">
            <v>12/05/1988</v>
          </cell>
          <cell r="H328" t="str">
            <v>Nam</v>
          </cell>
          <cell r="I328" t="str">
            <v>60 - 005</v>
          </cell>
        </row>
        <row r="329">
          <cell r="B329" t="str">
            <v>Nguyễn Quốc Thắng</v>
          </cell>
          <cell r="C329" t="str">
            <v>phước mỹ,phan rang,tháp chàm,ninh thuận</v>
          </cell>
          <cell r="D329" t="str">
            <v>7911375317</v>
          </cell>
          <cell r="E329" t="str">
            <v>7911375317</v>
          </cell>
          <cell r="F329" t="str">
            <v>DN4797911375317</v>
          </cell>
          <cell r="G329" t="str">
            <v>05/11/1984</v>
          </cell>
          <cell r="H329" t="str">
            <v>Nam</v>
          </cell>
          <cell r="I329" t="str">
            <v>58 - 114</v>
          </cell>
        </row>
        <row r="330">
          <cell r="B330" t="str">
            <v>Khương Văn Toàn</v>
          </cell>
          <cell r="C330" t="str">
            <v>Yên Thôn, Định Tiến, Yên Định, Thanh Hóa</v>
          </cell>
          <cell r="D330" t="str">
            <v>7911421775</v>
          </cell>
          <cell r="E330" t="str">
            <v>7911421775</v>
          </cell>
          <cell r="F330" t="str">
            <v>DN4797911421775</v>
          </cell>
          <cell r="G330" t="str">
            <v>10/03/1989</v>
          </cell>
          <cell r="H330" t="str">
            <v>Nam</v>
          </cell>
          <cell r="I330" t="str">
            <v>79 - 034</v>
          </cell>
        </row>
        <row r="331">
          <cell r="B331" t="str">
            <v>Bùi Hồng Phương</v>
          </cell>
          <cell r="C331" t="str">
            <v>đô vinh,phan rang,tháp chàm,ninh thuận</v>
          </cell>
          <cell r="D331" t="str">
            <v>7911433258</v>
          </cell>
          <cell r="E331" t="str">
            <v>7911433258</v>
          </cell>
          <cell r="F331" t="str">
            <v>DN4797911433258</v>
          </cell>
          <cell r="G331" t="str">
            <v>10/10/1988</v>
          </cell>
          <cell r="H331" t="str">
            <v>Nam</v>
          </cell>
          <cell r="I331" t="str">
            <v>58 - 114</v>
          </cell>
        </row>
        <row r="332">
          <cell r="B332" t="str">
            <v>Phạm Minh Duy</v>
          </cell>
          <cell r="C332" t="str">
            <v>510 đằng thành,mường mán, htnam,bình thuận</v>
          </cell>
          <cell r="D332" t="str">
            <v>7911433259</v>
          </cell>
          <cell r="E332" t="str">
            <v>7911433259</v>
          </cell>
          <cell r="F332" t="str">
            <v>DN4797911433259</v>
          </cell>
          <cell r="G332" t="str">
            <v>24/08/1989</v>
          </cell>
          <cell r="H332" t="str">
            <v>Nam</v>
          </cell>
          <cell r="I332" t="str">
            <v>60 - 152</v>
          </cell>
        </row>
        <row r="333">
          <cell r="B333" t="str">
            <v>Đỗ Chí Cường</v>
          </cell>
          <cell r="C333" t="str">
            <v>đô vinh,phan rang, tháp chàm,ninh thuận</v>
          </cell>
          <cell r="D333" t="str">
            <v>7911433260</v>
          </cell>
          <cell r="E333" t="str">
            <v>7911433260</v>
          </cell>
          <cell r="F333" t="str">
            <v>DN4797911433260</v>
          </cell>
          <cell r="G333" t="str">
            <v>15/06/1981</v>
          </cell>
          <cell r="H333" t="str">
            <v>Nam</v>
          </cell>
          <cell r="I333" t="str">
            <v>58 - 007</v>
          </cell>
        </row>
        <row r="334">
          <cell r="B334" t="str">
            <v>Nguyễn Hồng Anh</v>
          </cell>
          <cell r="C334" t="str">
            <v>134 Lê Thị Hồng , Phường 17, Quận Gò Vấp, TP. Hồ Chí Minh</v>
          </cell>
          <cell r="D334" t="str">
            <v>7911472422</v>
          </cell>
          <cell r="E334" t="str">
            <v>7911472422</v>
          </cell>
          <cell r="F334" t="str">
            <v>DN4797911472422</v>
          </cell>
          <cell r="G334" t="str">
            <v>25/06/1987</v>
          </cell>
          <cell r="H334" t="str">
            <v>Nữ</v>
          </cell>
          <cell r="I334" t="str">
            <v>79 - 034</v>
          </cell>
        </row>
        <row r="335">
          <cell r="B335" t="str">
            <v>Lê Khắc Vũ</v>
          </cell>
          <cell r="C335" t="str">
            <v>kp5 thanh sơn, phan rang, tháp chàm, nthuận</v>
          </cell>
          <cell r="D335" t="str">
            <v>7911518295</v>
          </cell>
          <cell r="E335" t="str">
            <v>7911518295</v>
          </cell>
          <cell r="F335" t="str">
            <v>DN4797911518295</v>
          </cell>
          <cell r="G335" t="str">
            <v>27/03/1985</v>
          </cell>
          <cell r="H335" t="str">
            <v>Nam</v>
          </cell>
          <cell r="I335" t="str">
            <v>79 - 426</v>
          </cell>
        </row>
        <row r="336">
          <cell r="B336" t="str">
            <v>Nguyễn Thanh Hải</v>
          </cell>
          <cell r="C336" t="str">
            <v>tổ 1,cầu sến,phương đông,uông bí,q ninh</v>
          </cell>
          <cell r="D336" t="str">
            <v>7911518296</v>
          </cell>
          <cell r="E336" t="str">
            <v>7911518296</v>
          </cell>
          <cell r="F336" t="str">
            <v>DN4797911518296</v>
          </cell>
          <cell r="G336" t="str">
            <v>14/01/1982</v>
          </cell>
          <cell r="H336" t="str">
            <v>Nam</v>
          </cell>
          <cell r="I336" t="str">
            <v>79 - 037</v>
          </cell>
        </row>
        <row r="337">
          <cell r="B337" t="str">
            <v>Trần Văn Duy</v>
          </cell>
          <cell r="C337" t="str">
            <v>c 19/8 tổ 9, kp 2, tăng nhơn phú a, q9</v>
          </cell>
          <cell r="D337" t="str">
            <v>7912075364</v>
          </cell>
          <cell r="E337" t="str">
            <v>7912075364</v>
          </cell>
          <cell r="F337" t="str">
            <v>DN4797912075364</v>
          </cell>
          <cell r="G337" t="str">
            <v>03/01/1985</v>
          </cell>
          <cell r="H337" t="str">
            <v>Nam</v>
          </cell>
          <cell r="I337" t="str">
            <v>79 - 037</v>
          </cell>
        </row>
        <row r="338">
          <cell r="B338" t="str">
            <v>Phạm Xuân Bình</v>
          </cell>
          <cell r="C338" t="str">
            <v>số 2 đường 2/4,vĩnh hải, nha trang,khánh hoà</v>
          </cell>
          <cell r="D338" t="str">
            <v>7912144063</v>
          </cell>
          <cell r="E338" t="str">
            <v>7912144063</v>
          </cell>
          <cell r="F338" t="str">
            <v>DN4797912144063</v>
          </cell>
          <cell r="G338" t="str">
            <v>05/02/1987</v>
          </cell>
          <cell r="H338" t="str">
            <v>Nam</v>
          </cell>
          <cell r="I338" t="str">
            <v>56 - 012</v>
          </cell>
        </row>
        <row r="339">
          <cell r="B339" t="str">
            <v>Nguyễn Linh Chi</v>
          </cell>
          <cell r="C339" t="str">
            <v>295 lê hồng phong, nha trang, khánh hoà</v>
          </cell>
          <cell r="D339" t="str">
            <v>7912202107</v>
          </cell>
          <cell r="E339" t="str">
            <v>7912202107</v>
          </cell>
          <cell r="F339" t="str">
            <v>DN4797912202107</v>
          </cell>
          <cell r="G339" t="str">
            <v>22/01/1988</v>
          </cell>
          <cell r="H339" t="str">
            <v>Nữ</v>
          </cell>
          <cell r="I339" t="str">
            <v>56 - 012</v>
          </cell>
        </row>
        <row r="340">
          <cell r="B340" t="str">
            <v>Đỗ Văn Lâm</v>
          </cell>
          <cell r="C340" t="str">
            <v>đông thượng, trung đông, trực ninh, nam định</v>
          </cell>
          <cell r="D340" t="str">
            <v>7912231758</v>
          </cell>
          <cell r="E340" t="str">
            <v>7912231758</v>
          </cell>
          <cell r="F340" t="str">
            <v>DN4797912231758</v>
          </cell>
          <cell r="G340" t="str">
            <v>30/09/1985</v>
          </cell>
          <cell r="H340" t="str">
            <v>Nam</v>
          </cell>
          <cell r="I340" t="str">
            <v>79 - 036</v>
          </cell>
        </row>
        <row r="341">
          <cell r="B341" t="str">
            <v>Hà Trung Hiếu</v>
          </cell>
          <cell r="C341" t="str">
            <v>kim liên, nam đàn, nghệ an</v>
          </cell>
          <cell r="D341" t="str">
            <v>7912342692</v>
          </cell>
          <cell r="E341" t="str">
            <v>7912342692</v>
          </cell>
          <cell r="F341" t="str">
            <v>DN4797912342692</v>
          </cell>
          <cell r="G341" t="str">
            <v>24/05/1986</v>
          </cell>
          <cell r="H341" t="str">
            <v>Nam</v>
          </cell>
          <cell r="I341" t="str">
            <v>79 - 071</v>
          </cell>
        </row>
        <row r="342">
          <cell r="B342" t="str">
            <v>Phạm Thị Hường</v>
          </cell>
          <cell r="C342" t="str">
            <v>164A lê trung kiên, p2, tuy hoà, phú yên</v>
          </cell>
          <cell r="D342" t="str">
            <v>7912342693</v>
          </cell>
          <cell r="E342" t="str">
            <v>7912342693</v>
          </cell>
          <cell r="F342" t="str">
            <v>DN4797912342693</v>
          </cell>
          <cell r="G342" t="str">
            <v>20/06/1984</v>
          </cell>
          <cell r="H342" t="str">
            <v>Nữ</v>
          </cell>
          <cell r="I342" t="str">
            <v>54 - 162</v>
          </cell>
        </row>
        <row r="343">
          <cell r="B343" t="str">
            <v>Nguyễn Đăng An</v>
          </cell>
          <cell r="C343" t="str">
            <v>phú thủy, phan thiết, bình thuận</v>
          </cell>
          <cell r="D343" t="str">
            <v>7912390189</v>
          </cell>
          <cell r="E343" t="str">
            <v>7912390189</v>
          </cell>
          <cell r="F343" t="str">
            <v>DN4797912390189</v>
          </cell>
          <cell r="G343" t="str">
            <v>18/05/1988</v>
          </cell>
          <cell r="H343" t="str">
            <v>Nam</v>
          </cell>
          <cell r="I343" t="str">
            <v>60 - 040</v>
          </cell>
        </row>
        <row r="344">
          <cell r="B344" t="str">
            <v>Nguyễn Trung Hậu</v>
          </cell>
          <cell r="C344" t="str">
            <v>Xã Hồng Liêm, Xã Hồng Liêm, Huyện Hàm Thuận Bắc, Tỉnh Bình Thuận</v>
          </cell>
          <cell r="D344" t="str">
            <v>7913102688</v>
          </cell>
          <cell r="E344" t="str">
            <v/>
          </cell>
          <cell r="F344" t="str">
            <v>DN4797913102688</v>
          </cell>
          <cell r="G344" t="str">
            <v>09/10/1990</v>
          </cell>
          <cell r="H344" t="str">
            <v>Nam</v>
          </cell>
          <cell r="I344" t="str">
            <v>60 - 171</v>
          </cell>
        </row>
        <row r="345">
          <cell r="B345" t="str">
            <v>Mai Thành Long</v>
          </cell>
          <cell r="C345" t="str">
            <v>hàm thắng, hàm thuận bắc, bình thuận</v>
          </cell>
          <cell r="D345" t="str">
            <v>7913325640</v>
          </cell>
          <cell r="E345" t="str">
            <v>7913325640</v>
          </cell>
          <cell r="F345" t="str">
            <v>DN4797913325640</v>
          </cell>
          <cell r="G345" t="str">
            <v>11/05/1988</v>
          </cell>
          <cell r="H345" t="str">
            <v>Nam</v>
          </cell>
          <cell r="I345" t="str">
            <v>60 - 152</v>
          </cell>
        </row>
        <row r="346">
          <cell r="B346" t="str">
            <v>Phùng Minh Tùng</v>
          </cell>
          <cell r="C346" t="str">
            <v>369 Chùa Thông, Sơn Lộc, Sơn Tây, Hà Nội</v>
          </cell>
          <cell r="D346" t="str">
            <v>7914078489</v>
          </cell>
          <cell r="E346" t="str">
            <v>7914078489</v>
          </cell>
          <cell r="F346" t="str">
            <v>DN4797914078489</v>
          </cell>
          <cell r="G346" t="str">
            <v>26/04/1988</v>
          </cell>
          <cell r="H346" t="str">
            <v>Nam</v>
          </cell>
          <cell r="I346" t="str">
            <v>79 - 034</v>
          </cell>
        </row>
        <row r="347">
          <cell r="B347" t="str">
            <v>Nguyễn Hải Long</v>
          </cell>
          <cell r="C347" t="str">
            <v>343/22B2 Tô Hiến Thành, phường 12, quận 10, TP.HCM</v>
          </cell>
          <cell r="D347" t="str">
            <v>7914078490</v>
          </cell>
          <cell r="E347" t="str">
            <v>7914078490</v>
          </cell>
          <cell r="F347" t="str">
            <v>DN4797914078490</v>
          </cell>
          <cell r="G347" t="str">
            <v>22/05/1983</v>
          </cell>
          <cell r="H347" t="str">
            <v>Nam</v>
          </cell>
          <cell r="I347" t="str">
            <v>79 - 024</v>
          </cell>
        </row>
        <row r="348">
          <cell r="B348" t="str">
            <v>Dương Ngọc Tú</v>
          </cell>
          <cell r="C348" t="str">
            <v>Thôn Trung Lập, Vĩnh Long, Vĩnh Linh, Quảng Trị</v>
          </cell>
          <cell r="D348" t="str">
            <v>7914078491</v>
          </cell>
          <cell r="E348" t="str">
            <v>7914078491</v>
          </cell>
          <cell r="F348" t="str">
            <v>DN4797914078491</v>
          </cell>
          <cell r="G348" t="str">
            <v>11/12/1986</v>
          </cell>
          <cell r="H348" t="str">
            <v>Nam</v>
          </cell>
          <cell r="I348" t="str">
            <v>79 - 033</v>
          </cell>
        </row>
        <row r="349">
          <cell r="B349" t="str">
            <v>Nguyễn Gia Văn</v>
          </cell>
          <cell r="C349" t="str">
            <v>Thôn Đồng Tiến 2, Thiệu Tâm, Thiệu Hóa, Thanh Hóa</v>
          </cell>
          <cell r="D349" t="str">
            <v>7914078492</v>
          </cell>
          <cell r="E349" t="str">
            <v>7914078492</v>
          </cell>
          <cell r="F349" t="str">
            <v>DN4797914078492</v>
          </cell>
          <cell r="G349" t="str">
            <v>01/05/1993</v>
          </cell>
          <cell r="H349" t="str">
            <v>Nam</v>
          </cell>
          <cell r="I349" t="str">
            <v>79 - 025</v>
          </cell>
        </row>
        <row r="350">
          <cell r="B350" t="str">
            <v>Trần Trọng Hùng</v>
          </cell>
          <cell r="C350" t="str">
            <v>Thôn Đồng Tâm, Thiệu Tâm, Thiệu Hóa, Thanh Hóa</v>
          </cell>
          <cell r="D350" t="str">
            <v>7914078493</v>
          </cell>
          <cell r="E350" t="str">
            <v>7914078493</v>
          </cell>
          <cell r="F350" t="str">
            <v>DN4797914078493</v>
          </cell>
          <cell r="G350" t="str">
            <v>10/09/1993</v>
          </cell>
          <cell r="H350" t="str">
            <v>Nam</v>
          </cell>
          <cell r="I350" t="str">
            <v>79 - 034</v>
          </cell>
        </row>
        <row r="351">
          <cell r="B351" t="str">
            <v>Lê Quang Vinh</v>
          </cell>
          <cell r="C351" t="str">
            <v>569 Phan Bội Châu, Bàu Hàm 2, Thống Nhất, Đồng Nai</v>
          </cell>
          <cell r="D351" t="str">
            <v>7914078494</v>
          </cell>
          <cell r="E351" t="str">
            <v>7914078494</v>
          </cell>
          <cell r="F351" t="str">
            <v>DN4797914078494</v>
          </cell>
          <cell r="G351" t="str">
            <v>31/08/1988</v>
          </cell>
          <cell r="H351" t="str">
            <v>Nam</v>
          </cell>
          <cell r="I351" t="str">
            <v>75 - 026</v>
          </cell>
        </row>
        <row r="352">
          <cell r="B352" t="str">
            <v>Tạ Quang Lục</v>
          </cell>
          <cell r="C352" t="str">
            <v>Tổ 19, phường Trung Sơn, Tam Điệp, Ninh Bình</v>
          </cell>
          <cell r="D352" t="str">
            <v>7914078495</v>
          </cell>
          <cell r="E352" t="str">
            <v>7914078495</v>
          </cell>
          <cell r="F352" t="str">
            <v>DN4797914078495</v>
          </cell>
          <cell r="G352" t="str">
            <v>06/05/1983</v>
          </cell>
          <cell r="H352" t="str">
            <v>Nam</v>
          </cell>
          <cell r="I352" t="str">
            <v>79 - 037</v>
          </cell>
        </row>
        <row r="353">
          <cell r="B353" t="str">
            <v>Vũ Đình Lâm</v>
          </cell>
          <cell r="C353" t="str">
            <v>Thôn Nhân Vinh, Di Sử, Mỹ Hào, Hưng Yên</v>
          </cell>
          <cell r="D353" t="str">
            <v>7914078496</v>
          </cell>
          <cell r="E353" t="str">
            <v>7914078496</v>
          </cell>
          <cell r="F353" t="str">
            <v>DN4797914078496</v>
          </cell>
          <cell r="G353" t="str">
            <v>26/10/1993</v>
          </cell>
          <cell r="H353" t="str">
            <v>Nam</v>
          </cell>
          <cell r="I353" t="str">
            <v>79 - 034</v>
          </cell>
        </row>
        <row r="354">
          <cell r="B354" t="str">
            <v>Phạm Đình Quốc</v>
          </cell>
          <cell r="C354" t="str">
            <v>Thôn1, Nhị Hà, Thuận Nam, Ninh Thuận</v>
          </cell>
          <cell r="D354" t="str">
            <v>7914078497</v>
          </cell>
          <cell r="E354" t="str">
            <v>7914078497</v>
          </cell>
          <cell r="F354" t="str">
            <v>DN4797914078497</v>
          </cell>
          <cell r="G354" t="str">
            <v>10/09/1984</v>
          </cell>
          <cell r="H354" t="str">
            <v>Nam</v>
          </cell>
          <cell r="I354" t="str">
            <v>79 - 034</v>
          </cell>
        </row>
        <row r="355">
          <cell r="B355" t="str">
            <v>Nguyễn Hoàng Việt</v>
          </cell>
          <cell r="C355" t="str">
            <v>88 Thích Quảng Đức, PK2, Xuân An, Long Khánh, Đồng Nai</v>
          </cell>
          <cell r="D355" t="str">
            <v>7914078498</v>
          </cell>
          <cell r="E355" t="str">
            <v>7914078498</v>
          </cell>
          <cell r="F355" t="str">
            <v>DN4797914078498</v>
          </cell>
          <cell r="G355" t="str">
            <v>07/07/1986</v>
          </cell>
          <cell r="H355" t="str">
            <v>Nam</v>
          </cell>
          <cell r="I355" t="str">
            <v>75 - 281</v>
          </cell>
        </row>
        <row r="356">
          <cell r="B356" t="str">
            <v>Nguyễn Doãn Sơn</v>
          </cell>
          <cell r="C356" t="str">
            <v>ấp Trung Hiếu, Xuân Trường, Xuân Lộc, Đồng Nai</v>
          </cell>
          <cell r="D356" t="str">
            <v>7914078499</v>
          </cell>
          <cell r="E356" t="str">
            <v>7914078499</v>
          </cell>
          <cell r="F356" t="str">
            <v>DN4797914078499</v>
          </cell>
          <cell r="G356" t="str">
            <v>21/07/1990</v>
          </cell>
          <cell r="H356" t="str">
            <v>Nam</v>
          </cell>
          <cell r="I356" t="str">
            <v>75 - 013</v>
          </cell>
        </row>
        <row r="357">
          <cell r="B357" t="str">
            <v>Phan Đình Long</v>
          </cell>
          <cell r="C357" t="str">
            <v>Thôn Văn Phong, Mương Mán, Hàm Thuận Nam, Bình Thuận</v>
          </cell>
          <cell r="D357" t="str">
            <v>7914078500</v>
          </cell>
          <cell r="E357" t="str">
            <v>7914078500</v>
          </cell>
          <cell r="F357" t="str">
            <v>DN4797914078500</v>
          </cell>
          <cell r="G357" t="str">
            <v>29/03/1989</v>
          </cell>
          <cell r="H357" t="str">
            <v>Nam</v>
          </cell>
          <cell r="I357" t="str">
            <v>60 - 152</v>
          </cell>
        </row>
        <row r="358">
          <cell r="B358" t="str">
            <v>Trần Văn Nguyên</v>
          </cell>
          <cell r="C358" t="str">
            <v>532/19C Đường 21/8, Bảo An, Phan Rang-Tháp Chàm, Ninh Thuận</v>
          </cell>
          <cell r="D358" t="str">
            <v>7914078501</v>
          </cell>
          <cell r="E358" t="str">
            <v>7914078501</v>
          </cell>
          <cell r="F358" t="str">
            <v>DN4797914078501</v>
          </cell>
          <cell r="G358" t="str">
            <v>20/11/1993</v>
          </cell>
          <cell r="H358" t="str">
            <v>Nam</v>
          </cell>
          <cell r="I358" t="str">
            <v>58 - 007</v>
          </cell>
        </row>
        <row r="359">
          <cell r="B359" t="str">
            <v>Phan Ngọc Cảnh</v>
          </cell>
          <cell r="C359" t="str">
            <v>Thôn Định Trung 2</v>
          </cell>
          <cell r="D359" t="str">
            <v>7914078504</v>
          </cell>
          <cell r="E359" t="str">
            <v>7914078504</v>
          </cell>
          <cell r="F359" t="str">
            <v>DN4797914078504</v>
          </cell>
          <cell r="G359" t="str">
            <v>16/03/1994</v>
          </cell>
          <cell r="H359" t="str">
            <v>Nam</v>
          </cell>
          <cell r="I359" t="str">
            <v>54 - 003</v>
          </cell>
        </row>
        <row r="360">
          <cell r="B360" t="str">
            <v>Nguyễn Thanh Tú</v>
          </cell>
          <cell r="C360" t="str">
            <v>Khu 5, Đô Vinh, Phan Rang-Tháp Chàm, Ninh Thuận</v>
          </cell>
          <cell r="D360" t="str">
            <v>7914078505</v>
          </cell>
          <cell r="E360" t="str">
            <v>7914078505</v>
          </cell>
          <cell r="F360" t="str">
            <v>DN4797914078505</v>
          </cell>
          <cell r="G360" t="str">
            <v>28/02/1990</v>
          </cell>
          <cell r="H360" t="str">
            <v>Nam</v>
          </cell>
          <cell r="I360" t="str">
            <v>79 - 030</v>
          </cell>
        </row>
        <row r="361">
          <cell r="B361" t="str">
            <v>Trần Quốc Dũng</v>
          </cell>
          <cell r="C361" t="str">
            <v>Thôn Suối Cát, Cam Hiệp Nam, Cam Lâm, Khánh Hòa</v>
          </cell>
          <cell r="D361" t="str">
            <v>7914078507</v>
          </cell>
          <cell r="E361" t="str">
            <v>7914078507</v>
          </cell>
          <cell r="F361" t="str">
            <v>DN4797914078507</v>
          </cell>
          <cell r="G361" t="str">
            <v>31/07/1994</v>
          </cell>
          <cell r="H361" t="str">
            <v>Nam</v>
          </cell>
          <cell r="I361" t="str">
            <v>56 - 183</v>
          </cell>
        </row>
        <row r="362">
          <cell r="B362" t="str">
            <v>Nguyễn Xuân Quang</v>
          </cell>
          <cell r="C362" t="str">
            <v>Thôn Phước Lộc, Ninh Quang, Ninh Hòa, Khánh Hòa</v>
          </cell>
          <cell r="D362" t="str">
            <v>7914078508</v>
          </cell>
          <cell r="E362" t="str">
            <v>7914078508</v>
          </cell>
          <cell r="F362" t="str">
            <v>DN4797914078508</v>
          </cell>
          <cell r="G362" t="str">
            <v>22/01/1991</v>
          </cell>
          <cell r="H362" t="str">
            <v>Nam</v>
          </cell>
          <cell r="I362" t="str">
            <v>56 - 105</v>
          </cell>
        </row>
        <row r="363">
          <cell r="B363" t="str">
            <v>Cao Hòa Thanh</v>
          </cell>
          <cell r="C363" t="str">
            <v>Tổ 24 An Ninh, Diên An, Diên Khánh, Khánh Hòa</v>
          </cell>
          <cell r="D363" t="str">
            <v>7914078510</v>
          </cell>
          <cell r="E363" t="str">
            <v>7914078510</v>
          </cell>
          <cell r="F363" t="str">
            <v>DN4797914078510</v>
          </cell>
          <cell r="G363" t="str">
            <v>02/05/1987</v>
          </cell>
          <cell r="H363" t="str">
            <v>Nam</v>
          </cell>
          <cell r="I363" t="str">
            <v>56 - 001</v>
          </cell>
        </row>
        <row r="364">
          <cell r="B364" t="str">
            <v>Nguyễn Vĩnh Phúc</v>
          </cell>
          <cell r="C364" t="str">
            <v>Tổ 24 An Ninh, Diên An, Diên Khánh, Khánh Hòa</v>
          </cell>
          <cell r="D364" t="str">
            <v>7914078511</v>
          </cell>
          <cell r="E364" t="str">
            <v>7914078511</v>
          </cell>
          <cell r="F364" t="str">
            <v>DN4797914078511</v>
          </cell>
          <cell r="G364" t="str">
            <v>12/04/1989</v>
          </cell>
          <cell r="H364" t="str">
            <v>Nam</v>
          </cell>
          <cell r="I364" t="str">
            <v>56 - 001</v>
          </cell>
        </row>
        <row r="365">
          <cell r="B365" t="str">
            <v>Lương Công Tín</v>
          </cell>
          <cell r="C365" t="str">
            <v>Thôn Phú Hòa, Ninh Quang, Ninh Hòa, Khánh Hòa</v>
          </cell>
          <cell r="D365" t="str">
            <v>7914078513</v>
          </cell>
          <cell r="E365" t="str">
            <v>7914078513</v>
          </cell>
          <cell r="F365" t="str">
            <v>DN4797914078513</v>
          </cell>
          <cell r="G365" t="str">
            <v>03/03/1994</v>
          </cell>
          <cell r="H365" t="str">
            <v>Nam</v>
          </cell>
          <cell r="I365" t="str">
            <v>56 - 105</v>
          </cell>
        </row>
        <row r="366">
          <cell r="B366" t="str">
            <v>Nguyễn Dương Chí Hoàng</v>
          </cell>
          <cell r="C366" t="str">
            <v>Thôn Thạch Chẫm, Hòa Xuân Tây, Đông Hòa, Phú Yên</v>
          </cell>
          <cell r="D366" t="str">
            <v>7914078516</v>
          </cell>
          <cell r="E366" t="str">
            <v>7914078516</v>
          </cell>
          <cell r="F366" t="str">
            <v>DN4797914078516</v>
          </cell>
          <cell r="G366" t="str">
            <v>15/02/1992</v>
          </cell>
          <cell r="H366" t="str">
            <v>Nam</v>
          </cell>
          <cell r="I366" t="str">
            <v>54 - 016</v>
          </cell>
        </row>
        <row r="367">
          <cell r="B367" t="str">
            <v>Lê Nguyên Lộc</v>
          </cell>
          <cell r="C367" t="str">
            <v>133 Lê Trung Kiên, phường 2, Tuy Hòa, Phú Yên</v>
          </cell>
          <cell r="D367" t="str">
            <v>7914078518</v>
          </cell>
          <cell r="E367" t="str">
            <v>7914078518</v>
          </cell>
          <cell r="F367" t="str">
            <v>DN4797914078518</v>
          </cell>
          <cell r="G367" t="str">
            <v>23/09/1988</v>
          </cell>
          <cell r="H367" t="str">
            <v>Nam</v>
          </cell>
          <cell r="I367" t="str">
            <v>54 - 016</v>
          </cell>
        </row>
        <row r="368">
          <cell r="B368" t="str">
            <v>Ngô Quang Khởi</v>
          </cell>
          <cell r="C368" t="str">
            <v>Thôn Phước Huệ, Xuân Quang2, Đồng Xuân, Phú Yên</v>
          </cell>
          <cell r="D368" t="str">
            <v>7914078519</v>
          </cell>
          <cell r="E368" t="str">
            <v>7914078519</v>
          </cell>
          <cell r="F368" t="str">
            <v>DN4797914078519</v>
          </cell>
          <cell r="G368" t="str">
            <v>25/11/1994</v>
          </cell>
          <cell r="H368" t="str">
            <v>Nam</v>
          </cell>
          <cell r="I368" t="str">
            <v>54 - 007</v>
          </cell>
        </row>
        <row r="369">
          <cell r="B369" t="str">
            <v>Mai Văn Thống</v>
          </cell>
          <cell r="C369" t="str">
            <v>Thôn An Sơn 1, Phước An, Tuy Phước, Bình Định</v>
          </cell>
          <cell r="D369" t="str">
            <v>7914078520</v>
          </cell>
          <cell r="E369" t="str">
            <v>7914078520</v>
          </cell>
          <cell r="F369" t="str">
            <v>DN4797914078520</v>
          </cell>
          <cell r="G369" t="str">
            <v>20/02/1991</v>
          </cell>
          <cell r="H369" t="str">
            <v>Nam</v>
          </cell>
          <cell r="I369" t="str">
            <v>52 - 006</v>
          </cell>
        </row>
        <row r="370">
          <cell r="B370" t="str">
            <v>Huỳnh Tiên Tri</v>
          </cell>
          <cell r="C370" t="str">
            <v>Thôn Đông Phước, Hòa An, Tuy Hòa, Phú Yên</v>
          </cell>
          <cell r="D370" t="str">
            <v>7914078522</v>
          </cell>
          <cell r="E370" t="str">
            <v>7914078522</v>
          </cell>
          <cell r="F370" t="str">
            <v>DN4797914078522</v>
          </cell>
          <cell r="G370" t="str">
            <v>15/12/1994</v>
          </cell>
          <cell r="H370" t="str">
            <v>Nam</v>
          </cell>
          <cell r="I370" t="str">
            <v>54 - 124</v>
          </cell>
        </row>
        <row r="371">
          <cell r="B371" t="str">
            <v>Trần Ngọc Nam</v>
          </cell>
          <cell r="C371" t="str">
            <v>thôn gia hòa, xã lộc an, tp nam định, t nam định</v>
          </cell>
          <cell r="D371" t="str">
            <v>7914106053</v>
          </cell>
          <cell r="E371" t="str">
            <v>7914106053</v>
          </cell>
          <cell r="F371" t="str">
            <v>DN4797914106053</v>
          </cell>
          <cell r="G371" t="str">
            <v>30/06/1994</v>
          </cell>
          <cell r="H371" t="str">
            <v>Nam</v>
          </cell>
          <cell r="I371" t="str">
            <v>79 - 034</v>
          </cell>
        </row>
        <row r="372">
          <cell r="B372" t="str">
            <v>Đỗ Thành Kông</v>
          </cell>
          <cell r="C372" t="str">
            <v>đường số 3, KP5, P. bình hưng hòa, Q.bình tân, Tp HCM</v>
          </cell>
          <cell r="D372" t="str">
            <v>7915254769</v>
          </cell>
          <cell r="E372" t="str">
            <v>7915254769</v>
          </cell>
          <cell r="F372" t="str">
            <v>DN4797915254769</v>
          </cell>
          <cell r="G372" t="str">
            <v>01/10/1973</v>
          </cell>
          <cell r="H372" t="str">
            <v>Nam</v>
          </cell>
          <cell r="I372" t="str">
            <v>79 - 037</v>
          </cell>
        </row>
        <row r="373">
          <cell r="B373" t="str">
            <v>Võ Thiện Toàn</v>
          </cell>
          <cell r="C373" t="str">
            <v>126 Trần Hưng Đạo</v>
          </cell>
          <cell r="D373" t="str">
            <v>7915259995</v>
          </cell>
          <cell r="E373" t="str">
            <v>7915259995</v>
          </cell>
          <cell r="F373" t="str">
            <v>DN4797915259995</v>
          </cell>
          <cell r="G373" t="str">
            <v>06/04/1993</v>
          </cell>
          <cell r="H373" t="str">
            <v>Nam</v>
          </cell>
          <cell r="I373" t="str">
            <v>56 - 002</v>
          </cell>
        </row>
        <row r="374">
          <cell r="B374" t="str">
            <v>Nguyễn Thanh Nhân</v>
          </cell>
          <cell r="C374" t="str">
            <v>Khu phố Ninh Tịnh 2, Phường 09, Tp. Tuy Hòa, Phú Yên</v>
          </cell>
          <cell r="D374" t="str">
            <v>7915310057</v>
          </cell>
          <cell r="E374" t="str">
            <v>7915310057</v>
          </cell>
          <cell r="F374" t="str">
            <v>DN4797915310057</v>
          </cell>
          <cell r="G374" t="str">
            <v>20/10/1991</v>
          </cell>
          <cell r="H374" t="str">
            <v>Nam</v>
          </cell>
          <cell r="I374" t="str">
            <v>54 - 016</v>
          </cell>
        </row>
        <row r="375">
          <cell r="B375" t="str">
            <v>Đặng Bá Lâm</v>
          </cell>
          <cell r="C375" t="str">
            <v>Long Hải, Thạch Kim, Lộc Hà , Hà Tĩnh</v>
          </cell>
          <cell r="D375" t="str">
            <v>7915310058</v>
          </cell>
          <cell r="E375" t="str">
            <v>7915310058</v>
          </cell>
          <cell r="F375" t="str">
            <v>DN4797915310058</v>
          </cell>
          <cell r="G375" t="str">
            <v>04/08/1994</v>
          </cell>
          <cell r="H375" t="str">
            <v>Nam</v>
          </cell>
          <cell r="I375" t="str">
            <v>60 - 152</v>
          </cell>
        </row>
        <row r="376">
          <cell r="B376" t="str">
            <v>Nguyễn Thanh Phong</v>
          </cell>
          <cell r="C376" t="str">
            <v>12/1 Ngô Quyền, Phường 04, Tuy Hòa, Phú Yên</v>
          </cell>
          <cell r="D376" t="str">
            <v>7915310060</v>
          </cell>
          <cell r="E376" t="str">
            <v>7915310060</v>
          </cell>
          <cell r="F376" t="str">
            <v>DN4797915310060</v>
          </cell>
          <cell r="G376" t="str">
            <v>12/11/1994</v>
          </cell>
          <cell r="H376" t="str">
            <v>Nam</v>
          </cell>
          <cell r="I376" t="str">
            <v>54 - 016</v>
          </cell>
        </row>
        <row r="377">
          <cell r="B377" t="str">
            <v>Dương Bình Thi</v>
          </cell>
          <cell r="C377" t="str">
            <v>Khu phố Phú Hiệp 2, Hòa Hiệp Trung, Đông Hòa, Phú Yên</v>
          </cell>
          <cell r="D377" t="str">
            <v>7915310061</v>
          </cell>
          <cell r="E377" t="str">
            <v>7915310061</v>
          </cell>
          <cell r="F377" t="str">
            <v>DN4797915310061</v>
          </cell>
          <cell r="G377" t="str">
            <v>27/03/1985</v>
          </cell>
          <cell r="H377" t="str">
            <v>Nam</v>
          </cell>
          <cell r="I377" t="str">
            <v>54 - 002</v>
          </cell>
        </row>
        <row r="378">
          <cell r="B378" t="str">
            <v>Trương Việt Tiến</v>
          </cell>
          <cell r="C378" t="str">
            <v>Xã Đinh Xá, Thành phố Phủ Lý, Tỉnh Hà Nam</v>
          </cell>
          <cell r="D378" t="str">
            <v>7915317416</v>
          </cell>
          <cell r="E378" t="str">
            <v>7915317416</v>
          </cell>
          <cell r="F378" t="str">
            <v>DN4797915317416</v>
          </cell>
          <cell r="G378" t="str">
            <v>21/05/1989</v>
          </cell>
          <cell r="H378" t="str">
            <v>Nam</v>
          </cell>
          <cell r="I378" t="str">
            <v>79 - 034</v>
          </cell>
        </row>
        <row r="379">
          <cell r="B379" t="str">
            <v>Nguyễn Ngọc Cường</v>
          </cell>
          <cell r="C379" t="str">
            <v/>
          </cell>
          <cell r="D379" t="str">
            <v>7916084467</v>
          </cell>
          <cell r="E379" t="str">
            <v/>
          </cell>
          <cell r="F379" t="str">
            <v>DN4797916084467</v>
          </cell>
          <cell r="G379" t="str">
            <v>12/01/1993</v>
          </cell>
          <cell r="H379" t="str">
            <v>Nam</v>
          </cell>
          <cell r="I379" t="str">
            <v>60 - 152</v>
          </cell>
        </row>
        <row r="380">
          <cell r="B380" t="str">
            <v>Uông Nguyễn Nhật Minh</v>
          </cell>
          <cell r="C380" t="str">
            <v>Nghệ An</v>
          </cell>
          <cell r="D380" t="str">
            <v>7916440080</v>
          </cell>
          <cell r="E380" t="str">
            <v/>
          </cell>
          <cell r="F380" t="str">
            <v>DN4797916440080</v>
          </cell>
          <cell r="G380" t="str">
            <v>16/06/1994</v>
          </cell>
          <cell r="H380" t="str">
            <v>Nam</v>
          </cell>
          <cell r="I380" t="str">
            <v>79 - 009</v>
          </cell>
        </row>
        <row r="381">
          <cell r="B381" t="str">
            <v>Vương Tứ Hậu</v>
          </cell>
          <cell r="C381" t="str">
            <v>Thị trấn Vân Canh, Huyện Vân Canh, Tỉnh Bình Định</v>
          </cell>
          <cell r="D381" t="str">
            <v>7916450944</v>
          </cell>
          <cell r="E381" t="str">
            <v>7916450944</v>
          </cell>
          <cell r="F381" t="str">
            <v>DN4797916450944</v>
          </cell>
          <cell r="G381" t="str">
            <v>01/01/1994</v>
          </cell>
          <cell r="H381" t="str">
            <v>Nam</v>
          </cell>
          <cell r="I381" t="str">
            <v>52 - 008</v>
          </cell>
        </row>
        <row r="382">
          <cell r="B382" t="str">
            <v>Lê Văn Hùng</v>
          </cell>
          <cell r="C382" t="str">
            <v>Đông Khê</v>
          </cell>
          <cell r="D382" t="str">
            <v>7916525145</v>
          </cell>
          <cell r="E382" t="str">
            <v>7916525145</v>
          </cell>
          <cell r="F382" t="str">
            <v>DN4797916525145</v>
          </cell>
          <cell r="G382" t="str">
            <v>16/05/1998</v>
          </cell>
          <cell r="H382" t="str">
            <v>Nam</v>
          </cell>
          <cell r="I382" t="str">
            <v>79 - 034</v>
          </cell>
        </row>
        <row r="383">
          <cell r="B383" t="str">
            <v>Trần Hoài Nam</v>
          </cell>
          <cell r="C383" t="str">
            <v>49/14  Đường Số 8</v>
          </cell>
          <cell r="D383" t="str">
            <v>7932072622</v>
          </cell>
          <cell r="E383" t="str">
            <v/>
          </cell>
          <cell r="F383" t="str">
            <v>DN4797932072622</v>
          </cell>
          <cell r="G383" t="str">
            <v>21/02/1995</v>
          </cell>
          <cell r="H383" t="str">
            <v>Nam</v>
          </cell>
          <cell r="I383" t="str">
            <v>79 - 075</v>
          </cell>
        </row>
        <row r="384">
          <cell r="B384" t="str">
            <v>Phan Tấn Thịnh</v>
          </cell>
          <cell r="C384" t="str">
            <v>244E Bình Thới</v>
          </cell>
          <cell r="D384" t="str">
            <v>7932863029</v>
          </cell>
          <cell r="E384" t="str">
            <v/>
          </cell>
          <cell r="F384" t="str">
            <v>DN4797932863029</v>
          </cell>
          <cell r="G384" t="str">
            <v>30/07/1991</v>
          </cell>
          <cell r="H384" t="str">
            <v>Nam</v>
          </cell>
          <cell r="I384" t="str">
            <v>79 - 028</v>
          </cell>
        </row>
        <row r="385">
          <cell r="B385" t="str">
            <v>Trần Thanh Tân</v>
          </cell>
          <cell r="C385" t="str">
            <v/>
          </cell>
          <cell r="D385" t="str">
            <v>7935795998</v>
          </cell>
          <cell r="E385" t="str">
            <v/>
          </cell>
          <cell r="F385" t="str">
            <v>DN4797935795998</v>
          </cell>
          <cell r="G385" t="str">
            <v>10/05/1993</v>
          </cell>
          <cell r="H385" t="str">
            <v>Nam</v>
          </cell>
          <cell r="I385" t="str">
            <v>58 - 114</v>
          </cell>
        </row>
        <row r="386">
          <cell r="B386" t="str">
            <v>Lê Đức Anh</v>
          </cell>
          <cell r="C386" t="str">
            <v>Thôn 3</v>
          </cell>
          <cell r="D386" t="str">
            <v>7938107613</v>
          </cell>
          <cell r="E386" t="str">
            <v/>
          </cell>
          <cell r="F386" t="str">
            <v>DN4797938107613</v>
          </cell>
          <cell r="G386" t="str">
            <v>24/09/1997</v>
          </cell>
          <cell r="H386" t="str">
            <v>Nam</v>
          </cell>
          <cell r="I386" t="str">
            <v>60 - 152</v>
          </cell>
        </row>
        <row r="387">
          <cell r="B387" t="str">
            <v>Cao Hoàng Phương</v>
          </cell>
          <cell r="C387" t="str">
            <v>Khu 4</v>
          </cell>
          <cell r="D387" t="str">
            <v>8216046135</v>
          </cell>
          <cell r="E387" t="str">
            <v/>
          </cell>
          <cell r="F387" t="str">
            <v>DN4798216046135</v>
          </cell>
          <cell r="G387" t="str">
            <v>13/08/1990</v>
          </cell>
          <cell r="H387" t="str">
            <v>Nam</v>
          </cell>
          <cell r="I387" t="str">
            <v>75 - 281</v>
          </cell>
        </row>
        <row r="388">
          <cell r="B388" t="str">
            <v>Nguyễn Quốc Chiến</v>
          </cell>
          <cell r="C388" t="str">
            <v>Khu 9, Phước Mỹ, Phan Rang, N.Thuận</v>
          </cell>
          <cell r="D388" t="str">
            <v>9104167227</v>
          </cell>
          <cell r="E388" t="str">
            <v>9104167227</v>
          </cell>
          <cell r="F388" t="str">
            <v>DN4799104167227</v>
          </cell>
          <cell r="G388" t="str">
            <v>05/08/1982</v>
          </cell>
          <cell r="H388" t="str">
            <v>Nam</v>
          </cell>
          <cell r="I388" t="str">
            <v>58 - 114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1E0D71-9FCC-4F0A-A70B-160AF7954A0C}" name="Table1" displayName="Table1" ref="A1:AV398" totalsRowShown="0" headerRowDxfId="61" dataDxfId="60" tableBorderDxfId="59">
  <autoFilter ref="A1:AV398" xr:uid="{1F1E0D71-9FCC-4F0A-A70B-160AF7954A0C}"/>
  <tableColumns count="48">
    <tableColumn id="1" xr3:uid="{E0F2712D-6F41-4F5C-8F87-C518F37F16E3}" name="Họ tên" dataDxfId="2"/>
    <tableColumn id="2" xr3:uid="{E89B1188-78DA-47B2-BF99-B0718A665E3C}" name="Giới tính" dataDxfId="0"/>
    <tableColumn id="3" xr3:uid="{45F74F71-05FB-4EE7-9934-065061498B4F}" name="NS_Text" dataDxfId="1"/>
    <tableColumn id="4" xr3:uid="{0ADFEFA1-A5A1-4058-9069-AB9EA0FC291B}" name="NS_Date" dataDxfId="58"/>
    <tableColumn id="5" xr3:uid="{7B4573BE-C765-466A-BDE4-1BFA3B9E655F}" name="Column1" dataDxfId="57">
      <calculatedColumnFormula>+DATE(YEAR(D2)+57,MONTH(D2),DAY(D2))</calculatedColumnFormula>
    </tableColumn>
    <tableColumn id="6" xr3:uid="{5022EF61-8589-4C91-9247-1E50098894E7}" name="Năm nghỉ hưu" dataDxfId="56">
      <calculatedColumnFormula>+EOMONTH(E2,0)+1</calculatedColumnFormula>
    </tableColumn>
    <tableColumn id="7" xr3:uid="{E6D6679C-C872-4BE6-B6DC-B54F11702D39}" name="Column2" dataDxfId="55"/>
    <tableColumn id="8" xr3:uid="{94D59770-83DF-4057-88E5-54E30091FFD0}" name="Ngày vào ĐS_Date" dataDxfId="54"/>
    <tableColumn id="9" xr3:uid="{F01D1804-B7DA-4CF3-86AF-DE9DCC4ED3AD}" name="Đơn vị" dataDxfId="53"/>
    <tableColumn id="10" xr3:uid="{32D4A1E7-D107-46FD-9C01-33B5CB0EB8B8}" name="Phân loại lao động" dataDxfId="52"/>
    <tableColumn id="11" xr3:uid="{006910E9-2035-4842-996F-FC7626664B1E}" name="Chức danh" dataDxfId="51"/>
    <tableColumn id="12" xr3:uid="{BAE7EC8B-7AD3-48C4-A5DF-443EC90D8DD5}" name="Giữ bậc_năm" dataDxfId="50"/>
    <tableColumn id="13" xr3:uid="{EF09794F-C6E0-42C4-9C03-AF8D841CA118}" name="Giữ bậc_Next" dataDxfId="49"/>
    <tableColumn id="14" xr3:uid="{4A192DA6-E3F6-42C2-B2EA-F6AD1F7A0758}" name="Bậc" dataDxfId="48"/>
    <tableColumn id="15" xr3:uid="{59834329-44A2-4878-8EF6-3C6690F54F16}" name="HS_Lương" dataDxfId="47"/>
    <tableColumn id="16" xr3:uid="{F4C829C0-7615-4823-A764-357764B5426F}" name="HS_PCCV" dataDxfId="46"/>
    <tableColumn id="17" xr3:uid="{2476A946-C545-4E26-B9CD-DB77A88D5B02}" name="HS_PCKV" dataDxfId="45"/>
    <tableColumn id="18" xr3:uid="{03F757B0-EB85-47A1-A01C-0C707E8B7497}" name="Đồng _Lương" dataDxfId="44" dataCellStyle="Comma">
      <calculatedColumnFormula>+O2*4730000</calculatedColumnFormula>
    </tableColumn>
    <tableColumn id="19" xr3:uid="{7CE5438B-4671-43F5-A17D-C1354BA4B010}" name="Đồng_PCCV" dataDxfId="43" dataCellStyle="Comma">
      <calculatedColumnFormula>+P2*4410000</calculatedColumnFormula>
    </tableColumn>
    <tableColumn id="20" xr3:uid="{385F7FF0-749B-476D-B161-FD921BE85BFC}" name="Đồng_PCKV" dataDxfId="42" dataCellStyle="Comma">
      <calculatedColumnFormula>+Q2*2340000</calculatedColumnFormula>
    </tableColumn>
    <tableColumn id="21" xr3:uid="{322AE5E5-62CF-4B53-8EF4-08936DEF78B8}" name="Đồng_SUM" dataDxfId="41" dataCellStyle="Comma">
      <calculatedColumnFormula>+R2+S2+T2</calculatedColumnFormula>
    </tableColumn>
    <tableColumn id="22" xr3:uid="{A4B5D739-0317-42E3-B9A1-50BB34713C73}" name="Column3" dataDxfId="40" dataCellStyle="Comma">
      <calculatedColumnFormula>+VLOOKUP(A2,[2]Sheet1!$B$11:$J$400,9,0)</calculatedColumnFormula>
    </tableColumn>
    <tableColumn id="23" xr3:uid="{F8E0E834-D352-4B02-901F-27E285767921}" name="Sổ BHXH" dataDxfId="39"/>
    <tableColumn id="24" xr3:uid="{551B42C5-653B-4B9D-A2C3-C2848BD44124}" name="Nơi đăng ký KCB" dataDxfId="38"/>
    <tableColumn id="25" xr3:uid="{DACAAE5E-0CA0-426C-9233-65DF1648F4E0}" name="Column4" dataDxfId="37">
      <calculatedColumnFormula>+VLOOKUP(A2,[3]Sheet1!$B$11:$I$388,8,0)</calculatedColumnFormula>
    </tableColumn>
    <tableColumn id="26" xr3:uid="{C4C87CE8-40D1-4009-AA0C-3EECAAFC0B8B}" name="Chức danh đóng nộp BHXH" dataDxfId="36"/>
    <tableColumn id="27" xr3:uid="{87D2700B-E9E4-475A-8CEC-967F65144919}" name="CCCD" dataDxfId="35"/>
    <tableColumn id="28" xr3:uid="{5DB57730-B1DA-468B-8AB6-76824362F1DA}" name="CMND_Text" dataDxfId="34"/>
    <tableColumn id="29" xr3:uid="{4B0DBBF3-933E-49B5-AAC6-AD303934CE65}" name="CMND _ số" dataDxfId="33"/>
    <tableColumn id="30" xr3:uid="{5973E4F6-81CA-4B36-AF79-0E140FCAE71B}" name="CMND_Ngày cấp" dataDxfId="32"/>
    <tableColumn id="31" xr3:uid="{329EFC56-F8B1-4195-B7A3-D04B2E90A94D}" name="CMND_Nơi cấp" dataDxfId="31"/>
    <tableColumn id="32" xr3:uid="{7004665F-0B1F-4F6C-B6AE-79C0E496DBDE}" name="Địa chỉ" dataDxfId="30"/>
    <tableColumn id="33" xr3:uid="{45F3C0C9-7CC2-41F7-8419-B5918B030BD3}" name="Nơi sinh giấy KS" dataDxfId="29"/>
    <tableColumn id="34" xr3:uid="{E4858EB5-296C-4DC8-93FB-6261840843C1}" name="Trên ĐH" dataDxfId="28"/>
    <tableColumn id="35" xr3:uid="{EDB763AD-6170-41FD-82C6-2EF652D257B9}" name="Đại học" dataDxfId="27"/>
    <tableColumn id="36" xr3:uid="{DCF694BA-9F5D-4DCD-87EC-46565DC2F2AF}" name="Cao đẳng" dataDxfId="26"/>
    <tableColumn id="37" xr3:uid="{48104879-60E5-403E-AB1E-BE22B8665F52}" name="Trung cấp" dataDxfId="25"/>
    <tableColumn id="38" xr3:uid="{BD2A18CF-9551-47AC-8EFF-5B4D07B98D67}" name="Sơ cấp - CNKT" dataDxfId="24"/>
    <tableColumn id="39" xr3:uid="{A85C210F-03A6-450B-8AD6-39C231797C01}" name="HĐLĐ_Thử việc" dataDxfId="23"/>
    <tableColumn id="40" xr3:uid="{78A42E95-A965-4A0C-9277-949031F47419}" name="HĐLĐ_6 tháng" dataDxfId="22"/>
    <tableColumn id="41" xr3:uid="{004D56C2-E768-4AFC-B6B6-F41A211BF6FF}" name="HĐLĐ_12 tháng" dataDxfId="21"/>
    <tableColumn id="42" xr3:uid="{CD3C389F-9931-462C-90E2-33CB3935C1DA}" name="HĐLĐ_24 tháng" dataDxfId="20"/>
    <tableColumn id="43" xr3:uid="{C316AC09-E689-4FED-BB85-02135CBBDC93}" name="HĐLĐ_36 tháng" dataDxfId="19"/>
    <tableColumn id="44" xr3:uid="{D77EFCE4-D2A8-4223-8BCA-C72D812B4B63}" name="HĐLĐ_KXĐ" dataDxfId="18"/>
    <tableColumn id="45" xr3:uid="{394E5F48-23FA-4AA0-A41D-AC9EE75C4E10}" name="Số điện thoại" dataDxfId="17"/>
    <tableColumn id="46" xr3:uid="{C28521F0-23E5-4B7E-B9CD-648B80CB3E8B}" name="Đơn vị Chủ quản" dataDxfId="16"/>
    <tableColumn id="47" xr3:uid="{2C40CDCF-65F9-419C-A3A5-194846B05954}" name="Đảng viên" dataDxfId="15"/>
    <tableColumn id="48" xr3:uid="{E6809DC9-89E4-405C-96FE-CE4CF5824C82}" name="Đoàn viên" dataDxfId="1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6D8BF-F47B-435D-B4DC-7DC8FBE5E838}">
  <dimension ref="A1:BD794"/>
  <sheetViews>
    <sheetView tabSelected="1"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0" sqref="G10"/>
    </sheetView>
  </sheetViews>
  <sheetFormatPr defaultColWidth="8.90625" defaultRowHeight="12" x14ac:dyDescent="0.25"/>
  <cols>
    <col min="1" max="1" width="18.1796875" style="55" bestFit="1" customWidth="1"/>
    <col min="2" max="2" width="9.36328125" style="353" customWidth="1"/>
    <col min="3" max="4" width="9.54296875" style="55" customWidth="1"/>
    <col min="5" max="5" width="9.6328125" style="55" customWidth="1"/>
    <col min="6" max="6" width="12.54296875" style="55" customWidth="1"/>
    <col min="7" max="7" width="9.6328125" style="55" customWidth="1"/>
    <col min="8" max="8" width="13.54296875" style="55" customWidth="1"/>
    <col min="9" max="9" width="14.54296875" style="55" customWidth="1"/>
    <col min="10" max="10" width="15" style="55" customWidth="1"/>
    <col min="11" max="11" width="11.1796875" style="55" customWidth="1"/>
    <col min="12" max="12" width="12" style="55" customWidth="1"/>
    <col min="13" max="13" width="12.453125" style="55" customWidth="1"/>
    <col min="14" max="14" width="6.54296875" style="55" customWidth="1"/>
    <col min="15" max="15" width="10.7265625" style="254" customWidth="1"/>
    <col min="16" max="16" width="10.54296875" style="55" customWidth="1"/>
    <col min="17" max="17" width="10.6328125" style="55" customWidth="1"/>
    <col min="18" max="18" width="12.453125" style="55" customWidth="1"/>
    <col min="19" max="19" width="11.90625" style="55" customWidth="1"/>
    <col min="20" max="20" width="12" style="55" customWidth="1"/>
    <col min="21" max="21" width="11.26953125" style="55" customWidth="1"/>
    <col min="22" max="22" width="9.6328125" style="55" customWidth="1"/>
    <col min="23" max="23" width="10.1796875" style="55" customWidth="1"/>
    <col min="24" max="24" width="31.453125" style="55" customWidth="1"/>
    <col min="25" max="25" width="8.90625" style="55" customWidth="1"/>
    <col min="26" max="26" width="25.81640625" style="55" customWidth="1"/>
    <col min="27" max="27" width="8.90625" style="55" customWidth="1"/>
    <col min="28" max="28" width="12.1796875" style="196" customWidth="1"/>
    <col min="29" max="29" width="11.453125" style="196" customWidth="1"/>
    <col min="30" max="30" width="14.7265625" style="55" customWidth="1"/>
    <col min="31" max="31" width="13.81640625" style="55" customWidth="1"/>
    <col min="32" max="32" width="60" style="55" customWidth="1"/>
    <col min="33" max="33" width="45.81640625" style="55" customWidth="1"/>
    <col min="34" max="34" width="23.6328125" style="55" customWidth="1"/>
    <col min="35" max="35" width="26.1796875" style="55" customWidth="1"/>
    <col min="36" max="36" width="38.1796875" style="55" customWidth="1"/>
    <col min="37" max="37" width="30.1796875" style="55" customWidth="1"/>
    <col min="38" max="38" width="23" style="55" customWidth="1"/>
    <col min="39" max="39" width="14.26953125" style="55" customWidth="1"/>
    <col min="40" max="40" width="13.36328125" style="55" customWidth="1"/>
    <col min="41" max="41" width="14.08984375" style="55" customWidth="1"/>
    <col min="42" max="43" width="12.26953125" style="55" customWidth="1"/>
    <col min="44" max="44" width="12" style="55" customWidth="1"/>
    <col min="45" max="45" width="11.90625" style="55" customWidth="1"/>
    <col min="46" max="46" width="16.1796875" style="55" customWidth="1"/>
    <col min="47" max="48" width="10.26953125" style="254" bestFit="1" customWidth="1"/>
    <col min="49" max="16384" width="8.90625" style="55"/>
  </cols>
  <sheetData>
    <row r="1" spans="1:48" s="41" customFormat="1" thickBot="1" x14ac:dyDescent="0.35">
      <c r="A1" s="372" t="s">
        <v>633</v>
      </c>
      <c r="B1" s="373" t="s">
        <v>3565</v>
      </c>
      <c r="C1" s="373" t="s">
        <v>634</v>
      </c>
      <c r="D1" s="373" t="s">
        <v>635</v>
      </c>
      <c r="E1" s="373" t="s">
        <v>3679</v>
      </c>
      <c r="F1" s="373" t="s">
        <v>697</v>
      </c>
      <c r="G1" s="373" t="s">
        <v>3680</v>
      </c>
      <c r="H1" s="374" t="s">
        <v>698</v>
      </c>
      <c r="I1" s="373" t="s">
        <v>1</v>
      </c>
      <c r="J1" s="373" t="s">
        <v>3533</v>
      </c>
      <c r="K1" s="373" t="s">
        <v>0</v>
      </c>
      <c r="L1" s="373" t="s">
        <v>699</v>
      </c>
      <c r="M1" s="373" t="s">
        <v>700</v>
      </c>
      <c r="N1" s="373" t="s">
        <v>3</v>
      </c>
      <c r="O1" s="373" t="s">
        <v>701</v>
      </c>
      <c r="P1" s="373" t="s">
        <v>702</v>
      </c>
      <c r="Q1" s="373" t="s">
        <v>703</v>
      </c>
      <c r="R1" s="373" t="s">
        <v>1804</v>
      </c>
      <c r="S1" s="373" t="s">
        <v>704</v>
      </c>
      <c r="T1" s="373" t="s">
        <v>705</v>
      </c>
      <c r="U1" s="373" t="s">
        <v>706</v>
      </c>
      <c r="V1" s="373" t="s">
        <v>3681</v>
      </c>
      <c r="W1" s="373" t="s">
        <v>707</v>
      </c>
      <c r="X1" s="373" t="s">
        <v>4</v>
      </c>
      <c r="Y1" s="373" t="s">
        <v>3682</v>
      </c>
      <c r="Z1" s="373" t="s">
        <v>1799</v>
      </c>
      <c r="AA1" s="373" t="s">
        <v>3002</v>
      </c>
      <c r="AB1" s="375" t="s">
        <v>2128</v>
      </c>
      <c r="AC1" s="375" t="s">
        <v>2127</v>
      </c>
      <c r="AD1" s="373" t="s">
        <v>708</v>
      </c>
      <c r="AE1" s="373" t="s">
        <v>709</v>
      </c>
      <c r="AF1" s="373" t="s">
        <v>710</v>
      </c>
      <c r="AG1" s="376" t="s">
        <v>3561</v>
      </c>
      <c r="AH1" s="376" t="s">
        <v>84</v>
      </c>
      <c r="AI1" s="376" t="s">
        <v>83</v>
      </c>
      <c r="AJ1" s="376" t="s">
        <v>85</v>
      </c>
      <c r="AK1" s="376" t="s">
        <v>86</v>
      </c>
      <c r="AL1" s="376" t="s">
        <v>87</v>
      </c>
      <c r="AM1" s="376" t="s">
        <v>711</v>
      </c>
      <c r="AN1" s="376" t="s">
        <v>712</v>
      </c>
      <c r="AO1" s="376" t="s">
        <v>713</v>
      </c>
      <c r="AP1" s="377" t="s">
        <v>1858</v>
      </c>
      <c r="AQ1" s="377" t="s">
        <v>2082</v>
      </c>
      <c r="AR1" s="376" t="s">
        <v>714</v>
      </c>
      <c r="AS1" s="376" t="s">
        <v>2151</v>
      </c>
      <c r="AT1" s="377" t="s">
        <v>3495</v>
      </c>
      <c r="AU1" s="376" t="s">
        <v>3677</v>
      </c>
      <c r="AV1" s="378" t="s">
        <v>3678</v>
      </c>
    </row>
    <row r="2" spans="1:48" ht="12.6" thickTop="1" x14ac:dyDescent="0.25">
      <c r="A2" s="354" t="s">
        <v>7</v>
      </c>
      <c r="B2" s="391" t="s">
        <v>3542</v>
      </c>
      <c r="C2" s="100" t="s">
        <v>47</v>
      </c>
      <c r="D2" s="97">
        <v>27332</v>
      </c>
      <c r="E2" s="97">
        <f>+DATE(YEAR(D2)+62,MONTH(D2),DAY(D2))</f>
        <v>49978</v>
      </c>
      <c r="F2" s="97">
        <f>+EOMONTH(E2,0)+1</f>
        <v>49980</v>
      </c>
      <c r="G2" s="97">
        <f>+VLOOKUP(A2,'[1]DATA 06.2023'!$E$2:$J$390,6,0)</f>
        <v>49980</v>
      </c>
      <c r="H2" s="97">
        <v>34274</v>
      </c>
      <c r="I2" s="118" t="s">
        <v>42</v>
      </c>
      <c r="J2" s="207" t="s">
        <v>42</v>
      </c>
      <c r="K2" s="118" t="s">
        <v>2021</v>
      </c>
      <c r="L2" s="97">
        <v>42370</v>
      </c>
      <c r="M2" s="97">
        <v>43862</v>
      </c>
      <c r="N2" s="117" t="s">
        <v>70</v>
      </c>
      <c r="O2" s="119">
        <v>3.4</v>
      </c>
      <c r="P2" s="119"/>
      <c r="Q2" s="99"/>
      <c r="R2" s="314">
        <f>+O2*5310000</f>
        <v>18054000</v>
      </c>
      <c r="S2" s="314">
        <f t="shared" ref="S2:S46" si="0">+P2*4960000</f>
        <v>0</v>
      </c>
      <c r="T2" s="314">
        <f t="shared" ref="T2:T34" si="1">+Q2*2340000</f>
        <v>0</v>
      </c>
      <c r="U2" s="314">
        <f t="shared" ref="U2:U68" si="2">+R2+S2+T2</f>
        <v>18054000</v>
      </c>
      <c r="V2" s="314">
        <f>+VLOOKUP(A2,[2]Sheet1!$B$11:$J$400,9,0)</f>
        <v>15912000</v>
      </c>
      <c r="W2" s="315" t="s">
        <v>1530</v>
      </c>
      <c r="X2" s="99" t="s">
        <v>743</v>
      </c>
      <c r="Y2" s="99" t="str">
        <f>+VLOOKUP(A2,[3]Sheet1!$B$11:$I$388,8,0)</f>
        <v>79 - 034</v>
      </c>
      <c r="Z2" s="99" t="s">
        <v>1786</v>
      </c>
      <c r="AA2" s="99" t="s">
        <v>2736</v>
      </c>
      <c r="AB2" s="100" t="s">
        <v>744</v>
      </c>
      <c r="AC2" s="99">
        <f>+VALUE(AB2:AB392)</f>
        <v>25689282</v>
      </c>
      <c r="AD2" s="205" t="s">
        <v>2425</v>
      </c>
      <c r="AE2" s="99" t="s">
        <v>2427</v>
      </c>
      <c r="AF2" s="99" t="s">
        <v>745</v>
      </c>
      <c r="AG2" s="316" t="s">
        <v>746</v>
      </c>
      <c r="AH2" s="251"/>
      <c r="AI2" s="251" t="s">
        <v>3566</v>
      </c>
      <c r="AJ2" s="251"/>
      <c r="AK2" s="251"/>
      <c r="AL2" s="251"/>
      <c r="AM2" s="251"/>
      <c r="AN2" s="251"/>
      <c r="AO2" s="251"/>
      <c r="AP2" s="251"/>
      <c r="AQ2" s="251"/>
      <c r="AR2" s="251"/>
      <c r="AS2" s="251"/>
      <c r="AT2" s="251" t="s">
        <v>3487</v>
      </c>
      <c r="AU2" s="379" t="s">
        <v>543</v>
      </c>
      <c r="AV2" s="380"/>
    </row>
    <row r="3" spans="1:48" x14ac:dyDescent="0.25">
      <c r="A3" s="354" t="s">
        <v>6</v>
      </c>
      <c r="B3" s="391" t="s">
        <v>3542</v>
      </c>
      <c r="C3" s="100" t="s">
        <v>46</v>
      </c>
      <c r="D3" s="97">
        <v>23930</v>
      </c>
      <c r="E3" s="97">
        <f>+DATE(YEAR(D3)+62,MONTH(D3),DAY(D3))</f>
        <v>46575</v>
      </c>
      <c r="F3" s="97">
        <f>+EOMONTH(E3,0)+1</f>
        <v>46600</v>
      </c>
      <c r="G3" s="97">
        <f>+VLOOKUP(A3,'[1]DATA 06.2023'!$E$2:$J$390,6,0)</f>
        <v>46508</v>
      </c>
      <c r="H3" s="97">
        <v>30560</v>
      </c>
      <c r="I3" s="118" t="s">
        <v>42</v>
      </c>
      <c r="J3" s="207" t="s">
        <v>42</v>
      </c>
      <c r="K3" s="118" t="s">
        <v>31</v>
      </c>
      <c r="L3" s="97">
        <v>42339</v>
      </c>
      <c r="M3" s="97">
        <v>43435</v>
      </c>
      <c r="N3" s="117" t="s">
        <v>70</v>
      </c>
      <c r="O3" s="119">
        <v>2.89</v>
      </c>
      <c r="P3" s="119"/>
      <c r="Q3" s="99"/>
      <c r="R3" s="314">
        <f>+O3*5310000</f>
        <v>15345900</v>
      </c>
      <c r="S3" s="314">
        <f t="shared" si="0"/>
        <v>0</v>
      </c>
      <c r="T3" s="314">
        <f t="shared" si="1"/>
        <v>0</v>
      </c>
      <c r="U3" s="314">
        <f t="shared" si="2"/>
        <v>15345900</v>
      </c>
      <c r="V3" s="314">
        <f>+VLOOKUP(A3,[2]Sheet1!$B$11:$J$400,9,0)</f>
        <v>13525200</v>
      </c>
      <c r="W3" s="315" t="s">
        <v>1529</v>
      </c>
      <c r="X3" s="99" t="s">
        <v>740</v>
      </c>
      <c r="Y3" s="99" t="str">
        <f>+VLOOKUP(A3,[3]Sheet1!$B$11:$I$388,8,0)</f>
        <v>79 - 025</v>
      </c>
      <c r="Z3" s="99" t="s">
        <v>1789</v>
      </c>
      <c r="AA3" s="99" t="s">
        <v>2737</v>
      </c>
      <c r="AB3" s="100" t="s">
        <v>741</v>
      </c>
      <c r="AC3" s="99">
        <f>+VALUE(AB3:AB398)</f>
        <v>25667545</v>
      </c>
      <c r="AD3" s="99" t="s">
        <v>627</v>
      </c>
      <c r="AE3" s="99" t="s">
        <v>2427</v>
      </c>
      <c r="AF3" s="99" t="s">
        <v>742</v>
      </c>
      <c r="AG3" s="316" t="s">
        <v>1023</v>
      </c>
      <c r="AH3" s="251" t="s">
        <v>3567</v>
      </c>
      <c r="AI3" s="251"/>
      <c r="AJ3" s="251"/>
      <c r="AK3" s="251"/>
      <c r="AL3" s="251"/>
      <c r="AM3" s="251"/>
      <c r="AN3" s="251"/>
      <c r="AO3" s="251"/>
      <c r="AP3" s="251"/>
      <c r="AQ3" s="251"/>
      <c r="AR3" s="251"/>
      <c r="AS3" s="251"/>
      <c r="AT3" s="251" t="s">
        <v>3487</v>
      </c>
      <c r="AU3" s="379" t="s">
        <v>543</v>
      </c>
      <c r="AV3" s="380"/>
    </row>
    <row r="4" spans="1:48" x14ac:dyDescent="0.25">
      <c r="A4" s="354" t="s">
        <v>291</v>
      </c>
      <c r="B4" s="391" t="s">
        <v>3542</v>
      </c>
      <c r="C4" s="100" t="s">
        <v>152</v>
      </c>
      <c r="D4" s="97">
        <v>27378</v>
      </c>
      <c r="E4" s="97">
        <f>+DATE(YEAR(D4)+62,MONTH(D4),DAY(D4))</f>
        <v>50024</v>
      </c>
      <c r="F4" s="97">
        <f>+EOMONTH(E4,0)+1</f>
        <v>50041</v>
      </c>
      <c r="G4" s="97">
        <f>+VLOOKUP(A4,'[1]DATA 06.2023'!$E$2:$J$390,6,0)</f>
        <v>50041</v>
      </c>
      <c r="H4" s="97">
        <v>34639</v>
      </c>
      <c r="I4" s="118" t="s">
        <v>42</v>
      </c>
      <c r="J4" s="207" t="s">
        <v>42</v>
      </c>
      <c r="K4" s="118" t="s">
        <v>30</v>
      </c>
      <c r="L4" s="97">
        <v>42370</v>
      </c>
      <c r="M4" s="117" t="s">
        <v>3239</v>
      </c>
      <c r="N4" s="117" t="s">
        <v>3242</v>
      </c>
      <c r="O4" s="119">
        <v>3</v>
      </c>
      <c r="P4" s="119"/>
      <c r="Q4" s="99"/>
      <c r="R4" s="314">
        <f t="shared" ref="R4:R71" si="3">+O4*5310000</f>
        <v>15930000</v>
      </c>
      <c r="S4" s="314">
        <f t="shared" si="0"/>
        <v>0</v>
      </c>
      <c r="T4" s="314">
        <f t="shared" si="1"/>
        <v>0</v>
      </c>
      <c r="U4" s="314">
        <f t="shared" si="2"/>
        <v>15930000</v>
      </c>
      <c r="V4" s="314">
        <f>+VLOOKUP(A4,[2]Sheet1!$B$11:$J$400,9,0)</f>
        <v>13525200</v>
      </c>
      <c r="W4" s="315" t="s">
        <v>1556</v>
      </c>
      <c r="X4" s="99" t="s">
        <v>857</v>
      </c>
      <c r="Y4" s="99" t="str">
        <f>+VLOOKUP(A4,[3]Sheet1!$B$11:$I$388,8,0)</f>
        <v>79 - 034</v>
      </c>
      <c r="Z4" s="99" t="s">
        <v>1788</v>
      </c>
      <c r="AA4" s="99" t="s">
        <v>1845</v>
      </c>
      <c r="AB4" s="100" t="s">
        <v>1845</v>
      </c>
      <c r="AC4" s="99">
        <f>+VALUE(AB4:AB398)</f>
        <v>24074000335</v>
      </c>
      <c r="AD4" s="201" t="s">
        <v>2426</v>
      </c>
      <c r="AE4" s="99" t="s">
        <v>2427</v>
      </c>
      <c r="AF4" s="317" t="s">
        <v>3360</v>
      </c>
      <c r="AG4" s="316" t="s">
        <v>858</v>
      </c>
      <c r="AH4" s="251"/>
      <c r="AI4" s="251" t="s">
        <v>3568</v>
      </c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 t="s">
        <v>3487</v>
      </c>
      <c r="AU4" s="379" t="s">
        <v>543</v>
      </c>
      <c r="AV4" s="380"/>
    </row>
    <row r="5" spans="1:48" x14ac:dyDescent="0.25">
      <c r="A5" s="355" t="s">
        <v>9</v>
      </c>
      <c r="B5" s="391" t="s">
        <v>3542</v>
      </c>
      <c r="C5" s="100" t="s">
        <v>49</v>
      </c>
      <c r="D5" s="97">
        <v>30583</v>
      </c>
      <c r="E5" s="97">
        <f>+DATE(YEAR(D5)+62,MONTH(D5),DAY(D5))</f>
        <v>53229</v>
      </c>
      <c r="F5" s="97">
        <v>49882</v>
      </c>
      <c r="G5" s="97">
        <f>+VLOOKUP(A5,'[1]DATA 06.2023'!$E$2:$J$390,6,0)</f>
        <v>53236</v>
      </c>
      <c r="H5" s="97">
        <v>38991</v>
      </c>
      <c r="I5" s="118" t="s">
        <v>42</v>
      </c>
      <c r="J5" s="207" t="s">
        <v>42</v>
      </c>
      <c r="K5" s="118" t="s">
        <v>31</v>
      </c>
      <c r="L5" s="97">
        <v>42370</v>
      </c>
      <c r="M5" s="97">
        <v>45597</v>
      </c>
      <c r="N5" s="204" t="s">
        <v>3242</v>
      </c>
      <c r="O5" s="118">
        <v>2.72</v>
      </c>
      <c r="P5" s="119"/>
      <c r="Q5" s="99"/>
      <c r="R5" s="314">
        <f t="shared" si="3"/>
        <v>14443200.000000002</v>
      </c>
      <c r="S5" s="314">
        <f t="shared" si="0"/>
        <v>0</v>
      </c>
      <c r="T5" s="314">
        <f t="shared" si="1"/>
        <v>0</v>
      </c>
      <c r="U5" s="314">
        <f t="shared" si="2"/>
        <v>14443200.000000002</v>
      </c>
      <c r="V5" s="314">
        <f>+VLOOKUP(A5,[2]Sheet1!$B$11:$J$400,9,0)</f>
        <v>10015200</v>
      </c>
      <c r="W5" s="315" t="s">
        <v>1532</v>
      </c>
      <c r="X5" s="99" t="s">
        <v>752</v>
      </c>
      <c r="Y5" s="99" t="str">
        <f>+VLOOKUP(A5,[3]Sheet1!$B$11:$I$388,8,0)</f>
        <v>79 - 031</v>
      </c>
      <c r="Z5" s="99" t="s">
        <v>1789</v>
      </c>
      <c r="AA5" s="99" t="s">
        <v>2739</v>
      </c>
      <c r="AB5" s="100" t="s">
        <v>2147</v>
      </c>
      <c r="AC5" s="99">
        <f>+VALUE(AB5:AB424)</f>
        <v>186013062</v>
      </c>
      <c r="AD5" s="99" t="s">
        <v>753</v>
      </c>
      <c r="AE5" s="99" t="s">
        <v>2427</v>
      </c>
      <c r="AF5" s="99" t="s">
        <v>3361</v>
      </c>
      <c r="AG5" s="316" t="s">
        <v>755</v>
      </c>
      <c r="AH5" s="251"/>
      <c r="AI5" s="251" t="s">
        <v>3569</v>
      </c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 t="s">
        <v>3487</v>
      </c>
      <c r="AU5" s="379" t="s">
        <v>543</v>
      </c>
      <c r="AV5" s="380"/>
    </row>
    <row r="6" spans="1:48" x14ac:dyDescent="0.25">
      <c r="A6" s="355" t="s">
        <v>23</v>
      </c>
      <c r="B6" s="391" t="s">
        <v>3542</v>
      </c>
      <c r="C6" s="100" t="s">
        <v>3184</v>
      </c>
      <c r="D6" s="97">
        <v>25270</v>
      </c>
      <c r="E6" s="97">
        <f>+DATE(YEAR(D6)+62,MONTH(D6),DAY(D6))</f>
        <v>47915</v>
      </c>
      <c r="F6" s="97">
        <f>+EOMONTH(E6,0)+1</f>
        <v>47939</v>
      </c>
      <c r="G6" s="97">
        <f>+VLOOKUP(A6,'[1]DATA 06.2023'!$E$2:$J$390,6,0)</f>
        <v>47939</v>
      </c>
      <c r="H6" s="97">
        <v>33543</v>
      </c>
      <c r="I6" s="118" t="s">
        <v>42</v>
      </c>
      <c r="J6" s="207" t="s">
        <v>42</v>
      </c>
      <c r="K6" s="118" t="s">
        <v>31</v>
      </c>
      <c r="L6" s="97">
        <v>42370</v>
      </c>
      <c r="M6" s="97">
        <v>45597</v>
      </c>
      <c r="N6" s="204" t="s">
        <v>3242</v>
      </c>
      <c r="O6" s="119">
        <v>2.72</v>
      </c>
      <c r="P6" s="119"/>
      <c r="Q6" s="99"/>
      <c r="R6" s="314">
        <f t="shared" si="3"/>
        <v>14443200.000000002</v>
      </c>
      <c r="S6" s="314">
        <f t="shared" si="0"/>
        <v>0</v>
      </c>
      <c r="T6" s="314">
        <f t="shared" si="1"/>
        <v>0</v>
      </c>
      <c r="U6" s="314">
        <f t="shared" si="2"/>
        <v>14443200.000000002</v>
      </c>
      <c r="V6" s="314">
        <f>+VLOOKUP(A6,[2]Sheet1!$B$11:$J$400,9,0)</f>
        <v>12729600</v>
      </c>
      <c r="W6" s="315" t="s">
        <v>1552</v>
      </c>
      <c r="X6" s="99" t="s">
        <v>842</v>
      </c>
      <c r="Y6" s="99" t="str">
        <f>+VLOOKUP(A6,[3]Sheet1!$B$11:$I$388,8,0)</f>
        <v>79 - 025</v>
      </c>
      <c r="Z6" s="99" t="s">
        <v>1789</v>
      </c>
      <c r="AA6" s="99" t="s">
        <v>2756</v>
      </c>
      <c r="AB6" s="100" t="s">
        <v>843</v>
      </c>
      <c r="AC6" s="99">
        <f>+VALUE(AB6:AB418)</f>
        <v>25438396</v>
      </c>
      <c r="AD6" s="99" t="s">
        <v>844</v>
      </c>
      <c r="AE6" s="99" t="s">
        <v>2427</v>
      </c>
      <c r="AF6" s="99" t="s">
        <v>845</v>
      </c>
      <c r="AG6" s="316" t="s">
        <v>739</v>
      </c>
      <c r="AH6" s="251"/>
      <c r="AI6" s="251" t="s">
        <v>3570</v>
      </c>
      <c r="AJ6" s="251"/>
      <c r="AK6" s="251"/>
      <c r="AL6" s="251"/>
      <c r="AM6" s="251"/>
      <c r="AN6" s="251"/>
      <c r="AO6" s="251"/>
      <c r="AP6" s="251"/>
      <c r="AQ6" s="251"/>
      <c r="AR6" s="251"/>
      <c r="AS6" s="251"/>
      <c r="AT6" s="251" t="s">
        <v>3487</v>
      </c>
      <c r="AU6" s="379" t="s">
        <v>543</v>
      </c>
      <c r="AV6" s="380"/>
    </row>
    <row r="7" spans="1:48" x14ac:dyDescent="0.25">
      <c r="A7" s="356" t="s">
        <v>585</v>
      </c>
      <c r="B7" s="392" t="s">
        <v>3543</v>
      </c>
      <c r="C7" s="209" t="s">
        <v>45</v>
      </c>
      <c r="D7" s="97">
        <v>28064</v>
      </c>
      <c r="E7" s="97">
        <f>+DATE(YEAR(D7)+60,MONTH(D7),DAY(D7))</f>
        <v>49979</v>
      </c>
      <c r="F7" s="97">
        <v>49979</v>
      </c>
      <c r="G7" s="97">
        <f>+EOMONTH(F7,0)+1</f>
        <v>49980</v>
      </c>
      <c r="H7" s="97">
        <v>34973</v>
      </c>
      <c r="I7" s="118" t="s">
        <v>583</v>
      </c>
      <c r="J7" s="207" t="s">
        <v>42</v>
      </c>
      <c r="K7" s="118" t="s">
        <v>32</v>
      </c>
      <c r="L7" s="97">
        <v>42248</v>
      </c>
      <c r="M7" s="97">
        <v>43466</v>
      </c>
      <c r="N7" s="117" t="s">
        <v>74</v>
      </c>
      <c r="O7" s="119">
        <v>1.89</v>
      </c>
      <c r="P7" s="119">
        <v>0.35</v>
      </c>
      <c r="Q7" s="99"/>
      <c r="R7" s="314">
        <f t="shared" si="3"/>
        <v>10035900</v>
      </c>
      <c r="S7" s="314">
        <f t="shared" si="0"/>
        <v>1736000</v>
      </c>
      <c r="T7" s="314">
        <f t="shared" si="1"/>
        <v>0</v>
      </c>
      <c r="U7" s="314">
        <f t="shared" si="2"/>
        <v>11771900</v>
      </c>
      <c r="V7" s="314">
        <f>+VLOOKUP(A7,[2]Sheet1!$B$11:$J$400,9,0)</f>
        <v>10483200</v>
      </c>
      <c r="W7" s="315" t="s">
        <v>1536</v>
      </c>
      <c r="X7" s="99" t="s">
        <v>770</v>
      </c>
      <c r="Y7" s="99" t="str">
        <f>+VLOOKUP(A7,[3]Sheet1!$B$11:$I$388,8,0)</f>
        <v>79 - 002</v>
      </c>
      <c r="Z7" s="99" t="s">
        <v>1790</v>
      </c>
      <c r="AA7" s="99" t="s">
        <v>2738</v>
      </c>
      <c r="AB7" s="100" t="s">
        <v>771</v>
      </c>
      <c r="AC7" s="99">
        <f>+VALUE(AB7:AB398)</f>
        <v>22788073</v>
      </c>
      <c r="AD7" s="99" t="s">
        <v>772</v>
      </c>
      <c r="AE7" s="99" t="s">
        <v>2427</v>
      </c>
      <c r="AF7" s="99" t="s">
        <v>773</v>
      </c>
      <c r="AG7" s="316" t="s">
        <v>1850</v>
      </c>
      <c r="AH7" s="251"/>
      <c r="AI7" s="251" t="s">
        <v>3571</v>
      </c>
      <c r="AJ7" s="251"/>
      <c r="AK7" s="251"/>
      <c r="AL7" s="251"/>
      <c r="AM7" s="251"/>
      <c r="AN7" s="251"/>
      <c r="AO7" s="251"/>
      <c r="AP7" s="251"/>
      <c r="AQ7" s="251"/>
      <c r="AR7" s="251"/>
      <c r="AS7" s="251"/>
      <c r="AT7" s="251" t="s">
        <v>3487</v>
      </c>
      <c r="AU7" s="379" t="s">
        <v>543</v>
      </c>
      <c r="AV7" s="380"/>
    </row>
    <row r="8" spans="1:48" ht="24" x14ac:dyDescent="0.25">
      <c r="A8" s="357" t="s">
        <v>11</v>
      </c>
      <c r="B8" s="393" t="s">
        <v>3542</v>
      </c>
      <c r="C8" s="100" t="s">
        <v>51</v>
      </c>
      <c r="D8" s="97">
        <v>31556</v>
      </c>
      <c r="E8" s="97">
        <f>+DATE(YEAR(D8)+62,MONTH(D8),DAY(D8))</f>
        <v>54202</v>
      </c>
      <c r="F8" s="97">
        <v>54756</v>
      </c>
      <c r="G8" s="97">
        <f>+VLOOKUP(A8,'[1]DATA 06.2023'!$E$2:$J$390,6,0)</f>
        <v>54210</v>
      </c>
      <c r="H8" s="97">
        <v>41153</v>
      </c>
      <c r="I8" s="118" t="s">
        <v>584</v>
      </c>
      <c r="J8" s="207" t="s">
        <v>41</v>
      </c>
      <c r="K8" s="118" t="s">
        <v>35</v>
      </c>
      <c r="L8" s="97">
        <v>42370</v>
      </c>
      <c r="M8" s="97">
        <v>43466</v>
      </c>
      <c r="N8" s="117" t="s">
        <v>76</v>
      </c>
      <c r="O8" s="119">
        <v>1.79</v>
      </c>
      <c r="P8" s="119">
        <v>0.35</v>
      </c>
      <c r="Q8" s="99"/>
      <c r="R8" s="314">
        <f t="shared" si="3"/>
        <v>9504900</v>
      </c>
      <c r="S8" s="314">
        <f t="shared" si="0"/>
        <v>1736000</v>
      </c>
      <c r="T8" s="314">
        <f t="shared" si="1"/>
        <v>0</v>
      </c>
      <c r="U8" s="314">
        <f t="shared" si="2"/>
        <v>11240900</v>
      </c>
      <c r="V8" s="314">
        <f>+VLOOKUP(A8,[2]Sheet1!$B$11:$J$400,9,0)</f>
        <v>9079200</v>
      </c>
      <c r="W8" s="315" t="s">
        <v>1534</v>
      </c>
      <c r="X8" s="99" t="s">
        <v>751</v>
      </c>
      <c r="Y8" s="99" t="str">
        <f>+VLOOKUP(A8,[3]Sheet1!$B$11:$I$388,8,0)</f>
        <v>79 - 071</v>
      </c>
      <c r="Z8" s="99" t="s">
        <v>3272</v>
      </c>
      <c r="AA8" s="99" t="s">
        <v>2740</v>
      </c>
      <c r="AB8" s="100" t="s">
        <v>761</v>
      </c>
      <c r="AC8" s="99">
        <f>+VALUE(AB8:AB398)</f>
        <v>186307086</v>
      </c>
      <c r="AD8" s="205" t="s">
        <v>2131</v>
      </c>
      <c r="AE8" s="99" t="s">
        <v>2427</v>
      </c>
      <c r="AF8" s="99" t="s">
        <v>762</v>
      </c>
      <c r="AG8" s="316" t="s">
        <v>763</v>
      </c>
      <c r="AH8" s="251"/>
      <c r="AI8" s="318" t="s">
        <v>3572</v>
      </c>
      <c r="AJ8" s="251"/>
      <c r="AK8" s="251"/>
      <c r="AL8" s="251"/>
      <c r="AM8" s="251"/>
      <c r="AN8" s="251"/>
      <c r="AO8" s="251"/>
      <c r="AP8" s="251"/>
      <c r="AQ8" s="251"/>
      <c r="AR8" s="251"/>
      <c r="AS8" s="251"/>
      <c r="AT8" s="251" t="s">
        <v>3487</v>
      </c>
      <c r="AU8" s="379"/>
      <c r="AV8" s="380" t="s">
        <v>543</v>
      </c>
    </row>
    <row r="9" spans="1:48" x14ac:dyDescent="0.25">
      <c r="A9" s="355" t="s">
        <v>3366</v>
      </c>
      <c r="B9" s="393" t="s">
        <v>3542</v>
      </c>
      <c r="C9" s="100" t="s">
        <v>3367</v>
      </c>
      <c r="D9" s="97">
        <v>37040</v>
      </c>
      <c r="E9" s="97">
        <f>+DATE(YEAR(D9)+57,MONTH(D9),DAY(D9))</f>
        <v>57859</v>
      </c>
      <c r="F9" s="97">
        <f>+EOMONTH(E9,0)+1</f>
        <v>57862</v>
      </c>
      <c r="G9" s="97">
        <v>57862</v>
      </c>
      <c r="H9" s="97">
        <v>45748</v>
      </c>
      <c r="I9" s="118" t="s">
        <v>584</v>
      </c>
      <c r="J9" s="207" t="s">
        <v>41</v>
      </c>
      <c r="K9" s="118" t="s">
        <v>34</v>
      </c>
      <c r="L9" s="97">
        <v>45748</v>
      </c>
      <c r="M9" s="204"/>
      <c r="N9" s="238" t="s">
        <v>73</v>
      </c>
      <c r="O9" s="118">
        <v>1.5</v>
      </c>
      <c r="P9" s="119"/>
      <c r="Q9" s="99"/>
      <c r="R9" s="314">
        <f>+O9*5310000</f>
        <v>7965000</v>
      </c>
      <c r="S9" s="314">
        <f>+P9*4960000</f>
        <v>0</v>
      </c>
      <c r="T9" s="314">
        <f>+Q9*2340000</f>
        <v>0</v>
      </c>
      <c r="U9" s="314">
        <f>+R9+S9+T9</f>
        <v>7965000</v>
      </c>
      <c r="V9" s="314"/>
      <c r="W9" s="319">
        <v>7929932891</v>
      </c>
      <c r="X9" s="99" t="s">
        <v>3386</v>
      </c>
      <c r="Y9" s="99"/>
      <c r="Z9" s="99" t="s">
        <v>34</v>
      </c>
      <c r="AA9" s="320" t="s">
        <v>3368</v>
      </c>
      <c r="AB9" s="100"/>
      <c r="AC9" s="99"/>
      <c r="AD9" s="261">
        <v>44302</v>
      </c>
      <c r="AE9" s="99" t="s">
        <v>2427</v>
      </c>
      <c r="AF9" s="99" t="s">
        <v>3369</v>
      </c>
      <c r="AG9" s="316"/>
      <c r="AH9" s="251"/>
      <c r="AI9" s="251" t="s">
        <v>3573</v>
      </c>
      <c r="AJ9" s="251"/>
      <c r="AK9" s="251"/>
      <c r="AL9" s="251"/>
      <c r="AM9" s="247"/>
      <c r="AN9" s="251"/>
      <c r="AO9" s="247">
        <v>45748</v>
      </c>
      <c r="AP9" s="247"/>
      <c r="AQ9" s="251"/>
      <c r="AR9" s="247"/>
      <c r="AS9" s="321"/>
      <c r="AT9" s="251" t="s">
        <v>3487</v>
      </c>
      <c r="AU9" s="379"/>
      <c r="AV9" s="380"/>
    </row>
    <row r="10" spans="1:48" x14ac:dyDescent="0.25">
      <c r="A10" s="357" t="s">
        <v>3388</v>
      </c>
      <c r="B10" s="393" t="s">
        <v>3542</v>
      </c>
      <c r="C10" s="100" t="s">
        <v>3389</v>
      </c>
      <c r="D10" s="97">
        <v>37454</v>
      </c>
      <c r="E10" s="97">
        <f>+DATE(YEAR(D10)+57,MONTH(D10),DAY(D10))</f>
        <v>58273</v>
      </c>
      <c r="F10" s="97">
        <f>+EOMONTH(E10,0)+1</f>
        <v>58288</v>
      </c>
      <c r="G10" s="97">
        <v>58288</v>
      </c>
      <c r="H10" s="97">
        <v>45778</v>
      </c>
      <c r="I10" s="118" t="s">
        <v>584</v>
      </c>
      <c r="J10" s="207" t="s">
        <v>41</v>
      </c>
      <c r="K10" s="118" t="s">
        <v>34</v>
      </c>
      <c r="L10" s="97">
        <v>45778</v>
      </c>
      <c r="M10" s="204"/>
      <c r="N10" s="238" t="s">
        <v>73</v>
      </c>
      <c r="O10" s="118">
        <v>1.5</v>
      </c>
      <c r="P10" s="119"/>
      <c r="Q10" s="99"/>
      <c r="R10" s="314">
        <f>+O10*5310000</f>
        <v>7965000</v>
      </c>
      <c r="S10" s="314">
        <f>+P10*4960000</f>
        <v>0</v>
      </c>
      <c r="T10" s="314">
        <f>+Q10*2340000</f>
        <v>0</v>
      </c>
      <c r="U10" s="314">
        <f>+R10+S10+T10</f>
        <v>7965000</v>
      </c>
      <c r="V10" s="314"/>
      <c r="W10" s="319">
        <v>5420987794</v>
      </c>
      <c r="X10" s="99" t="s">
        <v>3385</v>
      </c>
      <c r="Y10" s="99"/>
      <c r="Z10" s="99" t="s">
        <v>34</v>
      </c>
      <c r="AA10" s="223" t="s">
        <v>3390</v>
      </c>
      <c r="AB10" s="100"/>
      <c r="AC10" s="99"/>
      <c r="AD10" s="205"/>
      <c r="AE10" s="99" t="s">
        <v>2427</v>
      </c>
      <c r="AF10" s="99" t="s">
        <v>3391</v>
      </c>
      <c r="AG10" s="251"/>
      <c r="AH10" s="251"/>
      <c r="AI10" s="251" t="s">
        <v>3574</v>
      </c>
      <c r="AJ10" s="251"/>
      <c r="AK10" s="251"/>
      <c r="AL10" s="251"/>
      <c r="AM10" s="247"/>
      <c r="AN10" s="251"/>
      <c r="AO10" s="247">
        <v>45778</v>
      </c>
      <c r="AP10" s="251"/>
      <c r="AQ10" s="251"/>
      <c r="AR10" s="247"/>
      <c r="AS10" s="322" t="s">
        <v>3393</v>
      </c>
      <c r="AT10" s="251" t="s">
        <v>3487</v>
      </c>
      <c r="AU10" s="379"/>
      <c r="AV10" s="380"/>
    </row>
    <row r="11" spans="1:48" ht="24" x14ac:dyDescent="0.25">
      <c r="A11" s="355" t="s">
        <v>10</v>
      </c>
      <c r="B11" s="393" t="s">
        <v>3542</v>
      </c>
      <c r="C11" s="100" t="s">
        <v>50</v>
      </c>
      <c r="D11" s="97">
        <v>30195</v>
      </c>
      <c r="E11" s="97">
        <f t="shared" ref="E11:E16" si="4">+DATE(YEAR(D11)+62,MONTH(D11),DAY(D11))</f>
        <v>52841</v>
      </c>
      <c r="F11" s="97">
        <v>50775</v>
      </c>
      <c r="G11" s="97">
        <f>+VLOOKUP(A11,'[1]DATA 06.2023'!$E$2:$J$390,6,0)</f>
        <v>52871</v>
      </c>
      <c r="H11" s="97">
        <v>38473</v>
      </c>
      <c r="I11" s="118" t="s">
        <v>584</v>
      </c>
      <c r="J11" s="207" t="s">
        <v>41</v>
      </c>
      <c r="K11" s="118" t="s">
        <v>34</v>
      </c>
      <c r="L11" s="97">
        <v>44197</v>
      </c>
      <c r="M11" s="97">
        <v>45292</v>
      </c>
      <c r="N11" s="204" t="s">
        <v>76</v>
      </c>
      <c r="O11" s="119">
        <v>1.79</v>
      </c>
      <c r="P11" s="119"/>
      <c r="Q11" s="99"/>
      <c r="R11" s="314">
        <f t="shared" si="3"/>
        <v>9504900</v>
      </c>
      <c r="S11" s="314">
        <f t="shared" si="0"/>
        <v>0</v>
      </c>
      <c r="T11" s="314">
        <f t="shared" si="1"/>
        <v>0</v>
      </c>
      <c r="U11" s="314">
        <f t="shared" si="2"/>
        <v>9504900</v>
      </c>
      <c r="V11" s="314">
        <f>+VLOOKUP(A11,[2]Sheet1!$B$11:$J$400,9,0)</f>
        <v>8377200</v>
      </c>
      <c r="W11" s="315" t="s">
        <v>1533</v>
      </c>
      <c r="X11" s="99" t="s">
        <v>1836</v>
      </c>
      <c r="Y11" s="99" t="str">
        <f>+VLOOKUP(A11,[3]Sheet1!$B$11:$I$388,8,0)</f>
        <v>79 - 014</v>
      </c>
      <c r="Z11" s="99" t="s">
        <v>34</v>
      </c>
      <c r="AA11" s="99" t="s">
        <v>2741</v>
      </c>
      <c r="AB11" s="100" t="s">
        <v>757</v>
      </c>
      <c r="AC11" s="99">
        <f>+VALUE(AB11:AB407)</f>
        <v>271499752</v>
      </c>
      <c r="AD11" s="99" t="s">
        <v>758</v>
      </c>
      <c r="AE11" s="99" t="s">
        <v>2427</v>
      </c>
      <c r="AF11" s="99" t="s">
        <v>759</v>
      </c>
      <c r="AG11" s="316" t="s">
        <v>760</v>
      </c>
      <c r="AH11" s="251"/>
      <c r="AI11" s="318" t="s">
        <v>3575</v>
      </c>
      <c r="AJ11" s="251"/>
      <c r="AK11" s="251"/>
      <c r="AL11" s="251"/>
      <c r="AM11" s="251"/>
      <c r="AN11" s="251"/>
      <c r="AO11" s="251"/>
      <c r="AP11" s="251"/>
      <c r="AQ11" s="251"/>
      <c r="AR11" s="251"/>
      <c r="AS11" s="251"/>
      <c r="AT11" s="251" t="s">
        <v>3487</v>
      </c>
      <c r="AU11" s="379"/>
      <c r="AV11" s="380"/>
    </row>
    <row r="12" spans="1:48" ht="24" x14ac:dyDescent="0.25">
      <c r="A12" s="354" t="s">
        <v>12</v>
      </c>
      <c r="B12" s="393" t="s">
        <v>3542</v>
      </c>
      <c r="C12" s="100" t="s">
        <v>52</v>
      </c>
      <c r="D12" s="97">
        <v>30623</v>
      </c>
      <c r="E12" s="97">
        <f t="shared" si="4"/>
        <v>53269</v>
      </c>
      <c r="F12" s="97">
        <v>53868</v>
      </c>
      <c r="G12" s="97">
        <f>+VLOOKUP(A12,'[1]DATA 06.2023'!$E$2:$J$390,6,0)</f>
        <v>53297</v>
      </c>
      <c r="H12" s="97">
        <v>40269</v>
      </c>
      <c r="I12" s="118" t="s">
        <v>584</v>
      </c>
      <c r="J12" s="207" t="s">
        <v>41</v>
      </c>
      <c r="K12" s="118" t="s">
        <v>34</v>
      </c>
      <c r="L12" s="97">
        <v>44378</v>
      </c>
      <c r="M12" s="97">
        <v>45474</v>
      </c>
      <c r="N12" s="204" t="s">
        <v>76</v>
      </c>
      <c r="O12" s="119">
        <v>1.79</v>
      </c>
      <c r="P12" s="119"/>
      <c r="Q12" s="99"/>
      <c r="R12" s="314">
        <f t="shared" si="3"/>
        <v>9504900</v>
      </c>
      <c r="S12" s="314">
        <f t="shared" si="0"/>
        <v>0</v>
      </c>
      <c r="T12" s="314">
        <f t="shared" si="1"/>
        <v>0</v>
      </c>
      <c r="U12" s="314">
        <f t="shared" si="2"/>
        <v>9504900</v>
      </c>
      <c r="V12" s="314">
        <f>+VLOOKUP(A12,[2]Sheet1!$B$11:$J$400,9,0)</f>
        <v>7909200</v>
      </c>
      <c r="W12" s="315" t="s">
        <v>1535</v>
      </c>
      <c r="X12" s="99" t="s">
        <v>764</v>
      </c>
      <c r="Y12" s="99" t="str">
        <f>+VLOOKUP(A12,[3]Sheet1!$B$11:$I$388,8,0)</f>
        <v>79 - 016</v>
      </c>
      <c r="Z12" s="99" t="s">
        <v>34</v>
      </c>
      <c r="AA12" s="99" t="s">
        <v>765</v>
      </c>
      <c r="AB12" s="100" t="s">
        <v>765</v>
      </c>
      <c r="AC12" s="99">
        <f>+VALUE(AB12:AB398)</f>
        <v>79083001237</v>
      </c>
      <c r="AD12" s="201" t="s">
        <v>2428</v>
      </c>
      <c r="AE12" s="99" t="s">
        <v>2427</v>
      </c>
      <c r="AF12" s="99" t="s">
        <v>766</v>
      </c>
      <c r="AG12" s="316" t="s">
        <v>767</v>
      </c>
      <c r="AH12" s="251"/>
      <c r="AI12" s="318" t="s">
        <v>3576</v>
      </c>
      <c r="AJ12" s="251"/>
      <c r="AK12" s="251"/>
      <c r="AL12" s="251"/>
      <c r="AM12" s="251"/>
      <c r="AN12" s="251"/>
      <c r="AO12" s="251"/>
      <c r="AP12" s="251"/>
      <c r="AQ12" s="251"/>
      <c r="AR12" s="251"/>
      <c r="AS12" s="251"/>
      <c r="AT12" s="251" t="s">
        <v>3487</v>
      </c>
      <c r="AU12" s="379"/>
      <c r="AV12" s="380"/>
    </row>
    <row r="13" spans="1:48" x14ac:dyDescent="0.25">
      <c r="A13" s="358" t="s">
        <v>108</v>
      </c>
      <c r="B13" s="393" t="s">
        <v>3542</v>
      </c>
      <c r="C13" s="100" t="s">
        <v>153</v>
      </c>
      <c r="D13" s="97">
        <v>30609</v>
      </c>
      <c r="E13" s="97">
        <f t="shared" si="4"/>
        <v>53255</v>
      </c>
      <c r="F13" s="97">
        <v>49297</v>
      </c>
      <c r="G13" s="97">
        <f>+VLOOKUP(A13,'[1]DATA 06.2023'!$E$2:$J$390,6,0)</f>
        <v>53267</v>
      </c>
      <c r="H13" s="97">
        <v>39264</v>
      </c>
      <c r="I13" s="118" t="s">
        <v>584</v>
      </c>
      <c r="J13" s="207" t="s">
        <v>41</v>
      </c>
      <c r="K13" s="118" t="s">
        <v>33</v>
      </c>
      <c r="L13" s="97">
        <v>43344</v>
      </c>
      <c r="M13" s="323" t="s">
        <v>3239</v>
      </c>
      <c r="N13" s="204" t="s">
        <v>76</v>
      </c>
      <c r="O13" s="118">
        <v>1.79</v>
      </c>
      <c r="P13" s="119">
        <v>0.25</v>
      </c>
      <c r="Q13" s="99"/>
      <c r="R13" s="314">
        <f t="shared" si="3"/>
        <v>9504900</v>
      </c>
      <c r="S13" s="314">
        <f t="shared" si="0"/>
        <v>1240000</v>
      </c>
      <c r="T13" s="314">
        <f t="shared" si="1"/>
        <v>0</v>
      </c>
      <c r="U13" s="314">
        <f t="shared" si="2"/>
        <v>10744900</v>
      </c>
      <c r="V13" s="314">
        <f>+VLOOKUP(A13,[2]Sheet1!$B$11:$J$400,9,0)</f>
        <v>7909200</v>
      </c>
      <c r="W13" s="315" t="s">
        <v>1568</v>
      </c>
      <c r="X13" s="99" t="s">
        <v>798</v>
      </c>
      <c r="Y13" s="99" t="str">
        <f>+VLOOKUP(A13,[3]Sheet1!$B$11:$I$388,8,0)</f>
        <v>79 - 034</v>
      </c>
      <c r="Z13" s="99" t="s">
        <v>3445</v>
      </c>
      <c r="AA13" s="99" t="s">
        <v>2742</v>
      </c>
      <c r="AB13" s="100" t="s">
        <v>902</v>
      </c>
      <c r="AC13" s="99">
        <f>+VALUE(AB13:AB398)</f>
        <v>12272684</v>
      </c>
      <c r="AD13" s="99" t="s">
        <v>903</v>
      </c>
      <c r="AE13" s="99" t="s">
        <v>2427</v>
      </c>
      <c r="AF13" s="99" t="s">
        <v>905</v>
      </c>
      <c r="AG13" s="316" t="s">
        <v>906</v>
      </c>
      <c r="AH13" s="251"/>
      <c r="AI13" s="251" t="s">
        <v>3577</v>
      </c>
      <c r="AJ13" s="251"/>
      <c r="AK13" s="251"/>
      <c r="AL13" s="251"/>
      <c r="AM13" s="251"/>
      <c r="AN13" s="251"/>
      <c r="AO13" s="251"/>
      <c r="AP13" s="251"/>
      <c r="AQ13" s="251"/>
      <c r="AR13" s="251"/>
      <c r="AS13" s="251"/>
      <c r="AT13" s="251" t="s">
        <v>3487</v>
      </c>
      <c r="AU13" s="379"/>
      <c r="AV13" s="380"/>
    </row>
    <row r="14" spans="1:48" ht="24" x14ac:dyDescent="0.25">
      <c r="A14" s="357" t="s">
        <v>160</v>
      </c>
      <c r="B14" s="393" t="s">
        <v>3542</v>
      </c>
      <c r="C14" s="100" t="s">
        <v>367</v>
      </c>
      <c r="D14" s="97">
        <v>24667</v>
      </c>
      <c r="E14" s="97">
        <f t="shared" si="4"/>
        <v>47313</v>
      </c>
      <c r="F14" s="97">
        <f>+EOMONTH(E14,0)+1</f>
        <v>47331</v>
      </c>
      <c r="G14" s="97">
        <f>+VLOOKUP(A14,'[1]DATA 06.2023'!$E$2:$J$390,6,0)</f>
        <v>47331</v>
      </c>
      <c r="H14" s="97">
        <v>34274</v>
      </c>
      <c r="I14" s="118" t="s">
        <v>26</v>
      </c>
      <c r="J14" s="207" t="s">
        <v>41</v>
      </c>
      <c r="K14" s="118" t="s">
        <v>35</v>
      </c>
      <c r="L14" s="97">
        <v>42795</v>
      </c>
      <c r="M14" s="323" t="s">
        <v>1516</v>
      </c>
      <c r="N14" s="238" t="s">
        <v>75</v>
      </c>
      <c r="O14" s="118">
        <v>2.37</v>
      </c>
      <c r="P14" s="119">
        <v>0.35</v>
      </c>
      <c r="Q14" s="99"/>
      <c r="R14" s="314">
        <f t="shared" si="3"/>
        <v>12584700</v>
      </c>
      <c r="S14" s="314">
        <f t="shared" si="0"/>
        <v>1736000</v>
      </c>
      <c r="T14" s="314">
        <f t="shared" si="1"/>
        <v>0</v>
      </c>
      <c r="U14" s="314">
        <f t="shared" si="2"/>
        <v>14320700</v>
      </c>
      <c r="V14" s="314">
        <f>+VLOOKUP(A14,[2]Sheet1!$B$11:$J$400,9,0)</f>
        <v>12729600</v>
      </c>
      <c r="W14" s="315" t="s">
        <v>1638</v>
      </c>
      <c r="X14" s="99" t="s">
        <v>3279</v>
      </c>
      <c r="Y14" s="99" t="str">
        <f>+VLOOKUP(A14,[3]Sheet1!$B$11:$I$388,8,0)</f>
        <v>79 - 009</v>
      </c>
      <c r="Z14" s="99" t="s">
        <v>35</v>
      </c>
      <c r="AA14" s="99" t="s">
        <v>2834</v>
      </c>
      <c r="AB14" s="100" t="s">
        <v>2434</v>
      </c>
      <c r="AC14" s="99">
        <f>+VALUE(AB14:AB529)</f>
        <v>264160052</v>
      </c>
      <c r="AD14" s="99" t="s">
        <v>1134</v>
      </c>
      <c r="AE14" s="99" t="s">
        <v>2427</v>
      </c>
      <c r="AF14" s="99" t="s">
        <v>1135</v>
      </c>
      <c r="AG14" s="316" t="s">
        <v>1136</v>
      </c>
      <c r="AH14" s="251"/>
      <c r="AI14" s="324" t="s">
        <v>3578</v>
      </c>
      <c r="AJ14" s="251"/>
      <c r="AK14" s="251"/>
      <c r="AL14" s="251"/>
      <c r="AM14" s="251"/>
      <c r="AN14" s="251"/>
      <c r="AO14" s="251"/>
      <c r="AP14" s="251"/>
      <c r="AQ14" s="251"/>
      <c r="AR14" s="251"/>
      <c r="AS14" s="251" t="s">
        <v>2238</v>
      </c>
      <c r="AT14" s="251" t="s">
        <v>3487</v>
      </c>
      <c r="AU14" s="379"/>
      <c r="AV14" s="380"/>
    </row>
    <row r="15" spans="1:48" x14ac:dyDescent="0.25">
      <c r="A15" s="355" t="s">
        <v>582</v>
      </c>
      <c r="B15" s="393" t="s">
        <v>3542</v>
      </c>
      <c r="C15" s="100" t="s">
        <v>63</v>
      </c>
      <c r="D15" s="97">
        <v>28024</v>
      </c>
      <c r="E15" s="97">
        <f t="shared" si="4"/>
        <v>50669</v>
      </c>
      <c r="F15" s="97">
        <f>+EOMONTH(E15,0)+1</f>
        <v>50679</v>
      </c>
      <c r="G15" s="97">
        <f>+VLOOKUP(A15,'[1]DATA 06.2023'!$E$2:$J$390,6,0)</f>
        <v>50679</v>
      </c>
      <c r="H15" s="97">
        <v>36039</v>
      </c>
      <c r="I15" s="118" t="s">
        <v>26</v>
      </c>
      <c r="J15" s="207" t="s">
        <v>41</v>
      </c>
      <c r="K15" s="118" t="s">
        <v>33</v>
      </c>
      <c r="L15" s="97">
        <v>43282</v>
      </c>
      <c r="M15" s="97">
        <v>44378</v>
      </c>
      <c r="N15" s="238" t="s">
        <v>74</v>
      </c>
      <c r="O15" s="119">
        <v>1.89</v>
      </c>
      <c r="P15" s="119">
        <v>0.25</v>
      </c>
      <c r="Q15" s="99"/>
      <c r="R15" s="314">
        <f t="shared" si="3"/>
        <v>10035900</v>
      </c>
      <c r="S15" s="314">
        <f t="shared" si="0"/>
        <v>1240000</v>
      </c>
      <c r="T15" s="314">
        <f t="shared" si="1"/>
        <v>0</v>
      </c>
      <c r="U15" s="314">
        <f t="shared" si="2"/>
        <v>11275900</v>
      </c>
      <c r="V15" s="314">
        <f>+VLOOKUP(A15,[2]Sheet1!$B$11:$J$400,9,0)</f>
        <v>10015200</v>
      </c>
      <c r="W15" s="315" t="s">
        <v>1549</v>
      </c>
      <c r="X15" s="99" t="s">
        <v>830</v>
      </c>
      <c r="Y15" s="99" t="str">
        <f>+VLOOKUP(A15,[3]Sheet1!$B$11:$I$388,8,0)</f>
        <v>79 - 025</v>
      </c>
      <c r="Z15" s="99" t="s">
        <v>33</v>
      </c>
      <c r="AA15" s="99" t="s">
        <v>2432</v>
      </c>
      <c r="AB15" s="223" t="s">
        <v>2432</v>
      </c>
      <c r="AC15" s="99">
        <f>+VALUE(AB15:AB398)</f>
        <v>79076017344</v>
      </c>
      <c r="AD15" s="205" t="s">
        <v>2433</v>
      </c>
      <c r="AE15" s="99" t="s">
        <v>2427</v>
      </c>
      <c r="AF15" s="99" t="s">
        <v>831</v>
      </c>
      <c r="AG15" s="316" t="s">
        <v>832</v>
      </c>
      <c r="AH15" s="251"/>
      <c r="AI15" s="251" t="s">
        <v>3579</v>
      </c>
      <c r="AJ15" s="251"/>
      <c r="AK15" s="251"/>
      <c r="AL15" s="251"/>
      <c r="AM15" s="251"/>
      <c r="AN15" s="251"/>
      <c r="AO15" s="251"/>
      <c r="AP15" s="251"/>
      <c r="AQ15" s="251"/>
      <c r="AR15" s="251"/>
      <c r="AS15" s="251"/>
      <c r="AT15" s="251" t="s">
        <v>3487</v>
      </c>
      <c r="AU15" s="379" t="s">
        <v>543</v>
      </c>
      <c r="AV15" s="380"/>
    </row>
    <row r="16" spans="1:48" x14ac:dyDescent="0.25">
      <c r="A16" s="355" t="s">
        <v>22</v>
      </c>
      <c r="B16" s="393" t="s">
        <v>3542</v>
      </c>
      <c r="C16" s="100" t="s">
        <v>66</v>
      </c>
      <c r="D16" s="97">
        <v>27610</v>
      </c>
      <c r="E16" s="97">
        <f t="shared" si="4"/>
        <v>50256</v>
      </c>
      <c r="F16" s="97">
        <f>+EOMONTH(E16,0)+1</f>
        <v>50284</v>
      </c>
      <c r="G16" s="97">
        <f>+VLOOKUP(A16,'[1]DATA 06.2023'!$E$2:$J$390,6,0)</f>
        <v>50284</v>
      </c>
      <c r="H16" s="97">
        <v>34973</v>
      </c>
      <c r="I16" s="118" t="s">
        <v>26</v>
      </c>
      <c r="J16" s="207" t="s">
        <v>41</v>
      </c>
      <c r="K16" s="118" t="s">
        <v>34</v>
      </c>
      <c r="L16" s="97">
        <v>42370</v>
      </c>
      <c r="M16" s="97">
        <v>43466</v>
      </c>
      <c r="N16" s="117" t="s">
        <v>74</v>
      </c>
      <c r="O16" s="119">
        <v>1.89</v>
      </c>
      <c r="P16" s="119"/>
      <c r="Q16" s="99"/>
      <c r="R16" s="314">
        <f t="shared" si="3"/>
        <v>10035900</v>
      </c>
      <c r="S16" s="314">
        <f t="shared" si="0"/>
        <v>0</v>
      </c>
      <c r="T16" s="314">
        <f t="shared" si="1"/>
        <v>0</v>
      </c>
      <c r="U16" s="314">
        <f t="shared" si="2"/>
        <v>10035900</v>
      </c>
      <c r="V16" s="314">
        <f>+VLOOKUP(A16,[2]Sheet1!$B$11:$J$400,9,0)</f>
        <v>8845200</v>
      </c>
      <c r="W16" s="315" t="s">
        <v>1551</v>
      </c>
      <c r="X16" s="99" t="s">
        <v>738</v>
      </c>
      <c r="Y16" s="99" t="str">
        <f>+VLOOKUP(A16,[3]Sheet1!$B$11:$I$388,8,0)</f>
        <v>79 - 025</v>
      </c>
      <c r="Z16" s="99" t="s">
        <v>34</v>
      </c>
      <c r="AA16" s="99" t="s">
        <v>2755</v>
      </c>
      <c r="AB16" s="100" t="s">
        <v>837</v>
      </c>
      <c r="AC16" s="99">
        <f>+VALUE(AB16:AB416)</f>
        <v>24714003</v>
      </c>
      <c r="AD16" s="99" t="s">
        <v>838</v>
      </c>
      <c r="AE16" s="99" t="s">
        <v>2427</v>
      </c>
      <c r="AF16" s="99" t="s">
        <v>3273</v>
      </c>
      <c r="AG16" s="316" t="s">
        <v>839</v>
      </c>
      <c r="AH16" s="251" t="s">
        <v>3580</v>
      </c>
      <c r="AI16" s="251"/>
      <c r="AJ16" s="251"/>
      <c r="AK16" s="251"/>
      <c r="AL16" s="251"/>
      <c r="AM16" s="251"/>
      <c r="AN16" s="251"/>
      <c r="AO16" s="251"/>
      <c r="AP16" s="251"/>
      <c r="AQ16" s="251"/>
      <c r="AR16" s="251"/>
      <c r="AS16" s="321" t="s">
        <v>3494</v>
      </c>
      <c r="AT16" s="251" t="s">
        <v>3487</v>
      </c>
      <c r="AU16" s="379" t="s">
        <v>543</v>
      </c>
      <c r="AV16" s="380"/>
    </row>
    <row r="17" spans="1:48" ht="24" x14ac:dyDescent="0.25">
      <c r="A17" s="359" t="s">
        <v>164</v>
      </c>
      <c r="B17" s="394" t="s">
        <v>3543</v>
      </c>
      <c r="C17" s="209" t="s">
        <v>371</v>
      </c>
      <c r="D17" s="97">
        <v>28976</v>
      </c>
      <c r="E17" s="97">
        <f>+DATE(YEAR(D17)+60,MONTH(D17),DAY(D17))</f>
        <v>50891</v>
      </c>
      <c r="F17" s="97">
        <v>50891</v>
      </c>
      <c r="G17" s="97">
        <f>+EOMONTH(F17,0)+1</f>
        <v>50922</v>
      </c>
      <c r="H17" s="97">
        <v>37500</v>
      </c>
      <c r="I17" s="118" t="s">
        <v>26</v>
      </c>
      <c r="J17" s="207" t="s">
        <v>41</v>
      </c>
      <c r="K17" s="118" t="s">
        <v>33</v>
      </c>
      <c r="L17" s="97">
        <v>42370</v>
      </c>
      <c r="M17" s="323" t="s">
        <v>1514</v>
      </c>
      <c r="N17" s="238" t="s">
        <v>74</v>
      </c>
      <c r="O17" s="119">
        <v>1.89</v>
      </c>
      <c r="P17" s="119">
        <v>0.25</v>
      </c>
      <c r="Q17" s="99"/>
      <c r="R17" s="314">
        <f t="shared" si="3"/>
        <v>10035900</v>
      </c>
      <c r="S17" s="314">
        <f t="shared" si="0"/>
        <v>1240000</v>
      </c>
      <c r="T17" s="314">
        <f t="shared" si="1"/>
        <v>0</v>
      </c>
      <c r="U17" s="314">
        <f t="shared" si="2"/>
        <v>11275900</v>
      </c>
      <c r="V17" s="314">
        <f>+VLOOKUP(A17,[2]Sheet1!$B$11:$J$400,9,0)</f>
        <v>10015200</v>
      </c>
      <c r="W17" s="315" t="s">
        <v>1642</v>
      </c>
      <c r="X17" s="99" t="s">
        <v>3284</v>
      </c>
      <c r="Y17" s="99" t="str">
        <f>+VLOOKUP(A17,[3]Sheet1!$B$11:$I$388,8,0)</f>
        <v>79 - 030</v>
      </c>
      <c r="Z17" s="99" t="s">
        <v>33</v>
      </c>
      <c r="AA17" s="201" t="s">
        <v>3076</v>
      </c>
      <c r="AB17" s="100" t="s">
        <v>2438</v>
      </c>
      <c r="AC17" s="99">
        <f>+VALUE(AB17:AB533)</f>
        <v>264417401</v>
      </c>
      <c r="AD17" s="99" t="s">
        <v>1142</v>
      </c>
      <c r="AE17" s="99" t="s">
        <v>2427</v>
      </c>
      <c r="AF17" s="99" t="s">
        <v>1143</v>
      </c>
      <c r="AG17" s="316" t="s">
        <v>1144</v>
      </c>
      <c r="AH17" s="251"/>
      <c r="AI17" s="318" t="s">
        <v>3581</v>
      </c>
      <c r="AJ17" s="251"/>
      <c r="AK17" s="251"/>
      <c r="AL17" s="251"/>
      <c r="AM17" s="251"/>
      <c r="AN17" s="251"/>
      <c r="AO17" s="251"/>
      <c r="AP17" s="251"/>
      <c r="AQ17" s="251"/>
      <c r="AR17" s="251"/>
      <c r="AS17" s="251">
        <v>947834429</v>
      </c>
      <c r="AT17" s="251" t="s">
        <v>3487</v>
      </c>
      <c r="AU17" s="379" t="s">
        <v>543</v>
      </c>
      <c r="AV17" s="380"/>
    </row>
    <row r="18" spans="1:48" x14ac:dyDescent="0.25">
      <c r="A18" s="354" t="s">
        <v>289</v>
      </c>
      <c r="B18" s="391" t="s">
        <v>3542</v>
      </c>
      <c r="C18" s="100" t="s">
        <v>57</v>
      </c>
      <c r="D18" s="97">
        <v>26870</v>
      </c>
      <c r="E18" s="97">
        <f>+DATE(YEAR(D18)+62,MONTH(D18),DAY(D18))</f>
        <v>49515</v>
      </c>
      <c r="F18" s="97">
        <f>+EOMONTH(E18,0)+1</f>
        <v>49522</v>
      </c>
      <c r="G18" s="97">
        <f>+VLOOKUP(A18,'[1]DATA 06.2023'!$E$2:$J$390,6,0)</f>
        <v>49522</v>
      </c>
      <c r="H18" s="97">
        <v>35916</v>
      </c>
      <c r="I18" s="118" t="s">
        <v>26</v>
      </c>
      <c r="J18" s="207" t="s">
        <v>43</v>
      </c>
      <c r="K18" s="118" t="s">
        <v>36</v>
      </c>
      <c r="L18" s="97">
        <v>42005</v>
      </c>
      <c r="M18" s="97"/>
      <c r="N18" s="117" t="s">
        <v>77</v>
      </c>
      <c r="O18" s="119">
        <v>1.65</v>
      </c>
      <c r="P18" s="119"/>
      <c r="Q18" s="99"/>
      <c r="R18" s="314">
        <f t="shared" si="3"/>
        <v>8761500</v>
      </c>
      <c r="S18" s="314">
        <f t="shared" si="0"/>
        <v>0</v>
      </c>
      <c r="T18" s="314">
        <f t="shared" si="1"/>
        <v>0</v>
      </c>
      <c r="U18" s="314">
        <f t="shared" si="2"/>
        <v>8761500</v>
      </c>
      <c r="V18" s="314">
        <f>+VLOOKUP(A18,[2]Sheet1!$B$11:$J$400,9,0)</f>
        <v>7722000</v>
      </c>
      <c r="W18" s="315" t="s">
        <v>1539</v>
      </c>
      <c r="X18" s="99" t="s">
        <v>738</v>
      </c>
      <c r="Y18" s="99" t="str">
        <f>+VLOOKUP(A18,[3]Sheet1!$B$11:$I$388,8,0)</f>
        <v>79 - 025</v>
      </c>
      <c r="Z18" s="99" t="s">
        <v>36</v>
      </c>
      <c r="AA18" s="99" t="s">
        <v>2747</v>
      </c>
      <c r="AB18" s="100" t="s">
        <v>781</v>
      </c>
      <c r="AC18" s="99">
        <f>+VALUE(AB18:AB398)</f>
        <v>24859836</v>
      </c>
      <c r="AD18" s="99" t="s">
        <v>782</v>
      </c>
      <c r="AE18" s="99" t="s">
        <v>2427</v>
      </c>
      <c r="AF18" s="99" t="s">
        <v>783</v>
      </c>
      <c r="AG18" s="316" t="s">
        <v>784</v>
      </c>
      <c r="AH18" s="251"/>
      <c r="AI18" s="251"/>
      <c r="AJ18" s="251" t="s">
        <v>3582</v>
      </c>
      <c r="AK18" s="251"/>
      <c r="AL18" s="251"/>
      <c r="AM18" s="251"/>
      <c r="AN18" s="251"/>
      <c r="AO18" s="251"/>
      <c r="AP18" s="251"/>
      <c r="AQ18" s="251"/>
      <c r="AR18" s="251"/>
      <c r="AS18" s="251"/>
      <c r="AT18" s="251" t="s">
        <v>3487</v>
      </c>
      <c r="AU18" s="379"/>
      <c r="AV18" s="380"/>
    </row>
    <row r="19" spans="1:48" x14ac:dyDescent="0.25">
      <c r="A19" s="360" t="s">
        <v>2529</v>
      </c>
      <c r="B19" s="395" t="s">
        <v>3543</v>
      </c>
      <c r="C19" s="209" t="s">
        <v>2530</v>
      </c>
      <c r="D19" s="97">
        <v>31697</v>
      </c>
      <c r="E19" s="97">
        <f>+DATE(YEAR(D19)+60,MONTH(D19),DAY(D19))</f>
        <v>53612</v>
      </c>
      <c r="F19" s="97">
        <v>53612</v>
      </c>
      <c r="G19" s="97">
        <f>+EOMONTH(F19,0)+1</f>
        <v>53632</v>
      </c>
      <c r="H19" s="97">
        <v>44743</v>
      </c>
      <c r="I19" s="118" t="s">
        <v>26</v>
      </c>
      <c r="J19" s="207" t="s">
        <v>41</v>
      </c>
      <c r="K19" s="118" t="s">
        <v>34</v>
      </c>
      <c r="L19" s="97">
        <v>45505</v>
      </c>
      <c r="M19" s="97">
        <v>46600</v>
      </c>
      <c r="N19" s="204" t="s">
        <v>71</v>
      </c>
      <c r="O19" s="207">
        <v>1.69</v>
      </c>
      <c r="P19" s="119"/>
      <c r="Q19" s="99"/>
      <c r="R19" s="314">
        <f t="shared" si="3"/>
        <v>8973900</v>
      </c>
      <c r="S19" s="314">
        <f t="shared" si="0"/>
        <v>0</v>
      </c>
      <c r="T19" s="314">
        <f t="shared" si="1"/>
        <v>0</v>
      </c>
      <c r="U19" s="314">
        <f t="shared" si="2"/>
        <v>8973900</v>
      </c>
      <c r="V19" s="314">
        <f>+VLOOKUP(A19,[2]Sheet1!$B$11:$J$400,9,0)</f>
        <v>7020000</v>
      </c>
      <c r="W19" s="315" t="s">
        <v>2531</v>
      </c>
      <c r="X19" s="99" t="s">
        <v>592</v>
      </c>
      <c r="Y19" s="99" t="str">
        <f>+VLOOKUP(A19,[3]Sheet1!$B$11:$I$388,8,0)</f>
        <v>79 - 034</v>
      </c>
      <c r="Z19" s="99" t="s">
        <v>34</v>
      </c>
      <c r="AA19" s="99" t="s">
        <v>2532</v>
      </c>
      <c r="AB19" s="100" t="s">
        <v>2532</v>
      </c>
      <c r="AC19" s="99">
        <f>+VALUE(AB19:AB398)</f>
        <v>75186000869</v>
      </c>
      <c r="AD19" s="205" t="s">
        <v>2533</v>
      </c>
      <c r="AE19" s="99" t="s">
        <v>2427</v>
      </c>
      <c r="AF19" s="99" t="s">
        <v>841</v>
      </c>
      <c r="AG19" s="316">
        <v>26596</v>
      </c>
      <c r="AH19" s="251"/>
      <c r="AI19" s="251" t="s">
        <v>3583</v>
      </c>
      <c r="AJ19" s="251"/>
      <c r="AK19" s="251"/>
      <c r="AL19" s="251"/>
      <c r="AM19" s="247">
        <v>44743</v>
      </c>
      <c r="AN19" s="251"/>
      <c r="AO19" s="251"/>
      <c r="AP19" s="251"/>
      <c r="AQ19" s="251"/>
      <c r="AR19" s="251"/>
      <c r="AS19" s="321" t="s">
        <v>2535</v>
      </c>
      <c r="AT19" s="251" t="s">
        <v>3487</v>
      </c>
      <c r="AU19" s="379"/>
      <c r="AV19" s="380"/>
    </row>
    <row r="20" spans="1:48" x14ac:dyDescent="0.25">
      <c r="A20" s="360" t="s">
        <v>3427</v>
      </c>
      <c r="B20" s="395" t="s">
        <v>3543</v>
      </c>
      <c r="C20" s="209" t="s">
        <v>3435</v>
      </c>
      <c r="D20" s="97">
        <v>36659</v>
      </c>
      <c r="E20" s="97">
        <f>+DATE(YEAR(D20)+60,MONTH(D20),DAY(D20))</f>
        <v>58574</v>
      </c>
      <c r="F20" s="97">
        <v>58574</v>
      </c>
      <c r="G20" s="97">
        <f>+EOMONTH(F20,0)+1</f>
        <v>58593</v>
      </c>
      <c r="H20" s="97">
        <v>45839</v>
      </c>
      <c r="I20" s="118" t="s">
        <v>26</v>
      </c>
      <c r="J20" s="207" t="s">
        <v>43</v>
      </c>
      <c r="K20" s="118" t="s">
        <v>34</v>
      </c>
      <c r="L20" s="97">
        <v>45839</v>
      </c>
      <c r="M20" s="97">
        <v>46935</v>
      </c>
      <c r="N20" s="204" t="s">
        <v>73</v>
      </c>
      <c r="O20" s="207">
        <v>1.5</v>
      </c>
      <c r="P20" s="119"/>
      <c r="Q20" s="99"/>
      <c r="R20" s="314">
        <f t="shared" si="3"/>
        <v>7965000</v>
      </c>
      <c r="S20" s="314">
        <f>+P20*4960000</f>
        <v>0</v>
      </c>
      <c r="T20" s="314">
        <f>+Q20*2340000</f>
        <v>0</v>
      </c>
      <c r="U20" s="314">
        <f t="shared" si="2"/>
        <v>7965000</v>
      </c>
      <c r="V20" s="314"/>
      <c r="W20" s="319">
        <v>7932554679</v>
      </c>
      <c r="X20" s="99" t="s">
        <v>787</v>
      </c>
      <c r="Y20" s="99" t="e">
        <f>+VLOOKUP(A20,[3]Sheet1!$B$11:$I$388,8,0)</f>
        <v>#N/A</v>
      </c>
      <c r="Z20" s="99" t="s">
        <v>34</v>
      </c>
      <c r="AA20" s="320" t="s">
        <v>3429</v>
      </c>
      <c r="AB20" s="100"/>
      <c r="AC20" s="99"/>
      <c r="AD20" s="205"/>
      <c r="AE20" s="99" t="s">
        <v>2427</v>
      </c>
      <c r="AF20" s="99" t="s">
        <v>3428</v>
      </c>
      <c r="AG20" s="316"/>
      <c r="AH20" s="251"/>
      <c r="AI20" s="251" t="s">
        <v>3579</v>
      </c>
      <c r="AJ20" s="251"/>
      <c r="AK20" s="251"/>
      <c r="AL20" s="251"/>
      <c r="AM20" s="247"/>
      <c r="AN20" s="251"/>
      <c r="AO20" s="247">
        <v>45839</v>
      </c>
      <c r="AP20" s="251"/>
      <c r="AQ20" s="251"/>
      <c r="AR20" s="251"/>
      <c r="AS20" s="321"/>
      <c r="AT20" s="251" t="s">
        <v>3487</v>
      </c>
      <c r="AU20" s="379"/>
      <c r="AV20" s="380"/>
    </row>
    <row r="21" spans="1:48" x14ac:dyDescent="0.25">
      <c r="A21" s="361" t="s">
        <v>15</v>
      </c>
      <c r="B21" s="396" t="s">
        <v>3542</v>
      </c>
      <c r="C21" s="100" t="s">
        <v>58</v>
      </c>
      <c r="D21" s="97">
        <v>25634</v>
      </c>
      <c r="E21" s="97">
        <f t="shared" ref="E21:E28" si="5">+DATE(YEAR(D21)+62,MONTH(D21),DAY(D21))</f>
        <v>48280</v>
      </c>
      <c r="F21" s="97">
        <f t="shared" ref="F21:F32" si="6">+EOMONTH(E21,0)+1</f>
        <v>48305</v>
      </c>
      <c r="G21" s="97">
        <f>+VLOOKUP(A21,'[1]DATA 06.2023'!$E$2:$J$390,6,0)</f>
        <v>48305</v>
      </c>
      <c r="H21" s="97">
        <v>34366</v>
      </c>
      <c r="I21" s="118" t="s">
        <v>736</v>
      </c>
      <c r="J21" s="207" t="s">
        <v>43</v>
      </c>
      <c r="K21" s="118" t="s">
        <v>3439</v>
      </c>
      <c r="L21" s="97">
        <v>38961</v>
      </c>
      <c r="M21" s="97"/>
      <c r="N21" s="117" t="s">
        <v>75</v>
      </c>
      <c r="O21" s="119">
        <v>1.62</v>
      </c>
      <c r="P21" s="119">
        <v>0.06</v>
      </c>
      <c r="Q21" s="99"/>
      <c r="R21" s="314">
        <f t="shared" si="3"/>
        <v>8602200</v>
      </c>
      <c r="S21" s="314">
        <f t="shared" si="0"/>
        <v>297600</v>
      </c>
      <c r="T21" s="314">
        <f t="shared" si="1"/>
        <v>0</v>
      </c>
      <c r="U21" s="314">
        <f t="shared" si="2"/>
        <v>8899800</v>
      </c>
      <c r="V21" s="314">
        <f>+VLOOKUP(A21,[2]Sheet1!$B$11:$J$400,9,0)</f>
        <v>7862400</v>
      </c>
      <c r="W21" s="315" t="s">
        <v>1540</v>
      </c>
      <c r="X21" s="99" t="s">
        <v>787</v>
      </c>
      <c r="Y21" s="99" t="str">
        <f>+VLOOKUP(A21,[3]Sheet1!$B$11:$I$388,8,0)</f>
        <v>79 - 024</v>
      </c>
      <c r="Z21" s="99" t="s">
        <v>288</v>
      </c>
      <c r="AA21" s="201" t="s">
        <v>2748</v>
      </c>
      <c r="AB21" s="100" t="s">
        <v>788</v>
      </c>
      <c r="AC21" s="99">
        <f>+VALUE(AB21:AB399)</f>
        <v>22308711</v>
      </c>
      <c r="AD21" s="99" t="s">
        <v>789</v>
      </c>
      <c r="AE21" s="99" t="s">
        <v>2427</v>
      </c>
      <c r="AF21" s="99" t="s">
        <v>790</v>
      </c>
      <c r="AG21" s="316" t="s">
        <v>1848</v>
      </c>
      <c r="AH21" s="251"/>
      <c r="AI21" s="251"/>
      <c r="AJ21" s="251"/>
      <c r="AK21" s="251"/>
      <c r="AL21" s="325"/>
      <c r="AM21" s="251"/>
      <c r="AN21" s="251"/>
      <c r="AO21" s="251"/>
      <c r="AP21" s="251"/>
      <c r="AQ21" s="251"/>
      <c r="AR21" s="251"/>
      <c r="AS21" s="251"/>
      <c r="AT21" s="251" t="s">
        <v>3487</v>
      </c>
      <c r="AU21" s="379"/>
      <c r="AV21" s="380"/>
    </row>
    <row r="22" spans="1:48" x14ac:dyDescent="0.25">
      <c r="A22" s="355" t="s">
        <v>3011</v>
      </c>
      <c r="B22" s="396" t="s">
        <v>3542</v>
      </c>
      <c r="C22" s="100" t="s">
        <v>2731</v>
      </c>
      <c r="D22" s="97">
        <v>33449</v>
      </c>
      <c r="E22" s="97">
        <f t="shared" si="5"/>
        <v>56095</v>
      </c>
      <c r="F22" s="97">
        <f t="shared" si="6"/>
        <v>56097</v>
      </c>
      <c r="G22" s="97" t="e">
        <f>+VLOOKUP(A22,'[1]DATA 06.2023'!$E$2:$J$390,6,0)</f>
        <v>#REF!</v>
      </c>
      <c r="H22" s="97">
        <v>44994</v>
      </c>
      <c r="I22" s="118" t="s">
        <v>736</v>
      </c>
      <c r="J22" s="207" t="s">
        <v>43</v>
      </c>
      <c r="K22" s="118" t="s">
        <v>38</v>
      </c>
      <c r="L22" s="97">
        <v>45025</v>
      </c>
      <c r="M22" s="323" t="s">
        <v>3468</v>
      </c>
      <c r="N22" s="204" t="s">
        <v>3241</v>
      </c>
      <c r="O22" s="118">
        <v>1.44</v>
      </c>
      <c r="P22" s="119"/>
      <c r="Q22" s="99"/>
      <c r="R22" s="314">
        <f t="shared" si="3"/>
        <v>7646400</v>
      </c>
      <c r="S22" s="314">
        <f t="shared" si="0"/>
        <v>0</v>
      </c>
      <c r="T22" s="314">
        <f t="shared" si="1"/>
        <v>0</v>
      </c>
      <c r="U22" s="314">
        <f t="shared" si="2"/>
        <v>7646400</v>
      </c>
      <c r="V22" s="314">
        <f>+VLOOKUP(A22,[2]Sheet1!$B$11:$J$400,9,0)</f>
        <v>6364800</v>
      </c>
      <c r="W22" s="315" t="s">
        <v>3018</v>
      </c>
      <c r="X22" s="99" t="s">
        <v>3281</v>
      </c>
      <c r="Y22" s="99" t="str">
        <f>+VLOOKUP(A22,[3]Sheet1!$B$11:$I$388,8,0)</f>
        <v>79 - 028</v>
      </c>
      <c r="Z22" s="99" t="s">
        <v>288</v>
      </c>
      <c r="AA22" s="201" t="s">
        <v>2732</v>
      </c>
      <c r="AB22" s="100"/>
      <c r="AC22" s="201" t="s">
        <v>2732</v>
      </c>
      <c r="AD22" s="205" t="s">
        <v>2733</v>
      </c>
      <c r="AE22" s="99" t="s">
        <v>2427</v>
      </c>
      <c r="AF22" s="99" t="s">
        <v>2734</v>
      </c>
      <c r="AG22" s="316">
        <v>27223</v>
      </c>
      <c r="AH22" s="251"/>
      <c r="AI22" s="251"/>
      <c r="AJ22" s="251"/>
      <c r="AK22" s="251"/>
      <c r="AL22" s="325"/>
      <c r="AM22" s="247">
        <v>44994</v>
      </c>
      <c r="AN22" s="251"/>
      <c r="AO22" s="251"/>
      <c r="AP22" s="247">
        <v>45025</v>
      </c>
      <c r="AQ22" s="251"/>
      <c r="AR22" s="247">
        <v>45756</v>
      </c>
      <c r="AS22" s="321" t="s">
        <v>2735</v>
      </c>
      <c r="AT22" s="251" t="s">
        <v>3487</v>
      </c>
      <c r="AU22" s="379"/>
      <c r="AV22" s="380"/>
    </row>
    <row r="23" spans="1:48" x14ac:dyDescent="0.25">
      <c r="A23" s="355" t="s">
        <v>3478</v>
      </c>
      <c r="B23" s="396" t="s">
        <v>3542</v>
      </c>
      <c r="C23" s="100" t="s">
        <v>3479</v>
      </c>
      <c r="D23" s="97">
        <v>36797</v>
      </c>
      <c r="E23" s="97">
        <f t="shared" si="5"/>
        <v>59442</v>
      </c>
      <c r="F23" s="97">
        <f t="shared" si="6"/>
        <v>59445</v>
      </c>
      <c r="G23" s="97">
        <v>59445</v>
      </c>
      <c r="H23" s="97">
        <v>46023</v>
      </c>
      <c r="I23" s="118" t="s">
        <v>736</v>
      </c>
      <c r="J23" s="207" t="s">
        <v>43</v>
      </c>
      <c r="K23" s="118" t="s">
        <v>38</v>
      </c>
      <c r="L23" s="97">
        <v>46023</v>
      </c>
      <c r="M23" s="323" t="s">
        <v>3480</v>
      </c>
      <c r="N23" s="238" t="s">
        <v>2527</v>
      </c>
      <c r="O23" s="118">
        <v>1.33</v>
      </c>
      <c r="P23" s="119"/>
      <c r="Q23" s="99"/>
      <c r="R23" s="314">
        <f t="shared" si="3"/>
        <v>7062300</v>
      </c>
      <c r="S23" s="314">
        <f>+P23*4960000</f>
        <v>0</v>
      </c>
      <c r="T23" s="314">
        <f>+Q23*2340000</f>
        <v>0</v>
      </c>
      <c r="U23" s="314">
        <f>+R23+S23+T23</f>
        <v>7062300</v>
      </c>
      <c r="V23" s="314"/>
      <c r="W23" s="319">
        <v>3420970967</v>
      </c>
      <c r="X23" s="99"/>
      <c r="Y23" s="99"/>
      <c r="Z23" s="99" t="s">
        <v>288</v>
      </c>
      <c r="AA23" s="223" t="s">
        <v>3481</v>
      </c>
      <c r="AB23" s="100"/>
      <c r="AC23" s="201"/>
      <c r="AD23" s="205"/>
      <c r="AE23" s="99" t="s">
        <v>2427</v>
      </c>
      <c r="AF23" s="99" t="s">
        <v>3482</v>
      </c>
      <c r="AG23" s="316"/>
      <c r="AH23" s="251"/>
      <c r="AI23" s="251" t="s">
        <v>3584</v>
      </c>
      <c r="AJ23" s="251"/>
      <c r="AK23" s="251"/>
      <c r="AL23" s="251"/>
      <c r="AM23" s="247"/>
      <c r="AN23" s="251"/>
      <c r="AO23" s="251"/>
      <c r="AP23" s="247"/>
      <c r="AQ23" s="251"/>
      <c r="AR23" s="247"/>
      <c r="AS23" s="321"/>
      <c r="AT23" s="251" t="s">
        <v>3487</v>
      </c>
      <c r="AU23" s="379"/>
      <c r="AV23" s="380"/>
    </row>
    <row r="24" spans="1:48" x14ac:dyDescent="0.25">
      <c r="A24" s="354" t="s">
        <v>2674</v>
      </c>
      <c r="B24" s="396" t="s">
        <v>3542</v>
      </c>
      <c r="C24" s="100" t="s">
        <v>2675</v>
      </c>
      <c r="D24" s="97">
        <v>34501</v>
      </c>
      <c r="E24" s="97">
        <f t="shared" si="5"/>
        <v>57147</v>
      </c>
      <c r="F24" s="97">
        <f t="shared" si="6"/>
        <v>57162</v>
      </c>
      <c r="G24" s="97" t="e">
        <f>+VLOOKUP(A24,'[1]DATA 06.2023'!$E$2:$J$390,6,0)</f>
        <v>#REF!</v>
      </c>
      <c r="H24" s="97">
        <v>44927</v>
      </c>
      <c r="I24" s="118" t="s">
        <v>737</v>
      </c>
      <c r="J24" s="207" t="s">
        <v>43</v>
      </c>
      <c r="K24" s="118" t="s">
        <v>39</v>
      </c>
      <c r="L24" s="97">
        <v>44958</v>
      </c>
      <c r="M24" s="97">
        <v>46054</v>
      </c>
      <c r="N24" s="117" t="s">
        <v>2527</v>
      </c>
      <c r="O24" s="119">
        <v>1.26</v>
      </c>
      <c r="P24" s="119"/>
      <c r="Q24" s="99"/>
      <c r="R24" s="314">
        <f t="shared" si="3"/>
        <v>6690600</v>
      </c>
      <c r="S24" s="314">
        <f t="shared" si="0"/>
        <v>0</v>
      </c>
      <c r="T24" s="314">
        <f t="shared" si="1"/>
        <v>0</v>
      </c>
      <c r="U24" s="314">
        <f t="shared" si="2"/>
        <v>6690600</v>
      </c>
      <c r="V24" s="314">
        <f>+VLOOKUP(A24,[2]Sheet1!$B$11:$J$400,9,0)</f>
        <v>5896800</v>
      </c>
      <c r="W24" s="315" t="s">
        <v>3215</v>
      </c>
      <c r="X24" s="99" t="s">
        <v>3282</v>
      </c>
      <c r="Y24" s="99" t="str">
        <f>+VLOOKUP(A24,[3]Sheet1!$B$11:$I$388,8,0)</f>
        <v>79 - 009</v>
      </c>
      <c r="Z24" s="99" t="s">
        <v>1791</v>
      </c>
      <c r="AA24" s="99" t="s">
        <v>2676</v>
      </c>
      <c r="AB24" s="100" t="s">
        <v>2676</v>
      </c>
      <c r="AC24" s="99">
        <f>+VALUE(AB24:AB401)</f>
        <v>40094005338</v>
      </c>
      <c r="AD24" s="205" t="s">
        <v>2677</v>
      </c>
      <c r="AE24" s="99" t="s">
        <v>2427</v>
      </c>
      <c r="AF24" s="99" t="s">
        <v>2678</v>
      </c>
      <c r="AG24" s="316"/>
      <c r="AH24" s="251"/>
      <c r="AI24" s="251"/>
      <c r="AJ24" s="251"/>
      <c r="AK24" s="251"/>
      <c r="AL24" s="326" t="s">
        <v>3025</v>
      </c>
      <c r="AM24" s="247">
        <v>44927</v>
      </c>
      <c r="AN24" s="251"/>
      <c r="AO24" s="251"/>
      <c r="AP24" s="247">
        <v>44958</v>
      </c>
      <c r="AQ24" s="251"/>
      <c r="AR24" s="251"/>
      <c r="AS24" s="321" t="s">
        <v>2679</v>
      </c>
      <c r="AT24" s="251" t="s">
        <v>3487</v>
      </c>
      <c r="AU24" s="379"/>
      <c r="AV24" s="380"/>
    </row>
    <row r="25" spans="1:48" x14ac:dyDescent="0.25">
      <c r="A25" s="355" t="s">
        <v>1869</v>
      </c>
      <c r="B25" s="396" t="s">
        <v>3542</v>
      </c>
      <c r="C25" s="100" t="s">
        <v>59</v>
      </c>
      <c r="D25" s="97">
        <v>28081</v>
      </c>
      <c r="E25" s="97">
        <f t="shared" si="5"/>
        <v>50726</v>
      </c>
      <c r="F25" s="97">
        <f t="shared" si="6"/>
        <v>50740</v>
      </c>
      <c r="G25" s="97">
        <f>+VLOOKUP(A25,'[1]DATA 06.2023'!$E$2:$J$390,6,0)</f>
        <v>50740</v>
      </c>
      <c r="H25" s="97">
        <v>36220</v>
      </c>
      <c r="I25" s="118" t="s">
        <v>737</v>
      </c>
      <c r="J25" s="207" t="s">
        <v>43</v>
      </c>
      <c r="K25" s="118" t="s">
        <v>39</v>
      </c>
      <c r="L25" s="97">
        <v>42217</v>
      </c>
      <c r="M25" s="97"/>
      <c r="N25" s="117" t="s">
        <v>75</v>
      </c>
      <c r="O25" s="119">
        <v>1.5</v>
      </c>
      <c r="P25" s="119"/>
      <c r="Q25" s="99"/>
      <c r="R25" s="314">
        <f t="shared" si="3"/>
        <v>7965000</v>
      </c>
      <c r="S25" s="314">
        <f t="shared" si="0"/>
        <v>0</v>
      </c>
      <c r="T25" s="314">
        <f t="shared" si="1"/>
        <v>0</v>
      </c>
      <c r="U25" s="314">
        <f t="shared" si="2"/>
        <v>7965000</v>
      </c>
      <c r="V25" s="314">
        <f>+VLOOKUP(A25,[2]Sheet1!$B$11:$J$400,9,0)</f>
        <v>7020000</v>
      </c>
      <c r="W25" s="315" t="s">
        <v>1541</v>
      </c>
      <c r="X25" s="99" t="s">
        <v>756</v>
      </c>
      <c r="Y25" s="99" t="str">
        <f>+VLOOKUP(A25,[3]Sheet1!$B$11:$I$388,8,0)</f>
        <v>79 - 024</v>
      </c>
      <c r="Z25" s="99" t="s">
        <v>1791</v>
      </c>
      <c r="AA25" s="99" t="s">
        <v>2749</v>
      </c>
      <c r="AB25" s="100" t="s">
        <v>792</v>
      </c>
      <c r="AC25" s="99">
        <f>+VALUE(AB25:AB402)</f>
        <v>31067079</v>
      </c>
      <c r="AD25" s="99" t="s">
        <v>793</v>
      </c>
      <c r="AE25" s="99" t="s">
        <v>2427</v>
      </c>
      <c r="AF25" s="99" t="s">
        <v>795</v>
      </c>
      <c r="AG25" s="316" t="s">
        <v>796</v>
      </c>
      <c r="AH25" s="251"/>
      <c r="AI25" s="251"/>
      <c r="AJ25" s="251"/>
      <c r="AK25" s="251" t="s">
        <v>3585</v>
      </c>
      <c r="AL25" s="251"/>
      <c r="AM25" s="251"/>
      <c r="AN25" s="251"/>
      <c r="AO25" s="251"/>
      <c r="AP25" s="251"/>
      <c r="AQ25" s="251"/>
      <c r="AR25" s="251"/>
      <c r="AS25" s="251"/>
      <c r="AT25" s="251" t="s">
        <v>3487</v>
      </c>
      <c r="AU25" s="379"/>
      <c r="AV25" s="380"/>
    </row>
    <row r="26" spans="1:48" x14ac:dyDescent="0.25">
      <c r="A26" s="354" t="s">
        <v>2668</v>
      </c>
      <c r="B26" s="396" t="s">
        <v>3542</v>
      </c>
      <c r="C26" s="100" t="s">
        <v>2669</v>
      </c>
      <c r="D26" s="97">
        <v>35551</v>
      </c>
      <c r="E26" s="97">
        <f t="shared" si="5"/>
        <v>58196</v>
      </c>
      <c r="F26" s="97">
        <f t="shared" si="6"/>
        <v>58227</v>
      </c>
      <c r="G26" s="97" t="e">
        <f>+VLOOKUP(A26,'[1]DATA 06.2023'!$E$2:$J$390,6,0)</f>
        <v>#REF!</v>
      </c>
      <c r="H26" s="97">
        <v>44927</v>
      </c>
      <c r="I26" s="118" t="s">
        <v>737</v>
      </c>
      <c r="J26" s="207" t="s">
        <v>43</v>
      </c>
      <c r="K26" s="118" t="s">
        <v>39</v>
      </c>
      <c r="L26" s="97">
        <v>44958</v>
      </c>
      <c r="M26" s="97">
        <v>46054</v>
      </c>
      <c r="N26" s="117" t="s">
        <v>2527</v>
      </c>
      <c r="O26" s="119">
        <v>1.26</v>
      </c>
      <c r="P26" s="119"/>
      <c r="Q26" s="99"/>
      <c r="R26" s="314">
        <f t="shared" si="3"/>
        <v>6690600</v>
      </c>
      <c r="S26" s="314">
        <f t="shared" si="0"/>
        <v>0</v>
      </c>
      <c r="T26" s="314">
        <f t="shared" si="1"/>
        <v>0</v>
      </c>
      <c r="U26" s="314">
        <f t="shared" si="2"/>
        <v>6690600</v>
      </c>
      <c r="V26" s="314">
        <f>+VLOOKUP(A26,[2]Sheet1!$B$11:$J$400,9,0)</f>
        <v>5896800</v>
      </c>
      <c r="W26" s="315" t="s">
        <v>2693</v>
      </c>
      <c r="X26" s="99" t="s">
        <v>592</v>
      </c>
      <c r="Y26" s="99" t="str">
        <f>+VLOOKUP(A26,[3]Sheet1!$B$11:$I$388,8,0)</f>
        <v>79 - 009</v>
      </c>
      <c r="Z26" s="99" t="s">
        <v>1791</v>
      </c>
      <c r="AA26" s="99" t="s">
        <v>2670</v>
      </c>
      <c r="AB26" s="100" t="s">
        <v>2670</v>
      </c>
      <c r="AC26" s="99">
        <f>+VALUE(AB26:AB403)</f>
        <v>54097003158</v>
      </c>
      <c r="AD26" s="205" t="s">
        <v>2671</v>
      </c>
      <c r="AE26" s="99" t="s">
        <v>2427</v>
      </c>
      <c r="AF26" s="99" t="s">
        <v>2672</v>
      </c>
      <c r="AG26" s="316">
        <v>22117</v>
      </c>
      <c r="AH26" s="251"/>
      <c r="AI26" s="251"/>
      <c r="AJ26" s="251"/>
      <c r="AK26" s="251"/>
      <c r="AL26" s="326" t="s">
        <v>3025</v>
      </c>
      <c r="AM26" s="247">
        <v>44927</v>
      </c>
      <c r="AN26" s="251"/>
      <c r="AO26" s="251"/>
      <c r="AP26" s="247">
        <v>44958</v>
      </c>
      <c r="AQ26" s="251"/>
      <c r="AR26" s="321"/>
      <c r="AS26" s="321" t="s">
        <v>2673</v>
      </c>
      <c r="AT26" s="251" t="s">
        <v>3487</v>
      </c>
      <c r="AU26" s="379"/>
      <c r="AV26" s="380"/>
    </row>
    <row r="27" spans="1:48" x14ac:dyDescent="0.25">
      <c r="A27" s="354" t="s">
        <v>3161</v>
      </c>
      <c r="B27" s="396" t="s">
        <v>3542</v>
      </c>
      <c r="C27" s="100" t="s">
        <v>3162</v>
      </c>
      <c r="D27" s="97">
        <v>33514</v>
      </c>
      <c r="E27" s="97">
        <f t="shared" si="5"/>
        <v>56160</v>
      </c>
      <c r="F27" s="97">
        <f t="shared" si="6"/>
        <v>56189</v>
      </c>
      <c r="G27" s="97" t="e">
        <f>+VLOOKUP(A27,'[1]DATA 06.2023'!$E$2:$J$390,6,0)</f>
        <v>#N/A</v>
      </c>
      <c r="H27" s="97">
        <v>45413</v>
      </c>
      <c r="I27" s="118" t="s">
        <v>737</v>
      </c>
      <c r="J27" s="207" t="s">
        <v>43</v>
      </c>
      <c r="K27" s="118" t="s">
        <v>39</v>
      </c>
      <c r="L27" s="97">
        <v>45444</v>
      </c>
      <c r="M27" s="97">
        <v>46539</v>
      </c>
      <c r="N27" s="117" t="s">
        <v>2527</v>
      </c>
      <c r="O27" s="119">
        <v>1.26</v>
      </c>
      <c r="P27" s="119"/>
      <c r="Q27" s="99"/>
      <c r="R27" s="314">
        <f t="shared" si="3"/>
        <v>6690600</v>
      </c>
      <c r="S27" s="314">
        <f t="shared" si="0"/>
        <v>0</v>
      </c>
      <c r="T27" s="314">
        <f t="shared" si="1"/>
        <v>0</v>
      </c>
      <c r="U27" s="314">
        <f t="shared" si="2"/>
        <v>6690600</v>
      </c>
      <c r="V27" s="314">
        <f>+VLOOKUP(A27,[2]Sheet1!$B$11:$J$400,9,0)</f>
        <v>5896800</v>
      </c>
      <c r="W27" s="315" t="s">
        <v>3206</v>
      </c>
      <c r="X27" s="99" t="s">
        <v>592</v>
      </c>
      <c r="Y27" s="99" t="e">
        <f>+VLOOKUP(A27,[3]Sheet1!$B$11:$I$388,8,0)</f>
        <v>#N/A</v>
      </c>
      <c r="Z27" s="99" t="s">
        <v>1791</v>
      </c>
      <c r="AA27" s="201" t="s">
        <v>3163</v>
      </c>
      <c r="AB27" s="100"/>
      <c r="AC27" s="99"/>
      <c r="AD27" s="201" t="s">
        <v>3164</v>
      </c>
      <c r="AE27" s="99" t="s">
        <v>2427</v>
      </c>
      <c r="AF27" s="99" t="s">
        <v>3165</v>
      </c>
      <c r="AG27" s="316" t="s">
        <v>3167</v>
      </c>
      <c r="AH27" s="251"/>
      <c r="AI27" s="251"/>
      <c r="AJ27" s="251"/>
      <c r="AK27" s="251"/>
      <c r="AL27" s="321" t="s">
        <v>3025</v>
      </c>
      <c r="AM27" s="247">
        <v>45413</v>
      </c>
      <c r="AN27" s="251"/>
      <c r="AO27" s="247">
        <v>45444</v>
      </c>
      <c r="AP27" s="251"/>
      <c r="AQ27" s="251"/>
      <c r="AR27" s="251"/>
      <c r="AS27" s="321" t="s">
        <v>3166</v>
      </c>
      <c r="AT27" s="251" t="s">
        <v>3487</v>
      </c>
      <c r="AU27" s="379"/>
      <c r="AV27" s="380"/>
    </row>
    <row r="28" spans="1:48" x14ac:dyDescent="0.25">
      <c r="A28" s="357" t="s">
        <v>16</v>
      </c>
      <c r="B28" s="396" t="s">
        <v>3542</v>
      </c>
      <c r="C28" s="100" t="s">
        <v>60</v>
      </c>
      <c r="D28" s="97">
        <v>31330</v>
      </c>
      <c r="E28" s="97">
        <f t="shared" si="5"/>
        <v>53975</v>
      </c>
      <c r="F28" s="97">
        <f t="shared" si="6"/>
        <v>53997</v>
      </c>
      <c r="G28" s="97">
        <f>+VLOOKUP(A28,'[1]DATA 06.2023'!$E$2:$J$390,6,0)</f>
        <v>53997</v>
      </c>
      <c r="H28" s="97">
        <v>41852</v>
      </c>
      <c r="I28" s="118" t="s">
        <v>737</v>
      </c>
      <c r="J28" s="207" t="s">
        <v>43</v>
      </c>
      <c r="K28" s="118" t="s">
        <v>37</v>
      </c>
      <c r="L28" s="97">
        <v>42887</v>
      </c>
      <c r="M28" s="97">
        <v>45261</v>
      </c>
      <c r="N28" s="117" t="s">
        <v>75</v>
      </c>
      <c r="O28" s="119">
        <v>1.5</v>
      </c>
      <c r="P28" s="119">
        <v>0.06</v>
      </c>
      <c r="Q28" s="99"/>
      <c r="R28" s="314">
        <f t="shared" si="3"/>
        <v>7965000</v>
      </c>
      <c r="S28" s="314">
        <f t="shared" si="0"/>
        <v>297600</v>
      </c>
      <c r="T28" s="314">
        <f t="shared" si="1"/>
        <v>0</v>
      </c>
      <c r="U28" s="314">
        <f t="shared" si="2"/>
        <v>8262600</v>
      </c>
      <c r="V28" s="314">
        <f>+VLOOKUP(A28,[2]Sheet1!$B$11:$J$400,9,0)</f>
        <v>7300800</v>
      </c>
      <c r="W28" s="315" t="s">
        <v>1542</v>
      </c>
      <c r="X28" s="99" t="s">
        <v>799</v>
      </c>
      <c r="Y28" s="99" t="str">
        <f>+VLOOKUP(A28,[3]Sheet1!$B$11:$I$388,8,0)</f>
        <v>79 - 071</v>
      </c>
      <c r="Z28" s="99" t="s">
        <v>1791</v>
      </c>
      <c r="AA28" s="99" t="s">
        <v>2750</v>
      </c>
      <c r="AB28" s="100">
        <v>250742323</v>
      </c>
      <c r="AC28" s="99">
        <f>+VALUE(AB28:AB405)</f>
        <v>250742323</v>
      </c>
      <c r="AD28" s="99" t="s">
        <v>800</v>
      </c>
      <c r="AE28" s="99" t="s">
        <v>2427</v>
      </c>
      <c r="AF28" s="99" t="s">
        <v>802</v>
      </c>
      <c r="AG28" s="316" t="s">
        <v>803</v>
      </c>
      <c r="AH28" s="251"/>
      <c r="AI28" s="251"/>
      <c r="AJ28" s="251"/>
      <c r="AK28" s="251"/>
      <c r="AL28" s="251" t="s">
        <v>3586</v>
      </c>
      <c r="AM28" s="251"/>
      <c r="AN28" s="251"/>
      <c r="AO28" s="251"/>
      <c r="AP28" s="251"/>
      <c r="AQ28" s="251"/>
      <c r="AR28" s="251"/>
      <c r="AS28" s="251"/>
      <c r="AT28" s="251" t="s">
        <v>3487</v>
      </c>
      <c r="AU28" s="379"/>
      <c r="AV28" s="380"/>
    </row>
    <row r="29" spans="1:48" x14ac:dyDescent="0.25">
      <c r="A29" s="361" t="s">
        <v>124</v>
      </c>
      <c r="B29" s="396" t="s">
        <v>3542</v>
      </c>
      <c r="C29" s="100" t="s">
        <v>321</v>
      </c>
      <c r="D29" s="97">
        <v>24547</v>
      </c>
      <c r="E29" s="97">
        <v>47193</v>
      </c>
      <c r="F29" s="97">
        <f>+EOMONTH(E29,0)+1</f>
        <v>47209</v>
      </c>
      <c r="G29" s="97">
        <f>+VLOOKUP(A29,'[1]DATA 06.2023'!$E$2:$J$390,6,0)</f>
        <v>47209</v>
      </c>
      <c r="H29" s="97">
        <v>31837</v>
      </c>
      <c r="I29" s="118" t="s">
        <v>737</v>
      </c>
      <c r="J29" s="207" t="s">
        <v>43</v>
      </c>
      <c r="K29" s="118" t="s">
        <v>34</v>
      </c>
      <c r="L29" s="97">
        <v>41974</v>
      </c>
      <c r="M29" s="117"/>
      <c r="N29" s="117" t="s">
        <v>74</v>
      </c>
      <c r="O29" s="118">
        <v>1.89</v>
      </c>
      <c r="P29" s="119"/>
      <c r="Q29" s="99"/>
      <c r="R29" s="314">
        <f>+O29*5310000</f>
        <v>10035900</v>
      </c>
      <c r="S29" s="314">
        <f>+P29*4960000</f>
        <v>0</v>
      </c>
      <c r="T29" s="314">
        <f>+Q29*2340000</f>
        <v>0</v>
      </c>
      <c r="U29" s="314">
        <f>+R29+S29+T29</f>
        <v>10035900</v>
      </c>
      <c r="V29" s="314">
        <f>+VLOOKUP(A29,[2]Sheet1!$B$11:$J$400,9,0)</f>
        <v>8845200</v>
      </c>
      <c r="W29" s="315" t="s">
        <v>1591</v>
      </c>
      <c r="X29" s="99" t="s">
        <v>743</v>
      </c>
      <c r="Y29" s="99" t="str">
        <f>+VLOOKUP(A29,[3]Sheet1!$B$11:$I$388,8,0)</f>
        <v>79 - 536</v>
      </c>
      <c r="Z29" s="99" t="s">
        <v>34</v>
      </c>
      <c r="AA29" s="99" t="s">
        <v>982</v>
      </c>
      <c r="AB29" s="100" t="s">
        <v>982</v>
      </c>
      <c r="AC29" s="99">
        <f>+VALUE(AB29:AB469)</f>
        <v>36067000964</v>
      </c>
      <c r="AD29" s="99" t="s">
        <v>983</v>
      </c>
      <c r="AE29" s="99" t="s">
        <v>2427</v>
      </c>
      <c r="AF29" s="99" t="s">
        <v>984</v>
      </c>
      <c r="AG29" s="316" t="s">
        <v>856</v>
      </c>
      <c r="AH29" s="251"/>
      <c r="AI29" s="251" t="s">
        <v>3570</v>
      </c>
      <c r="AJ29" s="251"/>
      <c r="AK29" s="251"/>
      <c r="AL29" s="251"/>
      <c r="AM29" s="251"/>
      <c r="AN29" s="251"/>
      <c r="AO29" s="251"/>
      <c r="AP29" s="251"/>
      <c r="AQ29" s="251"/>
      <c r="AR29" s="251"/>
      <c r="AS29" s="321" t="s">
        <v>2190</v>
      </c>
      <c r="AT29" s="251" t="s">
        <v>3487</v>
      </c>
      <c r="AU29" s="379"/>
      <c r="AV29" s="380"/>
    </row>
    <row r="30" spans="1:48" x14ac:dyDescent="0.25">
      <c r="A30" s="355" t="s">
        <v>17</v>
      </c>
      <c r="B30" s="396" t="s">
        <v>3542</v>
      </c>
      <c r="C30" s="100" t="s">
        <v>61</v>
      </c>
      <c r="D30" s="97">
        <v>27077</v>
      </c>
      <c r="E30" s="97">
        <f>+DATE(YEAR(D30)+62,MONTH(D30),DAY(D30))</f>
        <v>49722</v>
      </c>
      <c r="F30" s="97">
        <f t="shared" si="6"/>
        <v>49735</v>
      </c>
      <c r="G30" s="97">
        <f>+VLOOKUP(A30,'[1]DATA 06.2023'!$E$2:$J$390,6,0)</f>
        <v>49735</v>
      </c>
      <c r="H30" s="97">
        <v>35370</v>
      </c>
      <c r="I30" s="118" t="s">
        <v>27</v>
      </c>
      <c r="J30" s="207" t="s">
        <v>1837</v>
      </c>
      <c r="K30" s="118" t="s">
        <v>35</v>
      </c>
      <c r="L30" s="97">
        <v>42795</v>
      </c>
      <c r="M30" s="97"/>
      <c r="N30" s="204" t="s">
        <v>74</v>
      </c>
      <c r="O30" s="119">
        <v>1.89</v>
      </c>
      <c r="P30" s="119">
        <v>0.35</v>
      </c>
      <c r="Q30" s="99"/>
      <c r="R30" s="314">
        <f t="shared" si="3"/>
        <v>10035900</v>
      </c>
      <c r="S30" s="314">
        <f t="shared" si="0"/>
        <v>1736000</v>
      </c>
      <c r="T30" s="314">
        <f t="shared" si="1"/>
        <v>0</v>
      </c>
      <c r="U30" s="314">
        <f t="shared" si="2"/>
        <v>11771900</v>
      </c>
      <c r="V30" s="314">
        <f>+VLOOKUP(A30,[2]Sheet1!$B$11:$J$400,9,0)</f>
        <v>10483200</v>
      </c>
      <c r="W30" s="315" t="s">
        <v>1543</v>
      </c>
      <c r="X30" s="99" t="s">
        <v>1853</v>
      </c>
      <c r="Y30" s="99" t="str">
        <f>+VLOOKUP(A30,[3]Sheet1!$B$11:$I$388,8,0)</f>
        <v>79 - 025</v>
      </c>
      <c r="Z30" s="99" t="s">
        <v>35</v>
      </c>
      <c r="AA30" s="99" t="s">
        <v>2751</v>
      </c>
      <c r="AB30" s="100" t="s">
        <v>804</v>
      </c>
      <c r="AC30" s="99">
        <f>+VALUE(AB30:AB406)</f>
        <v>151137404</v>
      </c>
      <c r="AD30" s="99" t="s">
        <v>805</v>
      </c>
      <c r="AE30" s="99" t="s">
        <v>2427</v>
      </c>
      <c r="AF30" s="99" t="s">
        <v>807</v>
      </c>
      <c r="AG30" s="316" t="s">
        <v>808</v>
      </c>
      <c r="AH30" s="251"/>
      <c r="AI30" s="251" t="s">
        <v>3587</v>
      </c>
      <c r="AJ30" s="251"/>
      <c r="AK30" s="251"/>
      <c r="AL30" s="251"/>
      <c r="AM30" s="251"/>
      <c r="AN30" s="251"/>
      <c r="AO30" s="251"/>
      <c r="AP30" s="251"/>
      <c r="AQ30" s="251"/>
      <c r="AR30" s="251"/>
      <c r="AS30" s="251"/>
      <c r="AT30" s="251" t="s">
        <v>3487</v>
      </c>
      <c r="AU30" s="379" t="s">
        <v>543</v>
      </c>
      <c r="AV30" s="380"/>
    </row>
    <row r="31" spans="1:48" x14ac:dyDescent="0.25">
      <c r="A31" s="355" t="s">
        <v>114</v>
      </c>
      <c r="B31" s="396" t="s">
        <v>3542</v>
      </c>
      <c r="C31" s="100" t="s">
        <v>311</v>
      </c>
      <c r="D31" s="97">
        <v>32649</v>
      </c>
      <c r="E31" s="97">
        <f>+DATE(YEAR(D31)+62,MONTH(D31),DAY(D31))</f>
        <v>55294</v>
      </c>
      <c r="F31" s="97">
        <f t="shared" si="6"/>
        <v>55305</v>
      </c>
      <c r="G31" s="97">
        <f>+VLOOKUP(A31,'[1]DATA 06.2023'!$E$2:$J$390,6,0)</f>
        <v>55305</v>
      </c>
      <c r="H31" s="97">
        <v>42339</v>
      </c>
      <c r="I31" s="118" t="s">
        <v>27</v>
      </c>
      <c r="J31" s="207" t="s">
        <v>1838</v>
      </c>
      <c r="K31" s="118" t="s">
        <v>34</v>
      </c>
      <c r="L31" s="97">
        <v>45809</v>
      </c>
      <c r="M31" s="204" t="s">
        <v>3469</v>
      </c>
      <c r="N31" s="204" t="s">
        <v>71</v>
      </c>
      <c r="O31" s="118">
        <v>1.69</v>
      </c>
      <c r="P31" s="119"/>
      <c r="Q31" s="99"/>
      <c r="R31" s="314">
        <f t="shared" si="3"/>
        <v>8973900</v>
      </c>
      <c r="S31" s="314">
        <f t="shared" si="0"/>
        <v>0</v>
      </c>
      <c r="T31" s="314">
        <f t="shared" si="1"/>
        <v>0</v>
      </c>
      <c r="U31" s="314">
        <f t="shared" si="2"/>
        <v>8973900</v>
      </c>
      <c r="V31" s="314">
        <f>+VLOOKUP(A31,[2]Sheet1!$B$11:$J$400,9,0)</f>
        <v>7441200</v>
      </c>
      <c r="W31" s="315" t="s">
        <v>1577</v>
      </c>
      <c r="X31" s="99" t="s">
        <v>820</v>
      </c>
      <c r="Y31" s="99" t="str">
        <f>+VLOOKUP(A31,[3]Sheet1!$B$11:$I$388,8,0)</f>
        <v>79 - 034</v>
      </c>
      <c r="Z31" s="99" t="s">
        <v>34</v>
      </c>
      <c r="AA31" s="99" t="s">
        <v>1844</v>
      </c>
      <c r="AB31" s="209" t="s">
        <v>1844</v>
      </c>
      <c r="AC31" s="99" t="e">
        <f>+VALUE(AB56:AB398)</f>
        <v>#VALUE!</v>
      </c>
      <c r="AD31" s="201" t="s">
        <v>2430</v>
      </c>
      <c r="AE31" s="99" t="s">
        <v>2427</v>
      </c>
      <c r="AF31" s="99" t="s">
        <v>941</v>
      </c>
      <c r="AG31" s="316" t="s">
        <v>941</v>
      </c>
      <c r="AH31" s="251"/>
      <c r="AI31" s="251" t="s">
        <v>3588</v>
      </c>
      <c r="AJ31" s="251"/>
      <c r="AK31" s="251"/>
      <c r="AL31" s="251"/>
      <c r="AM31" s="251"/>
      <c r="AN31" s="251"/>
      <c r="AO31" s="251"/>
      <c r="AP31" s="251"/>
      <c r="AQ31" s="251"/>
      <c r="AR31" s="251"/>
      <c r="AS31" s="251"/>
      <c r="AT31" s="251" t="s">
        <v>3487</v>
      </c>
      <c r="AU31" s="379"/>
      <c r="AV31" s="380"/>
    </row>
    <row r="32" spans="1:48" ht="24" x14ac:dyDescent="0.25">
      <c r="A32" s="357" t="s">
        <v>18</v>
      </c>
      <c r="B32" s="396" t="s">
        <v>3542</v>
      </c>
      <c r="C32" s="100" t="s">
        <v>44</v>
      </c>
      <c r="D32" s="97">
        <v>31707</v>
      </c>
      <c r="E32" s="97">
        <f>+DATE(YEAR(D32)+62,MONTH(D32),DAY(D32))</f>
        <v>54353</v>
      </c>
      <c r="F32" s="97">
        <f t="shared" si="6"/>
        <v>54363</v>
      </c>
      <c r="G32" s="97">
        <f>+VLOOKUP(A32,'[1]DATA 06.2023'!$E$2:$J$390,6,0)</f>
        <v>54363</v>
      </c>
      <c r="H32" s="97">
        <v>40664</v>
      </c>
      <c r="I32" s="118" t="s">
        <v>27</v>
      </c>
      <c r="J32" s="207" t="s">
        <v>1837</v>
      </c>
      <c r="K32" s="118" t="s">
        <v>33</v>
      </c>
      <c r="L32" s="97">
        <v>44378</v>
      </c>
      <c r="M32" s="97">
        <v>45474</v>
      </c>
      <c r="N32" s="204" t="s">
        <v>76</v>
      </c>
      <c r="O32" s="119">
        <v>1.79</v>
      </c>
      <c r="P32" s="119">
        <v>0.25</v>
      </c>
      <c r="Q32" s="99"/>
      <c r="R32" s="314">
        <f t="shared" si="3"/>
        <v>9504900</v>
      </c>
      <c r="S32" s="314">
        <f t="shared" si="0"/>
        <v>1240000</v>
      </c>
      <c r="T32" s="314">
        <f t="shared" si="1"/>
        <v>0</v>
      </c>
      <c r="U32" s="314">
        <f t="shared" si="2"/>
        <v>10744900</v>
      </c>
      <c r="V32" s="314">
        <f>+VLOOKUP(A32,[2]Sheet1!$B$11:$J$400,9,0)</f>
        <v>9079200</v>
      </c>
      <c r="W32" s="315" t="s">
        <v>1545</v>
      </c>
      <c r="X32" s="99" t="s">
        <v>813</v>
      </c>
      <c r="Y32" s="99" t="str">
        <f>+VLOOKUP(A32,[3]Sheet1!$B$11:$I$388,8,0)</f>
        <v>79 - 034</v>
      </c>
      <c r="Z32" s="99" t="s">
        <v>33</v>
      </c>
      <c r="AA32" s="99" t="s">
        <v>814</v>
      </c>
      <c r="AB32" s="100" t="s">
        <v>814</v>
      </c>
      <c r="AC32" s="99">
        <f>+VALUE(AB32:AB408)</f>
        <v>40086000524</v>
      </c>
      <c r="AD32" s="99" t="s">
        <v>815</v>
      </c>
      <c r="AE32" s="99" t="s">
        <v>2427</v>
      </c>
      <c r="AF32" s="99" t="s">
        <v>2526</v>
      </c>
      <c r="AG32" s="316" t="s">
        <v>816</v>
      </c>
      <c r="AH32" s="251"/>
      <c r="AI32" s="318" t="s">
        <v>3589</v>
      </c>
      <c r="AJ32" s="251"/>
      <c r="AK32" s="251"/>
      <c r="AL32" s="251"/>
      <c r="AM32" s="251"/>
      <c r="AN32" s="251"/>
      <c r="AO32" s="251"/>
      <c r="AP32" s="251"/>
      <c r="AQ32" s="251"/>
      <c r="AR32" s="251"/>
      <c r="AS32" s="251"/>
      <c r="AT32" s="251" t="s">
        <v>3487</v>
      </c>
      <c r="AU32" s="379"/>
      <c r="AV32" s="380"/>
    </row>
    <row r="33" spans="1:48" x14ac:dyDescent="0.25">
      <c r="A33" s="362" t="s">
        <v>19</v>
      </c>
      <c r="B33" s="397" t="s">
        <v>3543</v>
      </c>
      <c r="C33" s="209" t="s">
        <v>62</v>
      </c>
      <c r="D33" s="97">
        <v>28505</v>
      </c>
      <c r="E33" s="97">
        <f>+DATE(YEAR(D33)+60,MONTH(D33),DAY(D33))</f>
        <v>50420</v>
      </c>
      <c r="F33" s="97">
        <v>50420</v>
      </c>
      <c r="G33" s="97">
        <f>+EOMONTH(F33,0)+1</f>
        <v>50437</v>
      </c>
      <c r="H33" s="97">
        <v>37377</v>
      </c>
      <c r="I33" s="118" t="s">
        <v>27</v>
      </c>
      <c r="J33" s="207" t="s">
        <v>1838</v>
      </c>
      <c r="K33" s="118" t="s">
        <v>34</v>
      </c>
      <c r="L33" s="97">
        <v>42370</v>
      </c>
      <c r="M33" s="97">
        <v>43466</v>
      </c>
      <c r="N33" s="117" t="s">
        <v>74</v>
      </c>
      <c r="O33" s="119">
        <v>1.89</v>
      </c>
      <c r="P33" s="119"/>
      <c r="Q33" s="99"/>
      <c r="R33" s="314">
        <f t="shared" si="3"/>
        <v>10035900</v>
      </c>
      <c r="S33" s="314">
        <f t="shared" si="0"/>
        <v>0</v>
      </c>
      <c r="T33" s="314">
        <f t="shared" si="1"/>
        <v>0</v>
      </c>
      <c r="U33" s="314">
        <f t="shared" si="2"/>
        <v>10035900</v>
      </c>
      <c r="V33" s="314">
        <f>+VLOOKUP(A33,[2]Sheet1!$B$11:$J$400,9,0)</f>
        <v>8845200</v>
      </c>
      <c r="W33" s="315" t="s">
        <v>1546</v>
      </c>
      <c r="X33" s="99" t="s">
        <v>817</v>
      </c>
      <c r="Y33" s="99" t="str">
        <f>+VLOOKUP(A33,[3]Sheet1!$B$11:$I$388,8,0)</f>
        <v>79 - 016</v>
      </c>
      <c r="Z33" s="99" t="s">
        <v>34</v>
      </c>
      <c r="AA33" s="99" t="s">
        <v>2680</v>
      </c>
      <c r="AB33" s="100" t="s">
        <v>2680</v>
      </c>
      <c r="AC33" s="99">
        <f>+VALUE(AB33:AB409)</f>
        <v>96178008168</v>
      </c>
      <c r="AD33" s="205" t="s">
        <v>2681</v>
      </c>
      <c r="AE33" s="99" t="s">
        <v>2427</v>
      </c>
      <c r="AF33" s="99" t="s">
        <v>818</v>
      </c>
      <c r="AG33" s="316" t="s">
        <v>819</v>
      </c>
      <c r="AH33" s="251"/>
      <c r="AI33" s="251" t="s">
        <v>3579</v>
      </c>
      <c r="AJ33" s="251"/>
      <c r="AK33" s="251"/>
      <c r="AL33" s="251"/>
      <c r="AM33" s="251"/>
      <c r="AN33" s="251"/>
      <c r="AO33" s="251"/>
      <c r="AP33" s="251"/>
      <c r="AQ33" s="251"/>
      <c r="AR33" s="251"/>
      <c r="AS33" s="251"/>
      <c r="AT33" s="251" t="s">
        <v>3487</v>
      </c>
      <c r="AU33" s="379"/>
      <c r="AV33" s="380"/>
    </row>
    <row r="34" spans="1:48" x14ac:dyDescent="0.25">
      <c r="A34" s="354" t="s">
        <v>20</v>
      </c>
      <c r="B34" s="391" t="s">
        <v>3542</v>
      </c>
      <c r="C34" s="100" t="s">
        <v>64</v>
      </c>
      <c r="D34" s="97">
        <v>30622</v>
      </c>
      <c r="E34" s="97">
        <f>+DATE(YEAR(D34)+62,MONTH(D34),DAY(D34))</f>
        <v>53268</v>
      </c>
      <c r="F34" s="97">
        <f>+EOMONTH(E34,0)+1</f>
        <v>53297</v>
      </c>
      <c r="G34" s="97">
        <f>+VLOOKUP(A34,'[1]DATA 06.2023'!$E$2:$J$390,6,0)</f>
        <v>53297</v>
      </c>
      <c r="H34" s="97">
        <v>39508</v>
      </c>
      <c r="I34" s="118" t="s">
        <v>27</v>
      </c>
      <c r="J34" s="207" t="s">
        <v>1838</v>
      </c>
      <c r="K34" s="118" t="s">
        <v>34</v>
      </c>
      <c r="L34" s="97">
        <v>44197</v>
      </c>
      <c r="M34" s="97">
        <v>45292</v>
      </c>
      <c r="N34" s="117" t="s">
        <v>71</v>
      </c>
      <c r="O34" s="119">
        <v>1.69</v>
      </c>
      <c r="P34" s="119"/>
      <c r="Q34" s="99"/>
      <c r="R34" s="314">
        <f t="shared" si="3"/>
        <v>8973900</v>
      </c>
      <c r="S34" s="314">
        <f t="shared" si="0"/>
        <v>0</v>
      </c>
      <c r="T34" s="314">
        <f t="shared" si="1"/>
        <v>0</v>
      </c>
      <c r="U34" s="314">
        <f t="shared" si="2"/>
        <v>8973900</v>
      </c>
      <c r="V34" s="314">
        <f>+VLOOKUP(A34,[2]Sheet1!$B$11:$J$400,9,0)</f>
        <v>7909200</v>
      </c>
      <c r="W34" s="315" t="s">
        <v>1547</v>
      </c>
      <c r="X34" s="99" t="s">
        <v>820</v>
      </c>
      <c r="Y34" s="99" t="str">
        <f>+VLOOKUP(A34,[3]Sheet1!$B$11:$I$388,8,0)</f>
        <v>79 - 016</v>
      </c>
      <c r="Z34" s="99" t="s">
        <v>34</v>
      </c>
      <c r="AA34" s="99" t="s">
        <v>2752</v>
      </c>
      <c r="AB34" s="100" t="s">
        <v>821</v>
      </c>
      <c r="AC34" s="99">
        <f>+VALUE(AB34:AB410)</f>
        <v>25646920</v>
      </c>
      <c r="AD34" s="99" t="s">
        <v>822</v>
      </c>
      <c r="AE34" s="99" t="s">
        <v>2427</v>
      </c>
      <c r="AF34" s="99" t="s">
        <v>823</v>
      </c>
      <c r="AG34" s="316" t="s">
        <v>824</v>
      </c>
      <c r="AH34" s="251"/>
      <c r="AI34" s="251" t="s">
        <v>3590</v>
      </c>
      <c r="AJ34" s="251"/>
      <c r="AK34" s="251"/>
      <c r="AL34" s="251"/>
      <c r="AM34" s="251"/>
      <c r="AN34" s="251"/>
      <c r="AO34" s="251"/>
      <c r="AP34" s="251"/>
      <c r="AQ34" s="251"/>
      <c r="AR34" s="251"/>
      <c r="AS34" s="251"/>
      <c r="AT34" s="251" t="s">
        <v>3487</v>
      </c>
      <c r="AU34" s="379"/>
      <c r="AV34" s="380"/>
    </row>
    <row r="35" spans="1:48" x14ac:dyDescent="0.25">
      <c r="A35" s="357" t="s">
        <v>190</v>
      </c>
      <c r="B35" s="393" t="s">
        <v>3542</v>
      </c>
      <c r="C35" s="100" t="s">
        <v>399</v>
      </c>
      <c r="D35" s="97">
        <v>32932</v>
      </c>
      <c r="E35" s="97">
        <f>+DATE(YEAR(D35)+62,MONTH(D35),DAY(D35))</f>
        <v>55577</v>
      </c>
      <c r="F35" s="97">
        <f>+EOMONTH(E35,0)+1</f>
        <v>55579</v>
      </c>
      <c r="G35" s="97">
        <v>53752</v>
      </c>
      <c r="H35" s="97">
        <v>41671</v>
      </c>
      <c r="I35" s="118" t="s">
        <v>584</v>
      </c>
      <c r="J35" s="207" t="s">
        <v>1838</v>
      </c>
      <c r="K35" s="118" t="s">
        <v>34</v>
      </c>
      <c r="L35" s="97">
        <v>42370</v>
      </c>
      <c r="M35" s="204" t="s">
        <v>3467</v>
      </c>
      <c r="N35" s="327" t="s">
        <v>73</v>
      </c>
      <c r="O35" s="118">
        <v>1.5</v>
      </c>
      <c r="P35" s="119"/>
      <c r="Q35" s="213"/>
      <c r="R35" s="314">
        <f t="shared" si="3"/>
        <v>7965000</v>
      </c>
      <c r="S35" s="314">
        <f>+P35*4960000</f>
        <v>0</v>
      </c>
      <c r="T35" s="314">
        <f>+Q35*2340000</f>
        <v>0</v>
      </c>
      <c r="U35" s="314">
        <f>+R35+S35+T35</f>
        <v>7965000</v>
      </c>
      <c r="V35" s="314">
        <f>+VLOOKUP(A35,[2]Sheet1!$B$11:$J$400,9,0)</f>
        <v>7020000</v>
      </c>
      <c r="W35" s="315" t="s">
        <v>1669</v>
      </c>
      <c r="X35" s="99" t="s">
        <v>3333</v>
      </c>
      <c r="Y35" s="99" t="str">
        <f>+VLOOKUP(A35,[3]Sheet1!$B$11:$I$388,8,0)</f>
        <v>79 - 030</v>
      </c>
      <c r="Z35" s="99" t="s">
        <v>34</v>
      </c>
      <c r="AA35" s="99" t="s">
        <v>2840</v>
      </c>
      <c r="AB35" s="100" t="s">
        <v>2442</v>
      </c>
      <c r="AC35" s="99" t="e">
        <f>+VALUE(AB169:AB538)</f>
        <v>#VALUE!</v>
      </c>
      <c r="AD35" s="99" t="s">
        <v>1208</v>
      </c>
      <c r="AE35" s="99" t="s">
        <v>2427</v>
      </c>
      <c r="AF35" s="99" t="s">
        <v>526</v>
      </c>
      <c r="AG35" s="316" t="s">
        <v>548</v>
      </c>
      <c r="AH35" s="251"/>
      <c r="AI35" s="251" t="s">
        <v>3591</v>
      </c>
      <c r="AJ35" s="251"/>
      <c r="AK35" s="251"/>
      <c r="AL35" s="251" t="s">
        <v>3592</v>
      </c>
      <c r="AM35" s="251"/>
      <c r="AN35" s="251"/>
      <c r="AO35" s="251"/>
      <c r="AP35" s="251"/>
      <c r="AQ35" s="251"/>
      <c r="AR35" s="251"/>
      <c r="AS35" s="251" t="s">
        <v>2247</v>
      </c>
      <c r="AT35" s="251" t="s">
        <v>3487</v>
      </c>
      <c r="AU35" s="379"/>
      <c r="AV35" s="380"/>
    </row>
    <row r="36" spans="1:48" x14ac:dyDescent="0.25">
      <c r="A36" s="362" t="s">
        <v>8</v>
      </c>
      <c r="B36" s="397" t="s">
        <v>3543</v>
      </c>
      <c r="C36" s="209" t="s">
        <v>48</v>
      </c>
      <c r="D36" s="97">
        <v>28860</v>
      </c>
      <c r="E36" s="97">
        <f>+DATE(YEAR(D36)+60,MONTH(D36),DAY(D36))</f>
        <v>50775</v>
      </c>
      <c r="F36" s="97">
        <v>50775</v>
      </c>
      <c r="G36" s="97">
        <f>+EOMONTH(F36,0)+1</f>
        <v>50802</v>
      </c>
      <c r="H36" s="97">
        <v>37257</v>
      </c>
      <c r="I36" s="118" t="s">
        <v>28</v>
      </c>
      <c r="J36" s="207" t="s">
        <v>41</v>
      </c>
      <c r="K36" s="118" t="s">
        <v>33</v>
      </c>
      <c r="L36" s="97">
        <v>42370</v>
      </c>
      <c r="M36" s="97">
        <v>43466</v>
      </c>
      <c r="N36" s="117" t="s">
        <v>74</v>
      </c>
      <c r="O36" s="119">
        <v>1.89</v>
      </c>
      <c r="P36" s="119">
        <v>0.25</v>
      </c>
      <c r="Q36" s="99"/>
      <c r="R36" s="314">
        <f t="shared" si="3"/>
        <v>10035900</v>
      </c>
      <c r="S36" s="314">
        <f t="shared" si="0"/>
        <v>1240000</v>
      </c>
      <c r="T36" s="314">
        <f t="shared" ref="T36:T99" si="7">+Q36*2340000</f>
        <v>0</v>
      </c>
      <c r="U36" s="314">
        <f t="shared" si="2"/>
        <v>11275900</v>
      </c>
      <c r="V36" s="314">
        <f>+VLOOKUP(A36,[2]Sheet1!$B$11:$J$400,9,0)</f>
        <v>10015200</v>
      </c>
      <c r="W36" s="315" t="s">
        <v>1548</v>
      </c>
      <c r="X36" s="99" t="s">
        <v>825</v>
      </c>
      <c r="Y36" s="99" t="str">
        <f>+VLOOKUP(A36,[3]Sheet1!$B$11:$I$388,8,0)</f>
        <v>79 - 034</v>
      </c>
      <c r="Z36" s="99" t="s">
        <v>33</v>
      </c>
      <c r="AA36" s="99" t="s">
        <v>826</v>
      </c>
      <c r="AB36" s="100" t="s">
        <v>826</v>
      </c>
      <c r="AC36" s="99">
        <f>+VALUE(AB36:AB413)</f>
        <v>34179002591</v>
      </c>
      <c r="AD36" s="99" t="s">
        <v>827</v>
      </c>
      <c r="AE36" s="99" t="s">
        <v>2427</v>
      </c>
      <c r="AF36" s="99" t="s">
        <v>828</v>
      </c>
      <c r="AG36" s="316" t="s">
        <v>829</v>
      </c>
      <c r="AH36" s="251"/>
      <c r="AI36" s="251" t="s">
        <v>3583</v>
      </c>
      <c r="AJ36" s="251"/>
      <c r="AK36" s="251"/>
      <c r="AL36" s="251"/>
      <c r="AM36" s="251"/>
      <c r="AN36" s="251"/>
      <c r="AO36" s="251"/>
      <c r="AP36" s="251"/>
      <c r="AQ36" s="251"/>
      <c r="AR36" s="251"/>
      <c r="AS36" s="251"/>
      <c r="AT36" s="251" t="s">
        <v>3487</v>
      </c>
      <c r="AU36" s="379"/>
      <c r="AV36" s="380"/>
    </row>
    <row r="37" spans="1:48" ht="36" x14ac:dyDescent="0.25">
      <c r="A37" s="354" t="s">
        <v>13</v>
      </c>
      <c r="B37" s="391" t="s">
        <v>3542</v>
      </c>
      <c r="C37" s="100" t="s">
        <v>53</v>
      </c>
      <c r="D37" s="97">
        <v>29932</v>
      </c>
      <c r="E37" s="97">
        <f>+DATE(YEAR(D37)+62,MONTH(D37),DAY(D37))</f>
        <v>52577</v>
      </c>
      <c r="F37" s="97">
        <f>+EOMONTH(E37,0)+1</f>
        <v>52597</v>
      </c>
      <c r="G37" s="97">
        <f>+VLOOKUP(A37,'[1]DATA 06.2023'!$E$2:$J$390,6,0)</f>
        <v>52597</v>
      </c>
      <c r="H37" s="97">
        <v>38200</v>
      </c>
      <c r="I37" s="118" t="s">
        <v>28</v>
      </c>
      <c r="J37" s="207" t="s">
        <v>41</v>
      </c>
      <c r="K37" s="118" t="s">
        <v>35</v>
      </c>
      <c r="L37" s="97">
        <v>43101</v>
      </c>
      <c r="M37" s="97">
        <v>44197</v>
      </c>
      <c r="N37" s="117" t="s">
        <v>74</v>
      </c>
      <c r="O37" s="119">
        <v>1.89</v>
      </c>
      <c r="P37" s="119">
        <v>0.35</v>
      </c>
      <c r="Q37" s="99"/>
      <c r="R37" s="314">
        <f t="shared" si="3"/>
        <v>10035900</v>
      </c>
      <c r="S37" s="314">
        <f t="shared" si="0"/>
        <v>1736000</v>
      </c>
      <c r="T37" s="314">
        <f t="shared" si="7"/>
        <v>0</v>
      </c>
      <c r="U37" s="314">
        <f t="shared" si="2"/>
        <v>11771900</v>
      </c>
      <c r="V37" s="314">
        <f>+VLOOKUP(A37,[2]Sheet1!$B$11:$J$400,9,0)</f>
        <v>10483200</v>
      </c>
      <c r="W37" s="315" t="s">
        <v>1531</v>
      </c>
      <c r="X37" s="99" t="s">
        <v>748</v>
      </c>
      <c r="Y37" s="99" t="str">
        <f>+VLOOKUP(A37,[3]Sheet1!$B$11:$I$388,8,0)</f>
        <v>79 - 034</v>
      </c>
      <c r="Z37" s="99" t="s">
        <v>35</v>
      </c>
      <c r="AA37" s="99" t="s">
        <v>2019</v>
      </c>
      <c r="AB37" s="223" t="s">
        <v>2019</v>
      </c>
      <c r="AC37" s="99">
        <f>+VALUE(AB37:AB414)</f>
        <v>36081006577</v>
      </c>
      <c r="AD37" s="205" t="s">
        <v>2020</v>
      </c>
      <c r="AE37" s="99" t="s">
        <v>2427</v>
      </c>
      <c r="AF37" s="99" t="s">
        <v>749</v>
      </c>
      <c r="AG37" s="316" t="s">
        <v>750</v>
      </c>
      <c r="AH37" s="251"/>
      <c r="AI37" s="318" t="s">
        <v>3593</v>
      </c>
      <c r="AJ37" s="251"/>
      <c r="AK37" s="251"/>
      <c r="AL37" s="251"/>
      <c r="AM37" s="251"/>
      <c r="AN37" s="251"/>
      <c r="AO37" s="251"/>
      <c r="AP37" s="251"/>
      <c r="AQ37" s="251"/>
      <c r="AR37" s="251"/>
      <c r="AS37" s="251"/>
      <c r="AT37" s="251" t="s">
        <v>3487</v>
      </c>
      <c r="AU37" s="379" t="s">
        <v>543</v>
      </c>
      <c r="AV37" s="380"/>
    </row>
    <row r="38" spans="1:48" x14ac:dyDescent="0.25">
      <c r="A38" s="357" t="s">
        <v>580</v>
      </c>
      <c r="B38" s="393" t="s">
        <v>3542</v>
      </c>
      <c r="C38" s="100" t="s">
        <v>55</v>
      </c>
      <c r="D38" s="97">
        <v>24148</v>
      </c>
      <c r="E38" s="97">
        <f>+DATE(YEAR(D38)+62,MONTH(D38),DAY(D38))</f>
        <v>46793</v>
      </c>
      <c r="F38" s="97">
        <f>+EOMONTH(E38,0)+1</f>
        <v>46813</v>
      </c>
      <c r="G38" s="97">
        <f>+VLOOKUP(A38,'[1]DATA 06.2023'!$E$2:$J$390,6,0)</f>
        <v>46722</v>
      </c>
      <c r="H38" s="97">
        <v>35463</v>
      </c>
      <c r="I38" s="118" t="s">
        <v>28</v>
      </c>
      <c r="J38" s="207" t="s">
        <v>41</v>
      </c>
      <c r="K38" s="118" t="s">
        <v>34</v>
      </c>
      <c r="L38" s="97">
        <v>42795</v>
      </c>
      <c r="M38" s="97">
        <v>43891</v>
      </c>
      <c r="N38" s="117" t="s">
        <v>74</v>
      </c>
      <c r="O38" s="119">
        <v>1.89</v>
      </c>
      <c r="P38" s="119"/>
      <c r="Q38" s="99"/>
      <c r="R38" s="314">
        <f t="shared" si="3"/>
        <v>10035900</v>
      </c>
      <c r="S38" s="314">
        <f t="shared" si="0"/>
        <v>0</v>
      </c>
      <c r="T38" s="314">
        <f t="shared" si="7"/>
        <v>0</v>
      </c>
      <c r="U38" s="314">
        <f t="shared" si="2"/>
        <v>10035900</v>
      </c>
      <c r="V38" s="314">
        <f>+VLOOKUP(A38,[2]Sheet1!$B$11:$J$400,9,0)</f>
        <v>8845200</v>
      </c>
      <c r="W38" s="315" t="s">
        <v>1537</v>
      </c>
      <c r="X38" s="99" t="s">
        <v>774</v>
      </c>
      <c r="Y38" s="99" t="str">
        <f>+VLOOKUP(A38,[3]Sheet1!$B$11:$I$388,8,0)</f>
        <v>79 - 024</v>
      </c>
      <c r="Z38" s="99" t="s">
        <v>34</v>
      </c>
      <c r="AA38" s="99" t="s">
        <v>775</v>
      </c>
      <c r="AB38" s="100" t="s">
        <v>775</v>
      </c>
      <c r="AC38" s="99">
        <f>+VALUE(AB18:AB398)</f>
        <v>37066001028</v>
      </c>
      <c r="AD38" s="99" t="s">
        <v>776</v>
      </c>
      <c r="AE38" s="99" t="s">
        <v>2427</v>
      </c>
      <c r="AF38" s="99" t="s">
        <v>777</v>
      </c>
      <c r="AG38" s="316" t="s">
        <v>778</v>
      </c>
      <c r="AH38" s="251"/>
      <c r="AI38" s="251" t="s">
        <v>3594</v>
      </c>
      <c r="AJ38" s="251"/>
      <c r="AK38" s="251"/>
      <c r="AL38" s="251"/>
      <c r="AM38" s="251"/>
      <c r="AN38" s="251"/>
      <c r="AO38" s="251"/>
      <c r="AP38" s="251"/>
      <c r="AQ38" s="251"/>
      <c r="AR38" s="251"/>
      <c r="AS38" s="251"/>
      <c r="AT38" s="251" t="s">
        <v>3487</v>
      </c>
      <c r="AU38" s="379"/>
      <c r="AV38" s="380"/>
    </row>
    <row r="39" spans="1:48" x14ac:dyDescent="0.25">
      <c r="A39" s="359" t="s">
        <v>99</v>
      </c>
      <c r="B39" s="394" t="s">
        <v>3543</v>
      </c>
      <c r="C39" s="209" t="s">
        <v>157</v>
      </c>
      <c r="D39" s="97">
        <v>31953</v>
      </c>
      <c r="E39" s="97">
        <f>+DATE(YEAR(D39)+60,MONTH(D39),DAY(D39))</f>
        <v>53868</v>
      </c>
      <c r="F39" s="97">
        <v>53868</v>
      </c>
      <c r="G39" s="97">
        <f>+EOMONTH(F39,0)+1</f>
        <v>53874</v>
      </c>
      <c r="H39" s="97">
        <v>42795</v>
      </c>
      <c r="I39" s="118" t="s">
        <v>28</v>
      </c>
      <c r="J39" s="207" t="s">
        <v>41</v>
      </c>
      <c r="K39" s="118" t="s">
        <v>34</v>
      </c>
      <c r="L39" s="97">
        <v>42795</v>
      </c>
      <c r="M39" s="204" t="s">
        <v>1516</v>
      </c>
      <c r="N39" s="204" t="s">
        <v>71</v>
      </c>
      <c r="O39" s="118">
        <v>1.69</v>
      </c>
      <c r="P39" s="119"/>
      <c r="Q39" s="99"/>
      <c r="R39" s="314">
        <f t="shared" si="3"/>
        <v>8973900</v>
      </c>
      <c r="S39" s="314">
        <f t="shared" si="0"/>
        <v>0</v>
      </c>
      <c r="T39" s="314">
        <f t="shared" si="7"/>
        <v>0</v>
      </c>
      <c r="U39" s="314">
        <f t="shared" si="2"/>
        <v>8973900</v>
      </c>
      <c r="V39" s="314">
        <f>+VLOOKUP(A39,[2]Sheet1!$B$11:$J$400,9,0)</f>
        <v>7909200</v>
      </c>
      <c r="W39" s="315" t="s">
        <v>1559</v>
      </c>
      <c r="X39" s="99" t="s">
        <v>592</v>
      </c>
      <c r="Y39" s="99" t="str">
        <f>+VLOOKUP(A39,[3]Sheet1!$B$11:$I$388,8,0)</f>
        <v>79 - 034</v>
      </c>
      <c r="Z39" s="99" t="s">
        <v>36</v>
      </c>
      <c r="AA39" s="99" t="s">
        <v>869</v>
      </c>
      <c r="AB39" s="100" t="s">
        <v>869</v>
      </c>
      <c r="AC39" s="99">
        <f>+VALUE(AB21:AB398)</f>
        <v>79187006269</v>
      </c>
      <c r="AD39" s="99" t="s">
        <v>870</v>
      </c>
      <c r="AE39" s="99" t="s">
        <v>2427</v>
      </c>
      <c r="AF39" s="99" t="s">
        <v>768</v>
      </c>
      <c r="AG39" s="316" t="s">
        <v>871</v>
      </c>
      <c r="AH39" s="251"/>
      <c r="AI39" s="251" t="s">
        <v>3583</v>
      </c>
      <c r="AJ39" s="251"/>
      <c r="AK39" s="251"/>
      <c r="AL39" s="251"/>
      <c r="AM39" s="251"/>
      <c r="AN39" s="251"/>
      <c r="AO39" s="251"/>
      <c r="AP39" s="251"/>
      <c r="AQ39" s="251"/>
      <c r="AR39" s="251"/>
      <c r="AS39" s="251"/>
      <c r="AT39" s="251" t="s">
        <v>3487</v>
      </c>
      <c r="AU39" s="379"/>
      <c r="AV39" s="380"/>
    </row>
    <row r="40" spans="1:48" x14ac:dyDescent="0.25">
      <c r="A40" s="356" t="s">
        <v>21</v>
      </c>
      <c r="B40" s="392" t="s">
        <v>3543</v>
      </c>
      <c r="C40" s="209" t="s">
        <v>65</v>
      </c>
      <c r="D40" s="97">
        <v>27503</v>
      </c>
      <c r="E40" s="97">
        <f>+DATE(YEAR(D40)+60,MONTH(D40),DAY(D40))</f>
        <v>49418</v>
      </c>
      <c r="F40" s="97">
        <v>49297</v>
      </c>
      <c r="G40" s="97">
        <f>+EOMONTH(F40,0)+1</f>
        <v>49310</v>
      </c>
      <c r="H40" s="97">
        <v>37196</v>
      </c>
      <c r="I40" s="118" t="s">
        <v>28</v>
      </c>
      <c r="J40" s="207" t="s">
        <v>41</v>
      </c>
      <c r="K40" s="118" t="s">
        <v>34</v>
      </c>
      <c r="L40" s="97">
        <v>42370</v>
      </c>
      <c r="M40" s="97">
        <v>43466</v>
      </c>
      <c r="N40" s="117" t="s">
        <v>74</v>
      </c>
      <c r="O40" s="119">
        <v>1.89</v>
      </c>
      <c r="P40" s="119"/>
      <c r="Q40" s="99"/>
      <c r="R40" s="314">
        <f t="shared" si="3"/>
        <v>10035900</v>
      </c>
      <c r="S40" s="314">
        <f t="shared" si="0"/>
        <v>0</v>
      </c>
      <c r="T40" s="314">
        <f t="shared" si="7"/>
        <v>0</v>
      </c>
      <c r="U40" s="314">
        <f t="shared" si="2"/>
        <v>10035900</v>
      </c>
      <c r="V40" s="314">
        <f>+VLOOKUP(A40,[2]Sheet1!$B$11:$J$400,9,0)</f>
        <v>8845200</v>
      </c>
      <c r="W40" s="315" t="s">
        <v>1550</v>
      </c>
      <c r="X40" s="99" t="s">
        <v>738</v>
      </c>
      <c r="Y40" s="99" t="str">
        <f>+VLOOKUP(A40,[3]Sheet1!$B$11:$I$388,8,0)</f>
        <v>79 - 034</v>
      </c>
      <c r="Z40" s="99" t="s">
        <v>34</v>
      </c>
      <c r="AA40" s="99" t="s">
        <v>2754</v>
      </c>
      <c r="AB40" s="100" t="s">
        <v>833</v>
      </c>
      <c r="AC40" s="99">
        <f>+VALUE(AB40:AB415)</f>
        <v>22933754</v>
      </c>
      <c r="AD40" s="99" t="s">
        <v>834</v>
      </c>
      <c r="AE40" s="99" t="s">
        <v>2427</v>
      </c>
      <c r="AF40" s="99" t="s">
        <v>835</v>
      </c>
      <c r="AG40" s="316" t="s">
        <v>836</v>
      </c>
      <c r="AH40" s="251"/>
      <c r="AI40" s="251" t="s">
        <v>3571</v>
      </c>
      <c r="AJ40" s="251"/>
      <c r="AK40" s="251"/>
      <c r="AL40" s="251"/>
      <c r="AM40" s="251"/>
      <c r="AN40" s="251"/>
      <c r="AO40" s="251"/>
      <c r="AP40" s="251"/>
      <c r="AQ40" s="251"/>
      <c r="AR40" s="251"/>
      <c r="AS40" s="251"/>
      <c r="AT40" s="251" t="s">
        <v>3487</v>
      </c>
      <c r="AU40" s="379"/>
      <c r="AV40" s="380"/>
    </row>
    <row r="41" spans="1:48" ht="24" x14ac:dyDescent="0.25">
      <c r="A41" s="360" t="s">
        <v>3124</v>
      </c>
      <c r="B41" s="395" t="s">
        <v>3543</v>
      </c>
      <c r="C41" s="209" t="s">
        <v>3125</v>
      </c>
      <c r="D41" s="205">
        <v>30540</v>
      </c>
      <c r="E41" s="97">
        <f>+DATE(YEAR(D41)+60,MONTH(D41),DAY(D41))</f>
        <v>52455</v>
      </c>
      <c r="F41" s="97">
        <v>49298</v>
      </c>
      <c r="G41" s="97">
        <f>+EOMONTH(F41,0)+1</f>
        <v>49310</v>
      </c>
      <c r="H41" s="97">
        <v>45383</v>
      </c>
      <c r="I41" s="118" t="s">
        <v>28</v>
      </c>
      <c r="J41" s="207" t="s">
        <v>41</v>
      </c>
      <c r="K41" s="118" t="s">
        <v>34</v>
      </c>
      <c r="L41" s="97"/>
      <c r="M41" s="97"/>
      <c r="N41" s="238" t="s">
        <v>71</v>
      </c>
      <c r="O41" s="118">
        <v>1.69</v>
      </c>
      <c r="P41" s="119"/>
      <c r="Q41" s="99"/>
      <c r="R41" s="314">
        <f t="shared" si="3"/>
        <v>8973900</v>
      </c>
      <c r="S41" s="314">
        <f t="shared" si="0"/>
        <v>0</v>
      </c>
      <c r="T41" s="314">
        <f t="shared" si="7"/>
        <v>0</v>
      </c>
      <c r="U41" s="314">
        <f t="shared" si="2"/>
        <v>8973900</v>
      </c>
      <c r="V41" s="314">
        <f>+VLOOKUP(A41,[2]Sheet1!$B$11:$J$400,9,0)</f>
        <v>7909200</v>
      </c>
      <c r="W41" s="315" t="s">
        <v>3216</v>
      </c>
      <c r="X41" s="99" t="s">
        <v>3280</v>
      </c>
      <c r="Y41" s="99" t="e">
        <f>+VLOOKUP(A41,[3]Sheet1!$B$11:$I$388,8,0)</f>
        <v>#N/A</v>
      </c>
      <c r="Z41" s="99" t="s">
        <v>34</v>
      </c>
      <c r="AA41" s="201" t="s">
        <v>3126</v>
      </c>
      <c r="AB41" s="100"/>
      <c r="AC41" s="99"/>
      <c r="AD41" s="205" t="s">
        <v>3127</v>
      </c>
      <c r="AE41" s="99" t="s">
        <v>2427</v>
      </c>
      <c r="AF41" s="99" t="s">
        <v>3160</v>
      </c>
      <c r="AG41" s="316">
        <v>17782</v>
      </c>
      <c r="AH41" s="251"/>
      <c r="AI41" s="318" t="s">
        <v>3595</v>
      </c>
      <c r="AJ41" s="251"/>
      <c r="AK41" s="251"/>
      <c r="AL41" s="251"/>
      <c r="AM41" s="247">
        <v>45383</v>
      </c>
      <c r="AN41" s="251"/>
      <c r="AO41" s="251"/>
      <c r="AP41" s="247">
        <v>45413</v>
      </c>
      <c r="AQ41" s="251"/>
      <c r="AR41" s="247">
        <v>46143</v>
      </c>
      <c r="AS41" s="321" t="s">
        <v>3129</v>
      </c>
      <c r="AT41" s="251" t="s">
        <v>3487</v>
      </c>
      <c r="AU41" s="379"/>
      <c r="AV41" s="380"/>
    </row>
    <row r="42" spans="1:48" x14ac:dyDescent="0.25">
      <c r="A42" s="354" t="s">
        <v>14</v>
      </c>
      <c r="B42" s="391" t="s">
        <v>3542</v>
      </c>
      <c r="C42" s="100" t="s">
        <v>54</v>
      </c>
      <c r="D42" s="97">
        <v>30002</v>
      </c>
      <c r="E42" s="97">
        <f>+DATE(YEAR(D42)+62,MONTH(D42),DAY(D42))</f>
        <v>52647</v>
      </c>
      <c r="F42" s="97">
        <v>53612</v>
      </c>
      <c r="G42" s="97">
        <f>+VLOOKUP(A42,'[1]DATA 06.2023'!$E$2:$J$390,6,0)</f>
        <v>52657</v>
      </c>
      <c r="H42" s="97">
        <v>39052</v>
      </c>
      <c r="I42" s="118" t="s">
        <v>29</v>
      </c>
      <c r="J42" s="207" t="s">
        <v>41</v>
      </c>
      <c r="K42" s="118" t="s">
        <v>33</v>
      </c>
      <c r="L42" s="97">
        <v>42370</v>
      </c>
      <c r="M42" s="97">
        <v>43466</v>
      </c>
      <c r="N42" s="204" t="s">
        <v>74</v>
      </c>
      <c r="O42" s="118">
        <v>1.89</v>
      </c>
      <c r="P42" s="119">
        <v>0.25</v>
      </c>
      <c r="Q42" s="99"/>
      <c r="R42" s="314">
        <f t="shared" si="3"/>
        <v>10035900</v>
      </c>
      <c r="S42" s="314">
        <f t="shared" si="0"/>
        <v>1240000</v>
      </c>
      <c r="T42" s="314">
        <f t="shared" si="7"/>
        <v>0</v>
      </c>
      <c r="U42" s="314">
        <f t="shared" si="2"/>
        <v>11275900</v>
      </c>
      <c r="V42" s="314">
        <f>+VLOOKUP(A42,[2]Sheet1!$B$11:$J$400,9,0)</f>
        <v>9547200</v>
      </c>
      <c r="W42" s="315" t="s">
        <v>1544</v>
      </c>
      <c r="X42" s="99" t="s">
        <v>1801</v>
      </c>
      <c r="Y42" s="99" t="str">
        <f>+VLOOKUP(A42,[3]Sheet1!$B$11:$I$388,8,0)</f>
        <v>79 - 034</v>
      </c>
      <c r="Z42" s="99" t="s">
        <v>33</v>
      </c>
      <c r="AA42" s="99" t="s">
        <v>809</v>
      </c>
      <c r="AB42" s="100" t="s">
        <v>809</v>
      </c>
      <c r="AC42" s="99">
        <f>+VALUE(AB11:AB398)</f>
        <v>37082002899</v>
      </c>
      <c r="AD42" s="99" t="s">
        <v>810</v>
      </c>
      <c r="AE42" s="99" t="s">
        <v>2427</v>
      </c>
      <c r="AF42" s="99" t="s">
        <v>811</v>
      </c>
      <c r="AG42" s="316" t="s">
        <v>812</v>
      </c>
      <c r="AH42" s="251"/>
      <c r="AI42" s="251" t="s">
        <v>3569</v>
      </c>
      <c r="AJ42" s="251"/>
      <c r="AK42" s="251"/>
      <c r="AL42" s="251"/>
      <c r="AM42" s="251"/>
      <c r="AN42" s="251"/>
      <c r="AO42" s="251"/>
      <c r="AP42" s="251"/>
      <c r="AQ42" s="251"/>
      <c r="AR42" s="251"/>
      <c r="AS42" s="251"/>
      <c r="AT42" s="251" t="s">
        <v>3487</v>
      </c>
      <c r="AU42" s="379" t="s">
        <v>543</v>
      </c>
      <c r="AV42" s="380"/>
    </row>
    <row r="43" spans="1:48" x14ac:dyDescent="0.25">
      <c r="A43" s="357" t="s">
        <v>24</v>
      </c>
      <c r="B43" s="393" t="s">
        <v>3542</v>
      </c>
      <c r="C43" s="100" t="s">
        <v>67</v>
      </c>
      <c r="D43" s="97">
        <v>28885</v>
      </c>
      <c r="E43" s="97">
        <f>+DATE(YEAR(D43)+62,MONTH(D43),DAY(D43))</f>
        <v>51531</v>
      </c>
      <c r="F43" s="97">
        <f>+EOMONTH(E43,0)+1</f>
        <v>51533</v>
      </c>
      <c r="G43" s="97">
        <f>+VLOOKUP(A43,'[1]DATA 06.2023'!$E$2:$J$390,6,0)</f>
        <v>51533</v>
      </c>
      <c r="H43" s="97">
        <v>36220</v>
      </c>
      <c r="I43" s="118" t="s">
        <v>29</v>
      </c>
      <c r="J43" s="207" t="s">
        <v>41</v>
      </c>
      <c r="K43" s="118" t="s">
        <v>35</v>
      </c>
      <c r="L43" s="97">
        <v>42370</v>
      </c>
      <c r="M43" s="97">
        <v>43466</v>
      </c>
      <c r="N43" s="117" t="s">
        <v>74</v>
      </c>
      <c r="O43" s="119">
        <v>1.89</v>
      </c>
      <c r="P43" s="119">
        <v>0.35</v>
      </c>
      <c r="Q43" s="99"/>
      <c r="R43" s="314">
        <f t="shared" si="3"/>
        <v>10035900</v>
      </c>
      <c r="S43" s="314">
        <f t="shared" si="0"/>
        <v>1736000</v>
      </c>
      <c r="T43" s="314">
        <f t="shared" si="7"/>
        <v>0</v>
      </c>
      <c r="U43" s="314">
        <f t="shared" si="2"/>
        <v>11771900</v>
      </c>
      <c r="V43" s="314">
        <f>+VLOOKUP(A43,[2]Sheet1!$B$11:$J$400,9,0)</f>
        <v>10015200</v>
      </c>
      <c r="W43" s="315" t="s">
        <v>1553</v>
      </c>
      <c r="X43" s="99" t="s">
        <v>813</v>
      </c>
      <c r="Y43" s="99" t="str">
        <f>+VLOOKUP(A43,[3]Sheet1!$B$11:$I$388,8,0)</f>
        <v>79 - 025</v>
      </c>
      <c r="Z43" s="99" t="s">
        <v>35</v>
      </c>
      <c r="AA43" s="99" t="s">
        <v>2757</v>
      </c>
      <c r="AB43" s="100" t="s">
        <v>846</v>
      </c>
      <c r="AC43" s="99">
        <f>+VALUE(AB43:AB419)</f>
        <v>264122137</v>
      </c>
      <c r="AD43" s="99" t="s">
        <v>847</v>
      </c>
      <c r="AE43" s="99" t="s">
        <v>2427</v>
      </c>
      <c r="AF43" s="99" t="s">
        <v>848</v>
      </c>
      <c r="AG43" s="316" t="s">
        <v>548</v>
      </c>
      <c r="AH43" s="251"/>
      <c r="AI43" s="251" t="s">
        <v>3579</v>
      </c>
      <c r="AJ43" s="251"/>
      <c r="AK43" s="251"/>
      <c r="AL43" s="251"/>
      <c r="AM43" s="251"/>
      <c r="AN43" s="251"/>
      <c r="AO43" s="251"/>
      <c r="AP43" s="251"/>
      <c r="AQ43" s="251"/>
      <c r="AR43" s="251"/>
      <c r="AS43" s="251"/>
      <c r="AT43" s="251" t="s">
        <v>3487</v>
      </c>
      <c r="AU43" s="379" t="s">
        <v>543</v>
      </c>
      <c r="AV43" s="380"/>
    </row>
    <row r="44" spans="1:48" x14ac:dyDescent="0.25">
      <c r="A44" s="359" t="s">
        <v>290</v>
      </c>
      <c r="B44" s="394" t="s">
        <v>3543</v>
      </c>
      <c r="C44" s="209" t="s">
        <v>68</v>
      </c>
      <c r="D44" s="97">
        <v>29855</v>
      </c>
      <c r="E44" s="97">
        <f>+DATE(YEAR(D44)+60,MONTH(D44),DAY(D44))</f>
        <v>51770</v>
      </c>
      <c r="F44" s="97">
        <v>51770</v>
      </c>
      <c r="G44" s="97">
        <f>+EOMONTH(F44,0)+1</f>
        <v>51775</v>
      </c>
      <c r="H44" s="97">
        <v>38473</v>
      </c>
      <c r="I44" s="118" t="s">
        <v>29</v>
      </c>
      <c r="J44" s="207" t="s">
        <v>41</v>
      </c>
      <c r="K44" s="118" t="s">
        <v>34</v>
      </c>
      <c r="L44" s="97">
        <v>44378</v>
      </c>
      <c r="M44" s="97">
        <v>45474</v>
      </c>
      <c r="N44" s="117" t="s">
        <v>74</v>
      </c>
      <c r="O44" s="119">
        <v>1.89</v>
      </c>
      <c r="P44" s="119"/>
      <c r="Q44" s="99"/>
      <c r="R44" s="314">
        <f t="shared" si="3"/>
        <v>10035900</v>
      </c>
      <c r="S44" s="314">
        <f t="shared" si="0"/>
        <v>0</v>
      </c>
      <c r="T44" s="314">
        <f t="shared" si="7"/>
        <v>0</v>
      </c>
      <c r="U44" s="314">
        <f t="shared" si="2"/>
        <v>10035900</v>
      </c>
      <c r="V44" s="314">
        <f>+VLOOKUP(A44,[2]Sheet1!$B$11:$J$400,9,0)</f>
        <v>8377200</v>
      </c>
      <c r="W44" s="315" t="s">
        <v>1554</v>
      </c>
      <c r="X44" s="99" t="s">
        <v>786</v>
      </c>
      <c r="Y44" s="99" t="str">
        <f>+VLOOKUP(A44,[3]Sheet1!$B$11:$I$388,8,0)</f>
        <v>79 - 028</v>
      </c>
      <c r="Z44" s="99" t="s">
        <v>34</v>
      </c>
      <c r="AA44" s="99" t="s">
        <v>2758</v>
      </c>
      <c r="AB44" s="100">
        <v>260889317</v>
      </c>
      <c r="AC44" s="99">
        <f>+VALUE(AB44:AB421)</f>
        <v>260889317</v>
      </c>
      <c r="AD44" s="99" t="s">
        <v>851</v>
      </c>
      <c r="AE44" s="99" t="s">
        <v>2427</v>
      </c>
      <c r="AF44" s="99" t="s">
        <v>852</v>
      </c>
      <c r="AG44" s="316" t="s">
        <v>853</v>
      </c>
      <c r="AH44" s="251"/>
      <c r="AI44" s="251" t="s">
        <v>3596</v>
      </c>
      <c r="AJ44" s="251"/>
      <c r="AK44" s="251"/>
      <c r="AL44" s="251"/>
      <c r="AM44" s="251"/>
      <c r="AN44" s="251"/>
      <c r="AO44" s="251"/>
      <c r="AP44" s="251"/>
      <c r="AQ44" s="251"/>
      <c r="AR44" s="251"/>
      <c r="AS44" s="251"/>
      <c r="AT44" s="251" t="s">
        <v>3487</v>
      </c>
      <c r="AU44" s="379" t="s">
        <v>543</v>
      </c>
      <c r="AV44" s="380"/>
    </row>
    <row r="45" spans="1:48" x14ac:dyDescent="0.25">
      <c r="A45" s="357" t="s">
        <v>172</v>
      </c>
      <c r="B45" s="393" t="s">
        <v>3542</v>
      </c>
      <c r="C45" s="100" t="s">
        <v>380</v>
      </c>
      <c r="D45" s="97">
        <v>26648</v>
      </c>
      <c r="E45" s="97">
        <f>+DATE(YEAR(D45)+62,MONTH(D45),DAY(D45))</f>
        <v>49293</v>
      </c>
      <c r="F45" s="97">
        <f t="shared" ref="F45:F84" si="8">+EOMONTH(E45,0)+1</f>
        <v>49310</v>
      </c>
      <c r="G45" s="97">
        <f>+VLOOKUP(A45,'[1]DATA 06.2023'!$E$2:$J$390,6,0)</f>
        <v>49310</v>
      </c>
      <c r="H45" s="97">
        <v>35186</v>
      </c>
      <c r="I45" s="118" t="s">
        <v>29</v>
      </c>
      <c r="J45" s="207" t="s">
        <v>41</v>
      </c>
      <c r="K45" s="118" t="s">
        <v>34</v>
      </c>
      <c r="L45" s="97">
        <v>42309</v>
      </c>
      <c r="M45" s="204"/>
      <c r="N45" s="117" t="s">
        <v>74</v>
      </c>
      <c r="O45" s="118">
        <v>1.89</v>
      </c>
      <c r="P45" s="119"/>
      <c r="Q45" s="99"/>
      <c r="R45" s="314">
        <f t="shared" si="3"/>
        <v>10035900</v>
      </c>
      <c r="S45" s="314">
        <f t="shared" si="0"/>
        <v>0</v>
      </c>
      <c r="T45" s="314">
        <f t="shared" si="7"/>
        <v>0</v>
      </c>
      <c r="U45" s="314">
        <f t="shared" si="2"/>
        <v>10035900</v>
      </c>
      <c r="V45" s="314">
        <f>+VLOOKUP(A45,[2]Sheet1!$B$11:$J$400,9,0)</f>
        <v>8377200</v>
      </c>
      <c r="W45" s="328" t="s">
        <v>1651</v>
      </c>
      <c r="X45" s="99" t="s">
        <v>592</v>
      </c>
      <c r="Y45" s="99" t="str">
        <f>+VLOOKUP(A45,[3]Sheet1!$B$11:$I$388,8,0)</f>
        <v>79 - 034</v>
      </c>
      <c r="Z45" s="99" t="s">
        <v>34</v>
      </c>
      <c r="AA45" s="99" t="s">
        <v>2760</v>
      </c>
      <c r="AB45" s="100">
        <v>264286991</v>
      </c>
      <c r="AC45" s="99">
        <f>+VALUE(AB45:AB427)</f>
        <v>264286991</v>
      </c>
      <c r="AD45" s="99" t="s">
        <v>1165</v>
      </c>
      <c r="AE45" s="99" t="s">
        <v>2427</v>
      </c>
      <c r="AF45" s="99" t="s">
        <v>1151</v>
      </c>
      <c r="AG45" s="316" t="s">
        <v>1167</v>
      </c>
      <c r="AH45" s="251"/>
      <c r="AI45" s="251" t="s">
        <v>3597</v>
      </c>
      <c r="AJ45" s="251"/>
      <c r="AK45" s="251"/>
      <c r="AL45" s="251"/>
      <c r="AM45" s="251"/>
      <c r="AN45" s="251"/>
      <c r="AO45" s="251"/>
      <c r="AP45" s="251"/>
      <c r="AQ45" s="251"/>
      <c r="AR45" s="251"/>
      <c r="AS45" s="321" t="s">
        <v>2155</v>
      </c>
      <c r="AT45" s="251" t="s">
        <v>3487</v>
      </c>
      <c r="AU45" s="379"/>
      <c r="AV45" s="380"/>
    </row>
    <row r="46" spans="1:48" x14ac:dyDescent="0.25">
      <c r="A46" s="354" t="s">
        <v>25</v>
      </c>
      <c r="B46" s="393" t="s">
        <v>3542</v>
      </c>
      <c r="C46" s="100" t="s">
        <v>69</v>
      </c>
      <c r="D46" s="97">
        <v>25030</v>
      </c>
      <c r="E46" s="97">
        <f>+DATE(YEAR(D46)+62,MONTH(D46),DAY(D46))</f>
        <v>47675</v>
      </c>
      <c r="F46" s="97">
        <f t="shared" si="8"/>
        <v>47696</v>
      </c>
      <c r="G46" s="97">
        <f>+VLOOKUP(A46,'[1]DATA 06.2023'!$E$2:$J$390,6,0)</f>
        <v>47696</v>
      </c>
      <c r="H46" s="97">
        <v>37742</v>
      </c>
      <c r="I46" s="118" t="s">
        <v>29</v>
      </c>
      <c r="J46" s="207" t="s">
        <v>43</v>
      </c>
      <c r="K46" s="118" t="s">
        <v>34</v>
      </c>
      <c r="L46" s="97">
        <v>42795</v>
      </c>
      <c r="M46" s="97">
        <v>43891</v>
      </c>
      <c r="N46" s="117" t="s">
        <v>74</v>
      </c>
      <c r="O46" s="119">
        <v>1.89</v>
      </c>
      <c r="P46" s="119"/>
      <c r="Q46" s="99"/>
      <c r="R46" s="314">
        <f t="shared" si="3"/>
        <v>10035900</v>
      </c>
      <c r="S46" s="314">
        <f t="shared" si="0"/>
        <v>0</v>
      </c>
      <c r="T46" s="314">
        <f t="shared" si="7"/>
        <v>0</v>
      </c>
      <c r="U46" s="314">
        <f t="shared" si="2"/>
        <v>10035900</v>
      </c>
      <c r="V46" s="314">
        <f>+VLOOKUP(A46,[2]Sheet1!$B$11:$J$400,9,0)</f>
        <v>8845200</v>
      </c>
      <c r="W46" s="315" t="s">
        <v>1555</v>
      </c>
      <c r="X46" s="99" t="s">
        <v>696</v>
      </c>
      <c r="Y46" s="99" t="str">
        <f>+VLOOKUP(A46,[3]Sheet1!$B$11:$I$388,8,0)</f>
        <v>79 - 025</v>
      </c>
      <c r="Z46" s="99" t="s">
        <v>34</v>
      </c>
      <c r="AA46" s="99" t="s">
        <v>854</v>
      </c>
      <c r="AB46" s="100" t="s">
        <v>854</v>
      </c>
      <c r="AC46" s="99">
        <f>+VALUE(AB46:AB422)</f>
        <v>36068002785</v>
      </c>
      <c r="AD46" s="205" t="s">
        <v>2144</v>
      </c>
      <c r="AE46" s="99" t="s">
        <v>2427</v>
      </c>
      <c r="AF46" s="99" t="s">
        <v>855</v>
      </c>
      <c r="AG46" s="316" t="s">
        <v>856</v>
      </c>
      <c r="AH46" s="251"/>
      <c r="AI46" s="251" t="s">
        <v>3571</v>
      </c>
      <c r="AJ46" s="251"/>
      <c r="AK46" s="251"/>
      <c r="AL46" s="251"/>
      <c r="AM46" s="251"/>
      <c r="AN46" s="251"/>
      <c r="AO46" s="251"/>
      <c r="AP46" s="251"/>
      <c r="AQ46" s="251"/>
      <c r="AR46" s="251"/>
      <c r="AS46" s="251"/>
      <c r="AT46" s="251" t="s">
        <v>3487</v>
      </c>
      <c r="AU46" s="379"/>
      <c r="AV46" s="380"/>
    </row>
    <row r="47" spans="1:48" x14ac:dyDescent="0.25">
      <c r="A47" s="354" t="s">
        <v>688</v>
      </c>
      <c r="B47" s="393" t="s">
        <v>3542</v>
      </c>
      <c r="C47" s="100" t="s">
        <v>488</v>
      </c>
      <c r="D47" s="97">
        <v>28387</v>
      </c>
      <c r="E47" s="97">
        <f>+DATE(YEAR(D47)+62,MONTH(D47),DAY(D47))</f>
        <v>51032</v>
      </c>
      <c r="F47" s="97">
        <f t="shared" si="8"/>
        <v>51044</v>
      </c>
      <c r="G47" s="97">
        <f>+VLOOKUP(A47,'[1]DATA 06.2023'!$E$2:$J$390,6,0)</f>
        <v>51044</v>
      </c>
      <c r="H47" s="97">
        <v>36220</v>
      </c>
      <c r="I47" s="118" t="s">
        <v>29</v>
      </c>
      <c r="J47" s="207" t="s">
        <v>41</v>
      </c>
      <c r="K47" s="118" t="s">
        <v>34</v>
      </c>
      <c r="L47" s="97">
        <v>42309</v>
      </c>
      <c r="M47" s="262" t="s">
        <v>3178</v>
      </c>
      <c r="N47" s="117" t="s">
        <v>76</v>
      </c>
      <c r="O47" s="119">
        <v>1.79</v>
      </c>
      <c r="P47" s="119"/>
      <c r="Q47" s="99"/>
      <c r="R47" s="314">
        <f t="shared" si="3"/>
        <v>9504900</v>
      </c>
      <c r="S47" s="314">
        <f>+P47*4410000</f>
        <v>0</v>
      </c>
      <c r="T47" s="314">
        <f t="shared" si="7"/>
        <v>0</v>
      </c>
      <c r="U47" s="314">
        <f t="shared" si="2"/>
        <v>9504900</v>
      </c>
      <c r="V47" s="314">
        <f>+VLOOKUP(A47,[2]Sheet1!$B$11:$J$400,9,0)</f>
        <v>7030400</v>
      </c>
      <c r="W47" s="315" t="s">
        <v>1770</v>
      </c>
      <c r="X47" s="99" t="s">
        <v>1282</v>
      </c>
      <c r="Y47" s="99" t="str">
        <f>+VLOOKUP(A47,[3]Sheet1!$B$11:$I$388,8,0)</f>
        <v>54 - 016</v>
      </c>
      <c r="Z47" s="99" t="s">
        <v>34</v>
      </c>
      <c r="AA47" s="99" t="s">
        <v>2903</v>
      </c>
      <c r="AB47" s="100" t="s">
        <v>2149</v>
      </c>
      <c r="AC47" s="99">
        <f>+VALUE(AB47:AB722)</f>
        <v>220935299</v>
      </c>
      <c r="AD47" s="99" t="s">
        <v>1482</v>
      </c>
      <c r="AE47" s="99" t="s">
        <v>2427</v>
      </c>
      <c r="AF47" s="99" t="s">
        <v>1483</v>
      </c>
      <c r="AG47" s="316" t="s">
        <v>1344</v>
      </c>
      <c r="AH47" s="251"/>
      <c r="AI47" s="251" t="s">
        <v>3597</v>
      </c>
      <c r="AJ47" s="251"/>
      <c r="AK47" s="251"/>
      <c r="AL47" s="251"/>
      <c r="AM47" s="251"/>
      <c r="AN47" s="251"/>
      <c r="AO47" s="251"/>
      <c r="AP47" s="251"/>
      <c r="AQ47" s="251"/>
      <c r="AR47" s="251"/>
      <c r="AS47" s="251" t="s">
        <v>2314</v>
      </c>
      <c r="AT47" s="251" t="s">
        <v>3487</v>
      </c>
      <c r="AU47" s="379"/>
      <c r="AV47" s="380"/>
    </row>
    <row r="48" spans="1:48" ht="24" x14ac:dyDescent="0.25">
      <c r="A48" s="354" t="s">
        <v>106</v>
      </c>
      <c r="B48" s="393" t="s">
        <v>3542</v>
      </c>
      <c r="C48" s="100" t="s">
        <v>301</v>
      </c>
      <c r="D48" s="97">
        <v>30802</v>
      </c>
      <c r="E48" s="97">
        <f>+DATE(YEAR(D48)+62,MONTH(D48),DAY(D48))</f>
        <v>53447</v>
      </c>
      <c r="F48" s="97">
        <f t="shared" si="8"/>
        <v>53448</v>
      </c>
      <c r="G48" s="97">
        <f>+VLOOKUP(A48,'[1]DATA 06.2023'!$E$2:$J$390,6,0)</f>
        <v>53448</v>
      </c>
      <c r="H48" s="97">
        <v>38657</v>
      </c>
      <c r="I48" s="118" t="s">
        <v>29</v>
      </c>
      <c r="J48" s="207" t="s">
        <v>41</v>
      </c>
      <c r="K48" s="118" t="s">
        <v>34</v>
      </c>
      <c r="L48" s="97">
        <v>43344</v>
      </c>
      <c r="M48" s="323" t="s">
        <v>3239</v>
      </c>
      <c r="N48" s="204" t="s">
        <v>76</v>
      </c>
      <c r="O48" s="118">
        <v>1.79</v>
      </c>
      <c r="P48" s="119"/>
      <c r="Q48" s="99"/>
      <c r="R48" s="314">
        <f t="shared" si="3"/>
        <v>9504900</v>
      </c>
      <c r="S48" s="314">
        <f>+P48*4960000</f>
        <v>0</v>
      </c>
      <c r="T48" s="314">
        <f t="shared" si="7"/>
        <v>0</v>
      </c>
      <c r="U48" s="314">
        <f t="shared" si="2"/>
        <v>9504900</v>
      </c>
      <c r="V48" s="314">
        <f>+VLOOKUP(A48,[2]Sheet1!$B$11:$J$400,9,0)</f>
        <v>7909200</v>
      </c>
      <c r="W48" s="315" t="s">
        <v>1566</v>
      </c>
      <c r="X48" s="99" t="s">
        <v>981</v>
      </c>
      <c r="Y48" s="99" t="str">
        <f>+VLOOKUP(A48,[3]Sheet1!$B$11:$I$388,8,0)</f>
        <v>79 - 016</v>
      </c>
      <c r="Z48" s="99" t="s">
        <v>34</v>
      </c>
      <c r="AA48" s="99" t="s">
        <v>2753</v>
      </c>
      <c r="AB48" s="100" t="s">
        <v>895</v>
      </c>
      <c r="AC48" s="99">
        <f>+VALUE(AB36:AB412)</f>
        <v>321159542</v>
      </c>
      <c r="AD48" s="99" t="s">
        <v>896</v>
      </c>
      <c r="AE48" s="99" t="s">
        <v>2427</v>
      </c>
      <c r="AF48" s="99" t="s">
        <v>3118</v>
      </c>
      <c r="AG48" s="316" t="s">
        <v>898</v>
      </c>
      <c r="AH48" s="251"/>
      <c r="AI48" s="318" t="s">
        <v>3589</v>
      </c>
      <c r="AJ48" s="251"/>
      <c r="AK48" s="251"/>
      <c r="AL48" s="251"/>
      <c r="AM48" s="251"/>
      <c r="AN48" s="251"/>
      <c r="AO48" s="251"/>
      <c r="AP48" s="251"/>
      <c r="AQ48" s="251"/>
      <c r="AR48" s="251"/>
      <c r="AS48" s="251"/>
      <c r="AT48" s="251" t="s">
        <v>3487</v>
      </c>
      <c r="AU48" s="379"/>
      <c r="AV48" s="380"/>
    </row>
    <row r="49" spans="1:48" x14ac:dyDescent="0.25">
      <c r="A49" s="357" t="s">
        <v>127</v>
      </c>
      <c r="B49" s="393" t="s">
        <v>3542</v>
      </c>
      <c r="C49" s="100" t="s">
        <v>327</v>
      </c>
      <c r="D49" s="97">
        <v>31343</v>
      </c>
      <c r="E49" s="97">
        <f t="shared" ref="E49:E58" si="9">+DATE(YEAR(D49)+57,MONTH(D49),DAY(D49))</f>
        <v>52162</v>
      </c>
      <c r="F49" s="97">
        <f t="shared" si="8"/>
        <v>52171</v>
      </c>
      <c r="G49" s="97">
        <v>52171</v>
      </c>
      <c r="H49" s="97">
        <v>40026</v>
      </c>
      <c r="I49" s="206" t="s">
        <v>3243</v>
      </c>
      <c r="J49" s="198" t="s">
        <v>287</v>
      </c>
      <c r="K49" s="199" t="s">
        <v>281</v>
      </c>
      <c r="L49" s="97">
        <v>42309</v>
      </c>
      <c r="M49" s="204"/>
      <c r="N49" s="204" t="s">
        <v>71</v>
      </c>
      <c r="O49" s="118">
        <v>1.49</v>
      </c>
      <c r="P49" s="119"/>
      <c r="Q49" s="99"/>
      <c r="R49" s="314">
        <f t="shared" si="3"/>
        <v>7911900</v>
      </c>
      <c r="S49" s="314">
        <f>+P49*4960000</f>
        <v>0</v>
      </c>
      <c r="T49" s="314">
        <f t="shared" si="7"/>
        <v>0</v>
      </c>
      <c r="U49" s="314">
        <f t="shared" si="2"/>
        <v>7911900</v>
      </c>
      <c r="V49" s="314">
        <f>+VLOOKUP(A49,[2]Sheet1!$B$11:$J$400,9,0)</f>
        <v>6973200</v>
      </c>
      <c r="W49" s="315" t="s">
        <v>1597</v>
      </c>
      <c r="X49" s="99" t="s">
        <v>756</v>
      </c>
      <c r="Y49" s="99" t="str">
        <f>+VLOOKUP(A49,[3]Sheet1!$B$11:$I$388,8,0)</f>
        <v>79 - 014</v>
      </c>
      <c r="Z49" s="99" t="s">
        <v>1787</v>
      </c>
      <c r="AA49" s="99" t="s">
        <v>2790</v>
      </c>
      <c r="AB49" s="100" t="s">
        <v>1004</v>
      </c>
      <c r="AC49" s="99">
        <f>+VALUE(AB49:AB475)</f>
        <v>24080198</v>
      </c>
      <c r="AD49" s="99" t="s">
        <v>1005</v>
      </c>
      <c r="AE49" s="99" t="s">
        <v>2427</v>
      </c>
      <c r="AF49" s="99" t="s">
        <v>1006</v>
      </c>
      <c r="AG49" s="316" t="s">
        <v>894</v>
      </c>
      <c r="AH49" s="251"/>
      <c r="AI49" s="251" t="s">
        <v>3597</v>
      </c>
      <c r="AJ49" s="251"/>
      <c r="AK49" s="251"/>
      <c r="AL49" s="251"/>
      <c r="AM49" s="251"/>
      <c r="AN49" s="251"/>
      <c r="AO49" s="251"/>
      <c r="AP49" s="251"/>
      <c r="AQ49" s="251"/>
      <c r="AR49" s="251"/>
      <c r="AS49" s="321" t="s">
        <v>2195</v>
      </c>
      <c r="AT49" s="251" t="s">
        <v>3487</v>
      </c>
      <c r="AU49" s="379"/>
      <c r="AV49" s="380"/>
    </row>
    <row r="50" spans="1:48" x14ac:dyDescent="0.25">
      <c r="A50" s="357" t="s">
        <v>1810</v>
      </c>
      <c r="B50" s="393" t="s">
        <v>3542</v>
      </c>
      <c r="C50" s="100" t="s">
        <v>330</v>
      </c>
      <c r="D50" s="97">
        <v>26893</v>
      </c>
      <c r="E50" s="97">
        <f t="shared" si="9"/>
        <v>47712</v>
      </c>
      <c r="F50" s="97">
        <f t="shared" si="8"/>
        <v>47727</v>
      </c>
      <c r="G50" s="97">
        <v>47727</v>
      </c>
      <c r="H50" s="97">
        <v>34274</v>
      </c>
      <c r="I50" s="206" t="s">
        <v>3243</v>
      </c>
      <c r="J50" s="198" t="s">
        <v>287</v>
      </c>
      <c r="K50" s="199" t="s">
        <v>3312</v>
      </c>
      <c r="L50" s="97">
        <v>39995</v>
      </c>
      <c r="M50" s="204"/>
      <c r="N50" s="329" t="s">
        <v>74</v>
      </c>
      <c r="O50" s="118">
        <v>1.68</v>
      </c>
      <c r="P50" s="119">
        <v>0.06</v>
      </c>
      <c r="Q50" s="99"/>
      <c r="R50" s="314">
        <f t="shared" si="3"/>
        <v>8920800</v>
      </c>
      <c r="S50" s="314">
        <f>+P50*4960000</f>
        <v>297600</v>
      </c>
      <c r="T50" s="314">
        <f t="shared" si="7"/>
        <v>0</v>
      </c>
      <c r="U50" s="314">
        <f t="shared" si="2"/>
        <v>9218400</v>
      </c>
      <c r="V50" s="314">
        <f>+VLOOKUP(A50,[2]Sheet1!$B$11:$J$400,9,0)</f>
        <v>8143200</v>
      </c>
      <c r="W50" s="315" t="s">
        <v>1600</v>
      </c>
      <c r="X50" s="99" t="s">
        <v>738</v>
      </c>
      <c r="Y50" s="99" t="str">
        <f>+VLOOKUP(A50,[3]Sheet1!$B$11:$I$388,8,0)</f>
        <v>79 - 025</v>
      </c>
      <c r="Z50" s="99" t="s">
        <v>1787</v>
      </c>
      <c r="AA50" s="99" t="s">
        <v>1015</v>
      </c>
      <c r="AB50" s="100" t="s">
        <v>1015</v>
      </c>
      <c r="AC50" s="99">
        <f>+VALUE(AB50:AB478)</f>
        <v>15073000059</v>
      </c>
      <c r="AD50" s="99" t="s">
        <v>1016</v>
      </c>
      <c r="AE50" s="99" t="s">
        <v>2427</v>
      </c>
      <c r="AF50" s="99" t="s">
        <v>1017</v>
      </c>
      <c r="AG50" s="316" t="s">
        <v>1018</v>
      </c>
      <c r="AH50" s="251"/>
      <c r="AI50" s="251" t="s">
        <v>3597</v>
      </c>
      <c r="AJ50" s="251"/>
      <c r="AK50" s="251"/>
      <c r="AL50" s="251"/>
      <c r="AM50" s="251"/>
      <c r="AN50" s="251"/>
      <c r="AO50" s="251"/>
      <c r="AP50" s="251"/>
      <c r="AQ50" s="251"/>
      <c r="AR50" s="251"/>
      <c r="AS50" s="321" t="s">
        <v>2198</v>
      </c>
      <c r="AT50" s="251" t="s">
        <v>3487</v>
      </c>
      <c r="AU50" s="379"/>
      <c r="AV50" s="380"/>
    </row>
    <row r="51" spans="1:48" x14ac:dyDescent="0.25">
      <c r="A51" s="357" t="s">
        <v>195</v>
      </c>
      <c r="B51" s="393" t="s">
        <v>3542</v>
      </c>
      <c r="C51" s="100" t="s">
        <v>404</v>
      </c>
      <c r="D51" s="97">
        <v>26212</v>
      </c>
      <c r="E51" s="97">
        <f t="shared" si="9"/>
        <v>47032</v>
      </c>
      <c r="F51" s="97">
        <f t="shared" si="8"/>
        <v>47058</v>
      </c>
      <c r="G51" s="97">
        <v>47058</v>
      </c>
      <c r="H51" s="97">
        <v>33117</v>
      </c>
      <c r="I51" s="206" t="s">
        <v>3243</v>
      </c>
      <c r="J51" s="198" t="s">
        <v>287</v>
      </c>
      <c r="K51" s="118" t="s">
        <v>281</v>
      </c>
      <c r="L51" s="97">
        <v>40725</v>
      </c>
      <c r="M51" s="204"/>
      <c r="N51" s="330" t="s">
        <v>74</v>
      </c>
      <c r="O51" s="207">
        <v>1.68</v>
      </c>
      <c r="P51" s="119"/>
      <c r="Q51" s="99"/>
      <c r="R51" s="314">
        <f t="shared" si="3"/>
        <v>8920800</v>
      </c>
      <c r="S51" s="314">
        <f>+P51*4410000</f>
        <v>0</v>
      </c>
      <c r="T51" s="314">
        <f t="shared" si="7"/>
        <v>0</v>
      </c>
      <c r="U51" s="314">
        <f t="shared" si="2"/>
        <v>8920800</v>
      </c>
      <c r="V51" s="314">
        <f>+VLOOKUP(A51,[2]Sheet1!$B$11:$J$400,9,0)</f>
        <v>7598400</v>
      </c>
      <c r="W51" s="315" t="s">
        <v>1675</v>
      </c>
      <c r="X51" s="99" t="s">
        <v>1220</v>
      </c>
      <c r="Y51" s="99" t="str">
        <f>+VLOOKUP(A51,[3]Sheet1!$B$11:$I$388,8,0)</f>
        <v>60 - 171</v>
      </c>
      <c r="Z51" s="99" t="s">
        <v>1787</v>
      </c>
      <c r="AA51" s="99" t="s">
        <v>2871</v>
      </c>
      <c r="AB51" s="100" t="s">
        <v>2468</v>
      </c>
      <c r="AC51" s="99">
        <f>+VALUE(AB51:AB578)</f>
        <v>261153437</v>
      </c>
      <c r="AD51" s="99" t="s">
        <v>1221</v>
      </c>
      <c r="AE51" s="99" t="s">
        <v>2427</v>
      </c>
      <c r="AF51" s="99" t="s">
        <v>1222</v>
      </c>
      <c r="AG51" s="316" t="s">
        <v>1223</v>
      </c>
      <c r="AH51" s="251"/>
      <c r="AI51" s="251" t="s">
        <v>3569</v>
      </c>
      <c r="AJ51" s="251"/>
      <c r="AK51" s="251"/>
      <c r="AL51" s="251"/>
      <c r="AM51" s="251"/>
      <c r="AN51" s="251"/>
      <c r="AO51" s="251"/>
      <c r="AP51" s="251"/>
      <c r="AQ51" s="251"/>
      <c r="AR51" s="251"/>
      <c r="AS51" s="251" t="s">
        <v>2277</v>
      </c>
      <c r="AT51" s="251" t="s">
        <v>3487</v>
      </c>
      <c r="AU51" s="379"/>
      <c r="AV51" s="380"/>
    </row>
    <row r="52" spans="1:48" x14ac:dyDescent="0.25">
      <c r="A52" s="354" t="s">
        <v>134</v>
      </c>
      <c r="B52" s="393" t="s">
        <v>3542</v>
      </c>
      <c r="C52" s="100" t="s">
        <v>344</v>
      </c>
      <c r="D52" s="97">
        <v>34222</v>
      </c>
      <c r="E52" s="97">
        <f t="shared" si="9"/>
        <v>55041</v>
      </c>
      <c r="F52" s="97">
        <f t="shared" si="8"/>
        <v>55062</v>
      </c>
      <c r="G52" s="97">
        <v>55062</v>
      </c>
      <c r="H52" s="97">
        <v>41671</v>
      </c>
      <c r="I52" s="206" t="s">
        <v>3243</v>
      </c>
      <c r="J52" s="198" t="s">
        <v>287</v>
      </c>
      <c r="K52" s="118" t="s">
        <v>281</v>
      </c>
      <c r="L52" s="97">
        <v>42370</v>
      </c>
      <c r="M52" s="204" t="s">
        <v>3238</v>
      </c>
      <c r="N52" s="204" t="s">
        <v>76</v>
      </c>
      <c r="O52" s="118">
        <v>1.58</v>
      </c>
      <c r="P52" s="119"/>
      <c r="Q52" s="99"/>
      <c r="R52" s="314">
        <f t="shared" si="3"/>
        <v>8389800</v>
      </c>
      <c r="S52" s="314">
        <f>+P52*4960000</f>
        <v>0</v>
      </c>
      <c r="T52" s="314">
        <f t="shared" si="7"/>
        <v>0</v>
      </c>
      <c r="U52" s="314">
        <f t="shared" si="2"/>
        <v>8389800</v>
      </c>
      <c r="V52" s="314">
        <f>+VLOOKUP(A52,[2]Sheet1!$B$11:$J$400,9,0)</f>
        <v>6973200</v>
      </c>
      <c r="W52" s="315" t="s">
        <v>1614</v>
      </c>
      <c r="X52" s="99" t="s">
        <v>942</v>
      </c>
      <c r="Y52" s="99" t="str">
        <f>+VLOOKUP(A52,[3]Sheet1!$B$11:$I$388,8,0)</f>
        <v>79 - 034</v>
      </c>
      <c r="Z52" s="99" t="s">
        <v>1787</v>
      </c>
      <c r="AA52" s="99" t="s">
        <v>2805</v>
      </c>
      <c r="AB52" s="100" t="s">
        <v>1065</v>
      </c>
      <c r="AC52" s="99">
        <f>+VALUE(AB52:AB493)</f>
        <v>173796145</v>
      </c>
      <c r="AD52" s="99" t="s">
        <v>1066</v>
      </c>
      <c r="AE52" s="99" t="s">
        <v>2427</v>
      </c>
      <c r="AF52" s="99" t="s">
        <v>1067</v>
      </c>
      <c r="AG52" s="316" t="s">
        <v>1064</v>
      </c>
      <c r="AH52" s="251"/>
      <c r="AI52" s="251"/>
      <c r="AJ52" s="251"/>
      <c r="AK52" s="251"/>
      <c r="AL52" s="251" t="s">
        <v>3592</v>
      </c>
      <c r="AM52" s="251"/>
      <c r="AN52" s="251"/>
      <c r="AO52" s="251"/>
      <c r="AP52" s="251"/>
      <c r="AQ52" s="251"/>
      <c r="AR52" s="251"/>
      <c r="AS52" s="321" t="s">
        <v>2212</v>
      </c>
      <c r="AT52" s="251" t="s">
        <v>3487</v>
      </c>
      <c r="AU52" s="379"/>
      <c r="AV52" s="380"/>
    </row>
    <row r="53" spans="1:48" x14ac:dyDescent="0.25">
      <c r="A53" s="355" t="s">
        <v>129</v>
      </c>
      <c r="B53" s="393" t="s">
        <v>3542</v>
      </c>
      <c r="C53" s="100" t="s">
        <v>331</v>
      </c>
      <c r="D53" s="97">
        <v>31757</v>
      </c>
      <c r="E53" s="97">
        <f t="shared" si="9"/>
        <v>52576</v>
      </c>
      <c r="F53" s="97">
        <f t="shared" si="8"/>
        <v>52597</v>
      </c>
      <c r="G53" s="97">
        <v>52597</v>
      </c>
      <c r="H53" s="97">
        <v>41671</v>
      </c>
      <c r="I53" s="206" t="s">
        <v>3243</v>
      </c>
      <c r="J53" s="198" t="s">
        <v>287</v>
      </c>
      <c r="K53" s="118" t="s">
        <v>281</v>
      </c>
      <c r="L53" s="97">
        <v>42370</v>
      </c>
      <c r="M53" s="204" t="s">
        <v>3238</v>
      </c>
      <c r="N53" s="204" t="s">
        <v>76</v>
      </c>
      <c r="O53" s="118">
        <v>1.58</v>
      </c>
      <c r="P53" s="119"/>
      <c r="Q53" s="99"/>
      <c r="R53" s="314">
        <f t="shared" si="3"/>
        <v>8389800</v>
      </c>
      <c r="S53" s="314">
        <f>+P53*4960000</f>
        <v>0</v>
      </c>
      <c r="T53" s="314">
        <f t="shared" si="7"/>
        <v>0</v>
      </c>
      <c r="U53" s="314">
        <f t="shared" si="2"/>
        <v>8389800</v>
      </c>
      <c r="V53" s="314">
        <f>+VLOOKUP(A53,[2]Sheet1!$B$11:$J$400,9,0)</f>
        <v>6973200</v>
      </c>
      <c r="W53" s="315" t="s">
        <v>1601</v>
      </c>
      <c r="X53" s="99" t="s">
        <v>1019</v>
      </c>
      <c r="Y53" s="99" t="str">
        <f>+VLOOKUP(A53,[3]Sheet1!$B$11:$I$388,8,0)</f>
        <v>79 - 033</v>
      </c>
      <c r="Z53" s="99" t="s">
        <v>1787</v>
      </c>
      <c r="AA53" s="99" t="s">
        <v>2766</v>
      </c>
      <c r="AB53" s="100" t="s">
        <v>2097</v>
      </c>
      <c r="AC53" s="99">
        <f>+VALUE(AB53:AB438)</f>
        <v>197163710</v>
      </c>
      <c r="AD53" s="99" t="s">
        <v>1020</v>
      </c>
      <c r="AE53" s="99" t="s">
        <v>2427</v>
      </c>
      <c r="AF53" s="99" t="s">
        <v>1022</v>
      </c>
      <c r="AG53" s="316" t="s">
        <v>1023</v>
      </c>
      <c r="AH53" s="251"/>
      <c r="AI53" s="251"/>
      <c r="AJ53" s="251"/>
      <c r="AK53" s="251"/>
      <c r="AL53" s="251" t="s">
        <v>3592</v>
      </c>
      <c r="AM53" s="251"/>
      <c r="AN53" s="251"/>
      <c r="AO53" s="251"/>
      <c r="AP53" s="251"/>
      <c r="AQ53" s="251"/>
      <c r="AR53" s="251"/>
      <c r="AS53" s="321" t="s">
        <v>2165</v>
      </c>
      <c r="AT53" s="251" t="s">
        <v>3487</v>
      </c>
      <c r="AU53" s="379"/>
      <c r="AV53" s="380"/>
    </row>
    <row r="54" spans="1:48" x14ac:dyDescent="0.25">
      <c r="A54" s="357" t="s">
        <v>122</v>
      </c>
      <c r="B54" s="393" t="s">
        <v>3542</v>
      </c>
      <c r="C54" s="100" t="s">
        <v>319</v>
      </c>
      <c r="D54" s="97">
        <v>31676</v>
      </c>
      <c r="E54" s="97">
        <f t="shared" si="9"/>
        <v>52495</v>
      </c>
      <c r="F54" s="97">
        <f t="shared" si="8"/>
        <v>52505</v>
      </c>
      <c r="G54" s="97">
        <v>49249</v>
      </c>
      <c r="H54" s="97">
        <v>39479</v>
      </c>
      <c r="I54" s="206" t="s">
        <v>3243</v>
      </c>
      <c r="J54" s="198" t="s">
        <v>287</v>
      </c>
      <c r="K54" s="118" t="s">
        <v>281</v>
      </c>
      <c r="L54" s="97">
        <v>43405</v>
      </c>
      <c r="M54" s="204"/>
      <c r="N54" s="204" t="s">
        <v>76</v>
      </c>
      <c r="O54" s="118">
        <v>1.58</v>
      </c>
      <c r="P54" s="119"/>
      <c r="Q54" s="99"/>
      <c r="R54" s="314">
        <f t="shared" si="3"/>
        <v>8389800</v>
      </c>
      <c r="S54" s="314">
        <f>+P54*4960000</f>
        <v>0</v>
      </c>
      <c r="T54" s="314">
        <f t="shared" si="7"/>
        <v>0</v>
      </c>
      <c r="U54" s="314">
        <f t="shared" si="2"/>
        <v>8389800</v>
      </c>
      <c r="V54" s="314">
        <f>+VLOOKUP(A54,[2]Sheet1!$B$11:$J$400,9,0)</f>
        <v>7394400</v>
      </c>
      <c r="W54" s="315" t="s">
        <v>1589</v>
      </c>
      <c r="X54" s="99" t="s">
        <v>942</v>
      </c>
      <c r="Y54" s="99" t="str">
        <f>+VLOOKUP(A54,[3]Sheet1!$B$11:$I$388,8,0)</f>
        <v>79 - 031</v>
      </c>
      <c r="Z54" s="99" t="s">
        <v>1787</v>
      </c>
      <c r="AA54" s="99" t="s">
        <v>2784</v>
      </c>
      <c r="AB54" s="100" t="s">
        <v>975</v>
      </c>
      <c r="AC54" s="99">
        <f>+VALUE(AB54:AB466)</f>
        <v>186280677</v>
      </c>
      <c r="AD54" s="99" t="s">
        <v>628</v>
      </c>
      <c r="AE54" s="99" t="s">
        <v>2427</v>
      </c>
      <c r="AF54" s="99" t="s">
        <v>976</v>
      </c>
      <c r="AG54" s="316" t="s">
        <v>746</v>
      </c>
      <c r="AH54" s="251"/>
      <c r="AI54" s="251" t="s">
        <v>3579</v>
      </c>
      <c r="AJ54" s="251"/>
      <c r="AK54" s="251" t="s">
        <v>3585</v>
      </c>
      <c r="AL54" s="251"/>
      <c r="AM54" s="251"/>
      <c r="AN54" s="251"/>
      <c r="AO54" s="251"/>
      <c r="AP54" s="251"/>
      <c r="AQ54" s="251"/>
      <c r="AR54" s="251"/>
      <c r="AS54" s="321" t="s">
        <v>2188</v>
      </c>
      <c r="AT54" s="251" t="s">
        <v>3487</v>
      </c>
      <c r="AU54" s="379"/>
      <c r="AV54" s="380"/>
    </row>
    <row r="55" spans="1:48" x14ac:dyDescent="0.25">
      <c r="A55" s="357" t="s">
        <v>689</v>
      </c>
      <c r="B55" s="393" t="s">
        <v>3542</v>
      </c>
      <c r="C55" s="100" t="s">
        <v>489</v>
      </c>
      <c r="D55" s="97">
        <v>26573</v>
      </c>
      <c r="E55" s="97">
        <f t="shared" si="9"/>
        <v>47392</v>
      </c>
      <c r="F55" s="97">
        <f t="shared" si="8"/>
        <v>47423</v>
      </c>
      <c r="G55" s="97">
        <v>47423</v>
      </c>
      <c r="H55" s="97">
        <v>34851</v>
      </c>
      <c r="I55" s="206" t="s">
        <v>3243</v>
      </c>
      <c r="J55" s="198" t="s">
        <v>287</v>
      </c>
      <c r="K55" s="118" t="s">
        <v>281</v>
      </c>
      <c r="L55" s="97">
        <v>40725</v>
      </c>
      <c r="M55" s="117"/>
      <c r="N55" s="118" t="s">
        <v>74</v>
      </c>
      <c r="O55" s="119">
        <v>1.68</v>
      </c>
      <c r="P55" s="119"/>
      <c r="Q55" s="99"/>
      <c r="R55" s="314">
        <f t="shared" si="3"/>
        <v>8920800</v>
      </c>
      <c r="S55" s="314">
        <f>+P55*4410000</f>
        <v>0</v>
      </c>
      <c r="T55" s="314">
        <f t="shared" si="7"/>
        <v>0</v>
      </c>
      <c r="U55" s="314">
        <f t="shared" si="2"/>
        <v>8920800</v>
      </c>
      <c r="V55" s="314">
        <f>+VLOOKUP(A55,[2]Sheet1!$B$11:$J$400,9,0)</f>
        <v>6988800</v>
      </c>
      <c r="W55" s="315" t="s">
        <v>1771</v>
      </c>
      <c r="X55" s="99" t="s">
        <v>798</v>
      </c>
      <c r="Y55" s="99" t="str">
        <f>+VLOOKUP(A55,[3]Sheet1!$B$11:$I$388,8,0)</f>
        <v>54 - 016</v>
      </c>
      <c r="Z55" s="99" t="s">
        <v>1787</v>
      </c>
      <c r="AA55" s="99" t="s">
        <v>2984</v>
      </c>
      <c r="AB55" s="100">
        <v>221126263</v>
      </c>
      <c r="AC55" s="99">
        <f>+VALUE(AB55:AB396)</f>
        <v>221126263</v>
      </c>
      <c r="AD55" s="99" t="s">
        <v>1484</v>
      </c>
      <c r="AE55" s="99" t="s">
        <v>2427</v>
      </c>
      <c r="AF55" s="99" t="s">
        <v>1481</v>
      </c>
      <c r="AG55" s="316" t="s">
        <v>889</v>
      </c>
      <c r="AH55" s="251"/>
      <c r="AI55" s="251"/>
      <c r="AJ55" s="251"/>
      <c r="AK55" s="251" t="s">
        <v>3585</v>
      </c>
      <c r="AL55" s="251"/>
      <c r="AM55" s="251"/>
      <c r="AN55" s="251"/>
      <c r="AO55" s="251"/>
      <c r="AP55" s="251"/>
      <c r="AQ55" s="251"/>
      <c r="AR55" s="251"/>
      <c r="AS55" s="251" t="s">
        <v>2394</v>
      </c>
      <c r="AT55" s="251" t="s">
        <v>3487</v>
      </c>
      <c r="AU55" s="379"/>
      <c r="AV55" s="380"/>
    </row>
    <row r="56" spans="1:48" x14ac:dyDescent="0.25">
      <c r="A56" s="358" t="s">
        <v>115</v>
      </c>
      <c r="B56" s="393" t="s">
        <v>3542</v>
      </c>
      <c r="C56" s="100" t="s">
        <v>312</v>
      </c>
      <c r="D56" s="97">
        <v>30891</v>
      </c>
      <c r="E56" s="97">
        <f t="shared" si="9"/>
        <v>51710</v>
      </c>
      <c r="F56" s="97">
        <f t="shared" si="8"/>
        <v>51714</v>
      </c>
      <c r="G56" s="97">
        <v>51714</v>
      </c>
      <c r="H56" s="97">
        <v>39479</v>
      </c>
      <c r="I56" s="206" t="s">
        <v>3243</v>
      </c>
      <c r="J56" s="198" t="s">
        <v>287</v>
      </c>
      <c r="K56" s="118" t="s">
        <v>3313</v>
      </c>
      <c r="L56" s="97">
        <v>43344</v>
      </c>
      <c r="M56" s="204" t="s">
        <v>3239</v>
      </c>
      <c r="N56" s="204" t="s">
        <v>71</v>
      </c>
      <c r="O56" s="118">
        <v>1.68</v>
      </c>
      <c r="P56" s="119">
        <v>0.04</v>
      </c>
      <c r="Q56" s="99"/>
      <c r="R56" s="314">
        <f t="shared" si="3"/>
        <v>8920800</v>
      </c>
      <c r="S56" s="314">
        <f t="shared" ref="S56:S101" si="10">+P56*4960000</f>
        <v>198400</v>
      </c>
      <c r="T56" s="314">
        <f t="shared" si="7"/>
        <v>0</v>
      </c>
      <c r="U56" s="314">
        <f t="shared" si="2"/>
        <v>9119200</v>
      </c>
      <c r="V56" s="314">
        <f>+VLOOKUP(A56,[2]Sheet1!$B$11:$J$400,9,0)</f>
        <v>7441200</v>
      </c>
      <c r="W56" s="315" t="s">
        <v>1578</v>
      </c>
      <c r="X56" s="99" t="s">
        <v>942</v>
      </c>
      <c r="Y56" s="99" t="str">
        <f>+VLOOKUP(A56,[3]Sheet1!$B$11:$I$388,8,0)</f>
        <v>79 - 034</v>
      </c>
      <c r="Z56" s="99" t="s">
        <v>1787</v>
      </c>
      <c r="AA56" s="99" t="s">
        <v>2743</v>
      </c>
      <c r="AB56" s="100">
        <v>281295218</v>
      </c>
      <c r="AC56" s="99">
        <f>+VALUE(AB56:AB398)</f>
        <v>281295218</v>
      </c>
      <c r="AD56" s="99" t="s">
        <v>943</v>
      </c>
      <c r="AE56" s="99" t="s">
        <v>2427</v>
      </c>
      <c r="AF56" s="99" t="s">
        <v>944</v>
      </c>
      <c r="AG56" s="316" t="s">
        <v>945</v>
      </c>
      <c r="AH56" s="251"/>
      <c r="AI56" s="251" t="s">
        <v>3598</v>
      </c>
      <c r="AJ56" s="251"/>
      <c r="AK56" s="251"/>
      <c r="AL56" s="251"/>
      <c r="AM56" s="251"/>
      <c r="AN56" s="251"/>
      <c r="AO56" s="251"/>
      <c r="AP56" s="251"/>
      <c r="AQ56" s="251"/>
      <c r="AR56" s="251"/>
      <c r="AS56" s="251"/>
      <c r="AT56" s="251" t="s">
        <v>3487</v>
      </c>
      <c r="AU56" s="379"/>
      <c r="AV56" s="380"/>
    </row>
    <row r="57" spans="1:48" x14ac:dyDescent="0.25">
      <c r="A57" s="358" t="s">
        <v>1813</v>
      </c>
      <c r="B57" s="393" t="s">
        <v>3542</v>
      </c>
      <c r="C57" s="100" t="s">
        <v>335</v>
      </c>
      <c r="D57" s="97">
        <v>26679</v>
      </c>
      <c r="E57" s="97">
        <f t="shared" si="9"/>
        <v>47498</v>
      </c>
      <c r="F57" s="97">
        <f t="shared" si="8"/>
        <v>47515</v>
      </c>
      <c r="G57" s="97">
        <v>47515</v>
      </c>
      <c r="H57" s="97">
        <v>36220</v>
      </c>
      <c r="I57" s="206" t="s">
        <v>3243</v>
      </c>
      <c r="J57" s="198" t="s">
        <v>287</v>
      </c>
      <c r="K57" s="118" t="s">
        <v>281</v>
      </c>
      <c r="L57" s="97">
        <v>43344</v>
      </c>
      <c r="M57" s="204" t="s">
        <v>3239</v>
      </c>
      <c r="N57" s="204" t="s">
        <v>74</v>
      </c>
      <c r="O57" s="118">
        <v>1.68</v>
      </c>
      <c r="P57" s="119"/>
      <c r="Q57" s="99"/>
      <c r="R57" s="314">
        <f t="shared" si="3"/>
        <v>8920800</v>
      </c>
      <c r="S57" s="314">
        <f t="shared" si="10"/>
        <v>0</v>
      </c>
      <c r="T57" s="314">
        <f t="shared" si="7"/>
        <v>0</v>
      </c>
      <c r="U57" s="314">
        <f t="shared" si="2"/>
        <v>8920800</v>
      </c>
      <c r="V57" s="314">
        <f>+VLOOKUP(A57,[2]Sheet1!$B$11:$J$400,9,0)</f>
        <v>8377200</v>
      </c>
      <c r="W57" s="315" t="s">
        <v>1605</v>
      </c>
      <c r="X57" s="99" t="s">
        <v>859</v>
      </c>
      <c r="Y57" s="99" t="str">
        <f>+VLOOKUP(A57,[3]Sheet1!$B$11:$I$388,8,0)</f>
        <v>79 - 037</v>
      </c>
      <c r="Z57" s="99" t="s">
        <v>1787</v>
      </c>
      <c r="AA57" s="99" t="s">
        <v>2744</v>
      </c>
      <c r="AB57" s="100">
        <v>280944158</v>
      </c>
      <c r="AC57" s="99">
        <f>+VALUE(AB57:AB398)</f>
        <v>280944158</v>
      </c>
      <c r="AD57" s="99" t="s">
        <v>1033</v>
      </c>
      <c r="AE57" s="99" t="s">
        <v>2427</v>
      </c>
      <c r="AF57" s="99" t="s">
        <v>1034</v>
      </c>
      <c r="AG57" s="316" t="s">
        <v>1035</v>
      </c>
      <c r="AH57" s="251"/>
      <c r="AI57" s="251" t="s">
        <v>3597</v>
      </c>
      <c r="AJ57" s="251"/>
      <c r="AK57" s="251"/>
      <c r="AL57" s="251"/>
      <c r="AM57" s="251"/>
      <c r="AN57" s="251"/>
      <c r="AO57" s="251"/>
      <c r="AP57" s="251"/>
      <c r="AQ57" s="251"/>
      <c r="AR57" s="251"/>
      <c r="AS57" s="251"/>
      <c r="AT57" s="251" t="s">
        <v>3487</v>
      </c>
      <c r="AU57" s="379"/>
      <c r="AV57" s="380"/>
    </row>
    <row r="58" spans="1:48" x14ac:dyDescent="0.25">
      <c r="A58" s="355" t="s">
        <v>1816</v>
      </c>
      <c r="B58" s="393" t="s">
        <v>3542</v>
      </c>
      <c r="C58" s="100" t="s">
        <v>338</v>
      </c>
      <c r="D58" s="97">
        <v>25974</v>
      </c>
      <c r="E58" s="97">
        <f t="shared" si="9"/>
        <v>46793</v>
      </c>
      <c r="F58" s="97">
        <f t="shared" si="8"/>
        <v>46813</v>
      </c>
      <c r="G58" s="97">
        <v>46813</v>
      </c>
      <c r="H58" s="97">
        <v>34973</v>
      </c>
      <c r="I58" s="206" t="s">
        <v>3243</v>
      </c>
      <c r="J58" s="198" t="s">
        <v>287</v>
      </c>
      <c r="K58" s="118" t="s">
        <v>281</v>
      </c>
      <c r="L58" s="97">
        <v>42979</v>
      </c>
      <c r="M58" s="204"/>
      <c r="N58" s="204" t="s">
        <v>74</v>
      </c>
      <c r="O58" s="118">
        <v>1.68</v>
      </c>
      <c r="P58" s="119"/>
      <c r="Q58" s="99"/>
      <c r="R58" s="314">
        <f t="shared" si="3"/>
        <v>8920800</v>
      </c>
      <c r="S58" s="314">
        <f t="shared" si="10"/>
        <v>0</v>
      </c>
      <c r="T58" s="314">
        <f t="shared" si="7"/>
        <v>0</v>
      </c>
      <c r="U58" s="314">
        <f t="shared" si="2"/>
        <v>8920800</v>
      </c>
      <c r="V58" s="314">
        <f>+VLOOKUP(A58,[2]Sheet1!$B$11:$J$400,9,0)</f>
        <v>7909200</v>
      </c>
      <c r="W58" s="315" t="s">
        <v>1608</v>
      </c>
      <c r="X58" s="99" t="s">
        <v>1044</v>
      </c>
      <c r="Y58" s="99" t="str">
        <f>+VLOOKUP(A58,[3]Sheet1!$B$11:$I$388,8,0)</f>
        <v>75 - 003</v>
      </c>
      <c r="Z58" s="99" t="s">
        <v>1787</v>
      </c>
      <c r="AA58" s="99" t="s">
        <v>2745</v>
      </c>
      <c r="AB58" s="100">
        <v>271789859</v>
      </c>
      <c r="AC58" s="99">
        <f>+VALUE(AB58:AB398)</f>
        <v>271789859</v>
      </c>
      <c r="AD58" s="99" t="s">
        <v>1045</v>
      </c>
      <c r="AE58" s="99" t="s">
        <v>2427</v>
      </c>
      <c r="AF58" s="99" t="s">
        <v>2104</v>
      </c>
      <c r="AG58" s="316" t="s">
        <v>1046</v>
      </c>
      <c r="AH58" s="251"/>
      <c r="AI58" s="251" t="s">
        <v>3599</v>
      </c>
      <c r="AJ58" s="251"/>
      <c r="AK58" s="251"/>
      <c r="AL58" s="251"/>
      <c r="AM58" s="251"/>
      <c r="AN58" s="251"/>
      <c r="AO58" s="251"/>
      <c r="AP58" s="251"/>
      <c r="AQ58" s="251"/>
      <c r="AR58" s="251"/>
      <c r="AS58" s="251"/>
      <c r="AT58" s="251" t="s">
        <v>3487</v>
      </c>
      <c r="AU58" s="379"/>
      <c r="AV58" s="380"/>
    </row>
    <row r="59" spans="1:48" x14ac:dyDescent="0.25">
      <c r="A59" s="355" t="s">
        <v>98</v>
      </c>
      <c r="B59" s="393" t="s">
        <v>3542</v>
      </c>
      <c r="C59" s="100" t="s">
        <v>155</v>
      </c>
      <c r="D59" s="97">
        <v>27921</v>
      </c>
      <c r="E59" s="97">
        <f>+DATE(YEAR(D59)+62,MONTH(D59),DAY(D59))</f>
        <v>50566</v>
      </c>
      <c r="F59" s="97">
        <f t="shared" si="8"/>
        <v>50587</v>
      </c>
      <c r="G59" s="97">
        <f>+VLOOKUP(A59,'[1]DATA 06.2023'!$E$2:$J$390,6,0)</f>
        <v>50587</v>
      </c>
      <c r="H59" s="97">
        <v>34851</v>
      </c>
      <c r="I59" s="206" t="s">
        <v>715</v>
      </c>
      <c r="J59" s="207" t="s">
        <v>41</v>
      </c>
      <c r="K59" s="118" t="s">
        <v>278</v>
      </c>
      <c r="L59" s="97">
        <v>42370</v>
      </c>
      <c r="M59" s="204" t="s">
        <v>1514</v>
      </c>
      <c r="N59" s="238" t="s">
        <v>74</v>
      </c>
      <c r="O59" s="119">
        <v>1.89</v>
      </c>
      <c r="P59" s="119">
        <v>0.25</v>
      </c>
      <c r="Q59" s="99"/>
      <c r="R59" s="314">
        <f t="shared" si="3"/>
        <v>10035900</v>
      </c>
      <c r="S59" s="314">
        <f t="shared" si="10"/>
        <v>1240000</v>
      </c>
      <c r="T59" s="314">
        <f t="shared" si="7"/>
        <v>0</v>
      </c>
      <c r="U59" s="314">
        <f t="shared" si="2"/>
        <v>11275900</v>
      </c>
      <c r="V59" s="314">
        <f>+VLOOKUP(A59,[2]Sheet1!$B$11:$J$400,9,0)</f>
        <v>10015200</v>
      </c>
      <c r="W59" s="315" t="s">
        <v>1557</v>
      </c>
      <c r="X59" s="99" t="s">
        <v>859</v>
      </c>
      <c r="Y59" s="99" t="str">
        <f>+VLOOKUP(A59,[3]Sheet1!$B$11:$I$388,8,0)</f>
        <v>79 - 034</v>
      </c>
      <c r="Z59" s="99" t="s">
        <v>1792</v>
      </c>
      <c r="AA59" s="99" t="s">
        <v>2759</v>
      </c>
      <c r="AB59" s="100" t="s">
        <v>860</v>
      </c>
      <c r="AC59" s="99">
        <f>+VALUE(AB59:AB426)</f>
        <v>264418886</v>
      </c>
      <c r="AD59" s="99" t="s">
        <v>861</v>
      </c>
      <c r="AE59" s="99" t="s">
        <v>2427</v>
      </c>
      <c r="AF59" s="99" t="s">
        <v>862</v>
      </c>
      <c r="AG59" s="316" t="s">
        <v>863</v>
      </c>
      <c r="AH59" s="251"/>
      <c r="AI59" s="251" t="s">
        <v>3569</v>
      </c>
      <c r="AJ59" s="251"/>
      <c r="AK59" s="251"/>
      <c r="AL59" s="251"/>
      <c r="AM59" s="251"/>
      <c r="AN59" s="251"/>
      <c r="AO59" s="251"/>
      <c r="AP59" s="251"/>
      <c r="AQ59" s="251"/>
      <c r="AR59" s="251"/>
      <c r="AS59" s="321" t="s">
        <v>2154</v>
      </c>
      <c r="AT59" s="251" t="s">
        <v>3489</v>
      </c>
      <c r="AU59" s="379"/>
      <c r="AV59" s="380"/>
    </row>
    <row r="60" spans="1:48" x14ac:dyDescent="0.25">
      <c r="A60" s="357" t="s">
        <v>162</v>
      </c>
      <c r="B60" s="393" t="s">
        <v>3542</v>
      </c>
      <c r="C60" s="100" t="s">
        <v>369</v>
      </c>
      <c r="D60" s="97">
        <v>27693</v>
      </c>
      <c r="E60" s="97">
        <f>+DATE(YEAR(D60)+62,MONTH(D60),DAY(D60))</f>
        <v>50339</v>
      </c>
      <c r="F60" s="97">
        <f>+EOMONTH(E60,0)+1</f>
        <v>50345</v>
      </c>
      <c r="G60" s="97">
        <f>+VLOOKUP(A60,'[1]DATA 06.2023'!$E$2:$J$390,6,0)</f>
        <v>50345</v>
      </c>
      <c r="H60" s="97">
        <v>34973</v>
      </c>
      <c r="I60" s="206" t="s">
        <v>715</v>
      </c>
      <c r="J60" s="207" t="s">
        <v>41</v>
      </c>
      <c r="K60" s="118" t="s">
        <v>33</v>
      </c>
      <c r="L60" s="97">
        <v>41821</v>
      </c>
      <c r="M60" s="262" t="s">
        <v>1514</v>
      </c>
      <c r="N60" s="117" t="s">
        <v>74</v>
      </c>
      <c r="O60" s="119">
        <v>1.89</v>
      </c>
      <c r="P60" s="119">
        <v>0.25</v>
      </c>
      <c r="Q60" s="99"/>
      <c r="R60" s="314">
        <f>+O60*5310000</f>
        <v>10035900</v>
      </c>
      <c r="S60" s="314">
        <f t="shared" si="10"/>
        <v>1240000</v>
      </c>
      <c r="T60" s="314">
        <f t="shared" si="7"/>
        <v>0</v>
      </c>
      <c r="U60" s="314">
        <f>+R60+S60+T60</f>
        <v>11275900</v>
      </c>
      <c r="V60" s="314">
        <f>+VLOOKUP(A60,[2]Sheet1!$B$11:$J$400,9,0)</f>
        <v>7862400</v>
      </c>
      <c r="W60" s="315" t="s">
        <v>1640</v>
      </c>
      <c r="X60" s="99" t="s">
        <v>820</v>
      </c>
      <c r="Y60" s="99" t="str">
        <f>+VLOOKUP(A60,[3]Sheet1!$B$11:$I$388,8,0)</f>
        <v>58 - 114</v>
      </c>
      <c r="Z60" s="99" t="s">
        <v>33</v>
      </c>
      <c r="AA60" s="201" t="s">
        <v>3082</v>
      </c>
      <c r="AB60" s="100" t="s">
        <v>2436</v>
      </c>
      <c r="AC60" s="99">
        <f>+VALUE(AB10:AB582)</f>
        <v>264050795</v>
      </c>
      <c r="AD60" s="99" t="s">
        <v>1139</v>
      </c>
      <c r="AE60" s="99" t="s">
        <v>2427</v>
      </c>
      <c r="AF60" s="99" t="s">
        <v>1140</v>
      </c>
      <c r="AG60" s="316" t="s">
        <v>548</v>
      </c>
      <c r="AH60" s="251"/>
      <c r="AI60" s="251" t="s">
        <v>3597</v>
      </c>
      <c r="AJ60" s="251"/>
      <c r="AK60" s="251"/>
      <c r="AL60" s="251"/>
      <c r="AM60" s="251"/>
      <c r="AN60" s="251"/>
      <c r="AO60" s="251"/>
      <c r="AP60" s="251"/>
      <c r="AQ60" s="251"/>
      <c r="AR60" s="251"/>
      <c r="AS60" s="251" t="s">
        <v>2240</v>
      </c>
      <c r="AT60" s="251" t="s">
        <v>3489</v>
      </c>
      <c r="AU60" s="379"/>
      <c r="AV60" s="380"/>
    </row>
    <row r="61" spans="1:48" x14ac:dyDescent="0.25">
      <c r="A61" s="357" t="s">
        <v>166</v>
      </c>
      <c r="B61" s="393" t="s">
        <v>3542</v>
      </c>
      <c r="C61" s="100" t="s">
        <v>373</v>
      </c>
      <c r="D61" s="97">
        <v>27182</v>
      </c>
      <c r="E61" s="97">
        <f>+DATE(YEAR(D61)+62,MONTH(D61),DAY(D61))</f>
        <v>49828</v>
      </c>
      <c r="F61" s="97">
        <f t="shared" si="8"/>
        <v>49857</v>
      </c>
      <c r="G61" s="97">
        <f>+VLOOKUP(A61,'[1]DATA 06.2023'!$E$2:$J$390,6,0)</f>
        <v>48030</v>
      </c>
      <c r="H61" s="97">
        <v>34639</v>
      </c>
      <c r="I61" s="206" t="s">
        <v>715</v>
      </c>
      <c r="J61" s="207" t="s">
        <v>43</v>
      </c>
      <c r="K61" s="118" t="s">
        <v>279</v>
      </c>
      <c r="L61" s="97">
        <v>41091</v>
      </c>
      <c r="M61" s="204"/>
      <c r="N61" s="329" t="s">
        <v>71</v>
      </c>
      <c r="O61" s="118">
        <v>1.69</v>
      </c>
      <c r="P61" s="119"/>
      <c r="Q61" s="99"/>
      <c r="R61" s="314">
        <f t="shared" si="3"/>
        <v>8973900</v>
      </c>
      <c r="S61" s="314">
        <f t="shared" si="10"/>
        <v>0</v>
      </c>
      <c r="T61" s="314">
        <f t="shared" si="7"/>
        <v>0</v>
      </c>
      <c r="U61" s="314">
        <f t="shared" si="2"/>
        <v>8973900</v>
      </c>
      <c r="V61" s="314">
        <f>+VLOOKUP(A61,[2]Sheet1!$B$11:$J$400,9,0)</f>
        <v>7909200</v>
      </c>
      <c r="W61" s="315" t="s">
        <v>1644</v>
      </c>
      <c r="X61" s="99" t="s">
        <v>899</v>
      </c>
      <c r="Y61" s="99" t="str">
        <f>+VLOOKUP(A61,[3]Sheet1!$B$11:$I$388,8,0)</f>
        <v>79 - 034</v>
      </c>
      <c r="Z61" s="99" t="s">
        <v>1793</v>
      </c>
      <c r="AA61" s="99" t="s">
        <v>2778</v>
      </c>
      <c r="AB61" s="100" t="s">
        <v>2431</v>
      </c>
      <c r="AC61" s="99" t="e">
        <f>+VALUE(AB78:AB442)</f>
        <v>#VALUE!</v>
      </c>
      <c r="AD61" s="99" t="s">
        <v>1147</v>
      </c>
      <c r="AE61" s="99" t="s">
        <v>2427</v>
      </c>
      <c r="AF61" s="99" t="s">
        <v>1148</v>
      </c>
      <c r="AG61" s="316" t="s">
        <v>548</v>
      </c>
      <c r="AH61" s="251"/>
      <c r="AI61" s="251" t="s">
        <v>3570</v>
      </c>
      <c r="AJ61" s="251"/>
      <c r="AK61" s="251"/>
      <c r="AL61" s="251"/>
      <c r="AM61" s="251"/>
      <c r="AN61" s="251"/>
      <c r="AO61" s="251"/>
      <c r="AP61" s="251"/>
      <c r="AQ61" s="251"/>
      <c r="AR61" s="251"/>
      <c r="AS61" s="321" t="s">
        <v>2168</v>
      </c>
      <c r="AT61" s="251" t="s">
        <v>3489</v>
      </c>
      <c r="AU61" s="379"/>
      <c r="AV61" s="380"/>
    </row>
    <row r="62" spans="1:48" x14ac:dyDescent="0.25">
      <c r="A62" s="354" t="s">
        <v>133</v>
      </c>
      <c r="B62" s="393" t="s">
        <v>3542</v>
      </c>
      <c r="C62" s="100" t="s">
        <v>343</v>
      </c>
      <c r="D62" s="97">
        <v>34090</v>
      </c>
      <c r="E62" s="97">
        <f>+DATE(YEAR(D62)+57,MONTH(D62),DAY(D62))</f>
        <v>54909</v>
      </c>
      <c r="F62" s="97">
        <f t="shared" si="8"/>
        <v>54940</v>
      </c>
      <c r="G62" s="97">
        <v>54940</v>
      </c>
      <c r="H62" s="97">
        <v>41671</v>
      </c>
      <c r="I62" s="206" t="s">
        <v>715</v>
      </c>
      <c r="J62" s="207" t="s">
        <v>43</v>
      </c>
      <c r="K62" s="118" t="s">
        <v>279</v>
      </c>
      <c r="L62" s="97">
        <v>42370</v>
      </c>
      <c r="M62" s="204"/>
      <c r="N62" s="331" t="s">
        <v>71</v>
      </c>
      <c r="O62" s="118">
        <v>1.5</v>
      </c>
      <c r="P62" s="119"/>
      <c r="Q62" s="99"/>
      <c r="R62" s="314">
        <f t="shared" si="3"/>
        <v>7965000</v>
      </c>
      <c r="S62" s="314">
        <f t="shared" si="10"/>
        <v>0</v>
      </c>
      <c r="T62" s="314">
        <f t="shared" si="7"/>
        <v>0</v>
      </c>
      <c r="U62" s="314">
        <f t="shared" si="2"/>
        <v>7965000</v>
      </c>
      <c r="V62" s="314">
        <f>+VLOOKUP(A62,[2]Sheet1!$B$11:$J$400,9,0)</f>
        <v>6973200</v>
      </c>
      <c r="W62" s="315" t="s">
        <v>1613</v>
      </c>
      <c r="X62" s="99" t="s">
        <v>934</v>
      </c>
      <c r="Y62" s="99" t="str">
        <f>+VLOOKUP(A62,[3]Sheet1!$B$11:$I$388,8,0)</f>
        <v>79 - 025</v>
      </c>
      <c r="Z62" s="99" t="s">
        <v>1793</v>
      </c>
      <c r="AA62" s="99" t="s">
        <v>2799</v>
      </c>
      <c r="AB62" s="100">
        <v>173793269</v>
      </c>
      <c r="AC62" s="99">
        <f>+VALUE(AB36:AB492)</f>
        <v>173793269</v>
      </c>
      <c r="AD62" s="99" t="s">
        <v>1061</v>
      </c>
      <c r="AE62" s="99" t="s">
        <v>2427</v>
      </c>
      <c r="AF62" s="99" t="s">
        <v>1063</v>
      </c>
      <c r="AG62" s="316" t="s">
        <v>1064</v>
      </c>
      <c r="AH62" s="251"/>
      <c r="AI62" s="251"/>
      <c r="AJ62" s="251"/>
      <c r="AK62" s="251"/>
      <c r="AL62" s="251" t="s">
        <v>3592</v>
      </c>
      <c r="AM62" s="251"/>
      <c r="AN62" s="251"/>
      <c r="AO62" s="251"/>
      <c r="AP62" s="251"/>
      <c r="AQ62" s="251"/>
      <c r="AR62" s="251"/>
      <c r="AS62" s="321" t="s">
        <v>2424</v>
      </c>
      <c r="AT62" s="251" t="s">
        <v>3489</v>
      </c>
      <c r="AU62" s="379"/>
      <c r="AV62" s="380"/>
    </row>
    <row r="63" spans="1:48" ht="24" x14ac:dyDescent="0.25">
      <c r="A63" s="357" t="s">
        <v>1870</v>
      </c>
      <c r="B63" s="393" t="s">
        <v>3542</v>
      </c>
      <c r="C63" s="100" t="s">
        <v>156</v>
      </c>
      <c r="D63" s="97">
        <v>29794</v>
      </c>
      <c r="E63" s="97">
        <f>+DATE(YEAR(D63)+62,MONTH(D63),DAY(D63))</f>
        <v>52439</v>
      </c>
      <c r="F63" s="97">
        <f t="shared" si="8"/>
        <v>52444</v>
      </c>
      <c r="G63" s="97">
        <f>+VLOOKUP(A63,'[1]DATA 06.2023'!$E$2:$J$390,6,0)</f>
        <v>52444</v>
      </c>
      <c r="H63" s="97">
        <v>36861</v>
      </c>
      <c r="I63" s="206" t="s">
        <v>715</v>
      </c>
      <c r="J63" s="207" t="s">
        <v>43</v>
      </c>
      <c r="K63" s="118" t="s">
        <v>280</v>
      </c>
      <c r="L63" s="97">
        <v>44378</v>
      </c>
      <c r="M63" s="204" t="s">
        <v>2412</v>
      </c>
      <c r="N63" s="204" t="s">
        <v>74</v>
      </c>
      <c r="O63" s="119">
        <v>1.89</v>
      </c>
      <c r="P63" s="119"/>
      <c r="Q63" s="99"/>
      <c r="R63" s="314">
        <f t="shared" si="3"/>
        <v>10035900</v>
      </c>
      <c r="S63" s="314">
        <f t="shared" si="10"/>
        <v>0</v>
      </c>
      <c r="T63" s="314">
        <f t="shared" si="7"/>
        <v>0</v>
      </c>
      <c r="U63" s="314">
        <f t="shared" si="2"/>
        <v>10035900</v>
      </c>
      <c r="V63" s="314">
        <f>+VLOOKUP(A63,[2]Sheet1!$B$11:$J$400,9,0)</f>
        <v>8377200</v>
      </c>
      <c r="W63" s="315" t="s">
        <v>1558</v>
      </c>
      <c r="X63" s="99" t="s">
        <v>864</v>
      </c>
      <c r="Y63" s="99" t="str">
        <f>+VLOOKUP(A63,[3]Sheet1!$B$11:$I$388,8,0)</f>
        <v>79 - 034</v>
      </c>
      <c r="Z63" s="99" t="s">
        <v>40</v>
      </c>
      <c r="AA63" s="99" t="s">
        <v>2761</v>
      </c>
      <c r="AB63" s="100" t="s">
        <v>865</v>
      </c>
      <c r="AC63" s="99">
        <f>+VALUE(AB63:AB428)</f>
        <v>162414035</v>
      </c>
      <c r="AD63" s="99" t="s">
        <v>866</v>
      </c>
      <c r="AE63" s="99" t="s">
        <v>2427</v>
      </c>
      <c r="AF63" s="99" t="s">
        <v>868</v>
      </c>
      <c r="AG63" s="316" t="s">
        <v>747</v>
      </c>
      <c r="AH63" s="251"/>
      <c r="AI63" s="318" t="s">
        <v>3600</v>
      </c>
      <c r="AJ63" s="251"/>
      <c r="AK63" s="251"/>
      <c r="AL63" s="251"/>
      <c r="AM63" s="251"/>
      <c r="AN63" s="251"/>
      <c r="AO63" s="251"/>
      <c r="AP63" s="251"/>
      <c r="AQ63" s="251"/>
      <c r="AR63" s="251"/>
      <c r="AS63" s="321" t="s">
        <v>2156</v>
      </c>
      <c r="AT63" s="251" t="s">
        <v>3489</v>
      </c>
      <c r="AU63" s="379"/>
      <c r="AV63" s="380"/>
    </row>
    <row r="64" spans="1:48" x14ac:dyDescent="0.25">
      <c r="A64" s="355" t="s">
        <v>100</v>
      </c>
      <c r="B64" s="393" t="s">
        <v>3542</v>
      </c>
      <c r="C64" s="100" t="s">
        <v>158</v>
      </c>
      <c r="D64" s="97">
        <v>26938</v>
      </c>
      <c r="E64" s="97">
        <f>+DATE(YEAR(D64)+62,MONTH(D64),DAY(D64))</f>
        <v>49583</v>
      </c>
      <c r="F64" s="97">
        <f t="shared" si="8"/>
        <v>49614</v>
      </c>
      <c r="G64" s="97">
        <f>+VLOOKUP(A64,'[1]DATA 06.2023'!$E$2:$J$390,6,0)</f>
        <v>49614</v>
      </c>
      <c r="H64" s="97">
        <v>42248</v>
      </c>
      <c r="I64" s="206" t="s">
        <v>715</v>
      </c>
      <c r="J64" s="207" t="s">
        <v>43</v>
      </c>
      <c r="K64" s="118" t="s">
        <v>36</v>
      </c>
      <c r="L64" s="97">
        <v>43101</v>
      </c>
      <c r="M64" s="204" t="s">
        <v>3255</v>
      </c>
      <c r="N64" s="204" t="s">
        <v>71</v>
      </c>
      <c r="O64" s="118">
        <v>1.69</v>
      </c>
      <c r="P64" s="119"/>
      <c r="Q64" s="99"/>
      <c r="R64" s="314">
        <f t="shared" si="3"/>
        <v>8973900</v>
      </c>
      <c r="S64" s="314">
        <f t="shared" si="10"/>
        <v>0</v>
      </c>
      <c r="T64" s="314">
        <f t="shared" si="7"/>
        <v>0</v>
      </c>
      <c r="U64" s="314">
        <f t="shared" si="2"/>
        <v>8973900</v>
      </c>
      <c r="V64" s="314">
        <f>+VLOOKUP(A64,[2]Sheet1!$B$11:$J$400,9,0)</f>
        <v>7909200</v>
      </c>
      <c r="W64" s="315" t="s">
        <v>1560</v>
      </c>
      <c r="X64" s="99" t="s">
        <v>872</v>
      </c>
      <c r="Y64" s="99" t="str">
        <f>+VLOOKUP(A64,[3]Sheet1!$B$11:$I$388,8,0)</f>
        <v>79 - 037</v>
      </c>
      <c r="Z64" s="99" t="s">
        <v>36</v>
      </c>
      <c r="AA64" s="99" t="s">
        <v>873</v>
      </c>
      <c r="AB64" s="100" t="s">
        <v>873</v>
      </c>
      <c r="AC64" s="99">
        <f>+VALUE(AB64:AB430)</f>
        <v>25073000269</v>
      </c>
      <c r="AD64" s="99" t="s">
        <v>874</v>
      </c>
      <c r="AE64" s="99" t="s">
        <v>2427</v>
      </c>
      <c r="AF64" s="99" t="s">
        <v>875</v>
      </c>
      <c r="AG64" s="316" t="s">
        <v>876</v>
      </c>
      <c r="AH64" s="251"/>
      <c r="AI64" s="251" t="s">
        <v>3579</v>
      </c>
      <c r="AJ64" s="251"/>
      <c r="AK64" s="251"/>
      <c r="AL64" s="251"/>
      <c r="AM64" s="251"/>
      <c r="AN64" s="251"/>
      <c r="AO64" s="251"/>
      <c r="AP64" s="251"/>
      <c r="AQ64" s="251"/>
      <c r="AR64" s="251"/>
      <c r="AS64" s="321" t="s">
        <v>2158</v>
      </c>
      <c r="AT64" s="251" t="s">
        <v>3489</v>
      </c>
      <c r="AU64" s="379"/>
      <c r="AV64" s="380"/>
    </row>
    <row r="65" spans="1:48" x14ac:dyDescent="0.25">
      <c r="A65" s="357" t="s">
        <v>3372</v>
      </c>
      <c r="B65" s="393" t="s">
        <v>3542</v>
      </c>
      <c r="C65" s="100" t="s">
        <v>3380</v>
      </c>
      <c r="D65" s="97">
        <v>37576</v>
      </c>
      <c r="E65" s="97">
        <f t="shared" ref="E65:E71" si="11">+DATE(YEAR(D65)+57,MONTH(D65),DAY(D65))</f>
        <v>58395</v>
      </c>
      <c r="F65" s="97">
        <f>+EOMONTH(E65,0)+1</f>
        <v>58410</v>
      </c>
      <c r="G65" s="97">
        <v>58107</v>
      </c>
      <c r="H65" s="97">
        <v>45748</v>
      </c>
      <c r="I65" s="206" t="s">
        <v>715</v>
      </c>
      <c r="J65" s="207" t="s">
        <v>43</v>
      </c>
      <c r="K65" s="118" t="s">
        <v>36</v>
      </c>
      <c r="L65" s="97">
        <v>45748</v>
      </c>
      <c r="M65" s="204"/>
      <c r="N65" s="204" t="s">
        <v>73</v>
      </c>
      <c r="O65" s="118">
        <v>1.5</v>
      </c>
      <c r="P65" s="119"/>
      <c r="Q65" s="99"/>
      <c r="R65" s="314">
        <f>+O65*5310000</f>
        <v>7965000</v>
      </c>
      <c r="S65" s="314">
        <f>+P65*4960000</f>
        <v>0</v>
      </c>
      <c r="T65" s="314">
        <f>+Q65*2340000</f>
        <v>0</v>
      </c>
      <c r="U65" s="314">
        <f>+R65+S65+T65</f>
        <v>7965000</v>
      </c>
      <c r="V65" s="314"/>
      <c r="W65" s="319">
        <v>5221634921</v>
      </c>
      <c r="X65" s="99" t="s">
        <v>3385</v>
      </c>
      <c r="Y65" s="99"/>
      <c r="Z65" s="99" t="s">
        <v>36</v>
      </c>
      <c r="AA65" s="223" t="s">
        <v>3381</v>
      </c>
      <c r="AB65" s="100"/>
      <c r="AC65" s="99"/>
      <c r="AD65" s="205"/>
      <c r="AE65" s="99" t="s">
        <v>2427</v>
      </c>
      <c r="AF65" s="99" t="s">
        <v>3382</v>
      </c>
      <c r="AG65" s="251"/>
      <c r="AH65" s="251"/>
      <c r="AI65" s="251" t="s">
        <v>3601</v>
      </c>
      <c r="AJ65" s="251"/>
      <c r="AK65" s="251"/>
      <c r="AL65" s="251"/>
      <c r="AM65" s="247">
        <v>45717</v>
      </c>
      <c r="AN65" s="251"/>
      <c r="AO65" s="247">
        <v>45748</v>
      </c>
      <c r="AP65" s="251"/>
      <c r="AQ65" s="251"/>
      <c r="AR65" s="247"/>
      <c r="AS65" s="321"/>
      <c r="AT65" s="251" t="s">
        <v>3489</v>
      </c>
      <c r="AU65" s="379"/>
      <c r="AV65" s="380"/>
    </row>
    <row r="66" spans="1:48" ht="24" x14ac:dyDescent="0.25">
      <c r="A66" s="355" t="s">
        <v>101</v>
      </c>
      <c r="B66" s="393" t="s">
        <v>3542</v>
      </c>
      <c r="C66" s="100" t="s">
        <v>159</v>
      </c>
      <c r="D66" s="97">
        <v>27785</v>
      </c>
      <c r="E66" s="97">
        <f t="shared" si="11"/>
        <v>48605</v>
      </c>
      <c r="F66" s="97">
        <f t="shared" si="8"/>
        <v>48611</v>
      </c>
      <c r="G66" s="97">
        <v>48611</v>
      </c>
      <c r="H66" s="97">
        <v>36982</v>
      </c>
      <c r="I66" s="206" t="s">
        <v>3299</v>
      </c>
      <c r="J66" s="198" t="s">
        <v>287</v>
      </c>
      <c r="K66" s="118" t="s">
        <v>37</v>
      </c>
      <c r="L66" s="97">
        <v>41091</v>
      </c>
      <c r="M66" s="204"/>
      <c r="N66" s="204" t="s">
        <v>74</v>
      </c>
      <c r="O66" s="118">
        <v>1.68</v>
      </c>
      <c r="P66" s="119">
        <v>0.06</v>
      </c>
      <c r="Q66" s="99"/>
      <c r="R66" s="314">
        <f t="shared" si="3"/>
        <v>8920800</v>
      </c>
      <c r="S66" s="314">
        <f t="shared" si="10"/>
        <v>297600</v>
      </c>
      <c r="T66" s="314">
        <f t="shared" si="7"/>
        <v>0</v>
      </c>
      <c r="U66" s="314">
        <f t="shared" si="2"/>
        <v>9218400</v>
      </c>
      <c r="V66" s="314">
        <f>+VLOOKUP(A66,[2]Sheet1!$B$11:$J$400,9,0)</f>
        <v>8143200</v>
      </c>
      <c r="W66" s="315" t="s">
        <v>1561</v>
      </c>
      <c r="X66" s="99" t="s">
        <v>859</v>
      </c>
      <c r="Y66" s="99" t="str">
        <f>+VLOOKUP(A66,[3]Sheet1!$B$11:$I$388,8,0)</f>
        <v>79 - 036</v>
      </c>
      <c r="Z66" s="99" t="s">
        <v>1787</v>
      </c>
      <c r="AA66" s="99" t="s">
        <v>2762</v>
      </c>
      <c r="AB66" s="100" t="s">
        <v>877</v>
      </c>
      <c r="AC66" s="99">
        <f>+VALUE(AB66:AB431)</f>
        <v>271693610</v>
      </c>
      <c r="AD66" s="99" t="s">
        <v>878</v>
      </c>
      <c r="AE66" s="99" t="s">
        <v>2427</v>
      </c>
      <c r="AF66" s="99" t="s">
        <v>879</v>
      </c>
      <c r="AG66" s="316" t="s">
        <v>760</v>
      </c>
      <c r="AH66" s="251"/>
      <c r="AI66" s="251"/>
      <c r="AJ66" s="251"/>
      <c r="AK66" s="251" t="s">
        <v>3585</v>
      </c>
      <c r="AL66" s="251"/>
      <c r="AM66" s="251"/>
      <c r="AN66" s="251"/>
      <c r="AO66" s="251"/>
      <c r="AP66" s="251"/>
      <c r="AQ66" s="251"/>
      <c r="AR66" s="251"/>
      <c r="AS66" s="321" t="s">
        <v>2159</v>
      </c>
      <c r="AT66" s="251" t="s">
        <v>3489</v>
      </c>
      <c r="AU66" s="379"/>
      <c r="AV66" s="380"/>
    </row>
    <row r="67" spans="1:48" ht="24" x14ac:dyDescent="0.25">
      <c r="A67" s="355" t="s">
        <v>102</v>
      </c>
      <c r="B67" s="393" t="s">
        <v>3542</v>
      </c>
      <c r="C67" s="100" t="s">
        <v>297</v>
      </c>
      <c r="D67" s="97">
        <v>32259</v>
      </c>
      <c r="E67" s="97">
        <f t="shared" si="11"/>
        <v>53078</v>
      </c>
      <c r="F67" s="97">
        <f t="shared" si="8"/>
        <v>53083</v>
      </c>
      <c r="G67" s="97">
        <v>53083</v>
      </c>
      <c r="H67" s="97">
        <v>41671</v>
      </c>
      <c r="I67" s="206" t="s">
        <v>3299</v>
      </c>
      <c r="J67" s="198" t="s">
        <v>287</v>
      </c>
      <c r="K67" s="199" t="s">
        <v>281</v>
      </c>
      <c r="L67" s="204" t="s">
        <v>3238</v>
      </c>
      <c r="M67" s="204"/>
      <c r="N67" s="204" t="s">
        <v>76</v>
      </c>
      <c r="O67" s="118">
        <v>1.58</v>
      </c>
      <c r="P67" s="119"/>
      <c r="Q67" s="99"/>
      <c r="R67" s="314">
        <f t="shared" si="3"/>
        <v>8389800</v>
      </c>
      <c r="S67" s="314">
        <f t="shared" si="10"/>
        <v>0</v>
      </c>
      <c r="T67" s="314">
        <f t="shared" si="7"/>
        <v>0</v>
      </c>
      <c r="U67" s="314">
        <f t="shared" si="2"/>
        <v>8389800</v>
      </c>
      <c r="V67" s="314">
        <f>+VLOOKUP(A67,[2]Sheet1!$B$11:$J$400,9,0)</f>
        <v>6973200</v>
      </c>
      <c r="W67" s="315" t="s">
        <v>1562</v>
      </c>
      <c r="X67" s="99" t="s">
        <v>880</v>
      </c>
      <c r="Y67" s="99" t="str">
        <f>+VLOOKUP(A67,[3]Sheet1!$B$11:$I$388,8,0)</f>
        <v>79 - 034</v>
      </c>
      <c r="Z67" s="99" t="s">
        <v>1787</v>
      </c>
      <c r="AA67" s="99" t="s">
        <v>2098</v>
      </c>
      <c r="AB67" s="100" t="s">
        <v>2098</v>
      </c>
      <c r="AC67" s="99">
        <f>+VALUE(AB67:AB433)</f>
        <v>1088025295</v>
      </c>
      <c r="AD67" s="201" t="s">
        <v>2099</v>
      </c>
      <c r="AE67" s="99" t="s">
        <v>2427</v>
      </c>
      <c r="AF67" s="99" t="s">
        <v>881</v>
      </c>
      <c r="AG67" s="316" t="s">
        <v>1839</v>
      </c>
      <c r="AH67" s="251"/>
      <c r="AI67" s="251"/>
      <c r="AJ67" s="251" t="s">
        <v>3602</v>
      </c>
      <c r="AK67" s="251"/>
      <c r="AL67" s="251"/>
      <c r="AM67" s="251"/>
      <c r="AN67" s="251"/>
      <c r="AO67" s="251"/>
      <c r="AP67" s="251"/>
      <c r="AQ67" s="251"/>
      <c r="AR67" s="251"/>
      <c r="AS67" s="321" t="s">
        <v>2160</v>
      </c>
      <c r="AT67" s="251" t="s">
        <v>3489</v>
      </c>
      <c r="AU67" s="379"/>
      <c r="AV67" s="380"/>
    </row>
    <row r="68" spans="1:48" ht="24" x14ac:dyDescent="0.25">
      <c r="A68" s="355" t="s">
        <v>113</v>
      </c>
      <c r="B68" s="393" t="s">
        <v>3542</v>
      </c>
      <c r="C68" s="100" t="s">
        <v>310</v>
      </c>
      <c r="D68" s="97">
        <v>30442</v>
      </c>
      <c r="E68" s="97">
        <f t="shared" si="11"/>
        <v>51262</v>
      </c>
      <c r="F68" s="97">
        <f t="shared" si="8"/>
        <v>51288</v>
      </c>
      <c r="G68" s="97">
        <v>51288</v>
      </c>
      <c r="H68" s="97">
        <v>41671</v>
      </c>
      <c r="I68" s="206" t="s">
        <v>3299</v>
      </c>
      <c r="J68" s="198" t="s">
        <v>287</v>
      </c>
      <c r="K68" s="118" t="s">
        <v>281</v>
      </c>
      <c r="L68" s="204" t="s">
        <v>3238</v>
      </c>
      <c r="M68" s="204"/>
      <c r="N68" s="204" t="s">
        <v>76</v>
      </c>
      <c r="O68" s="118">
        <v>1.58</v>
      </c>
      <c r="P68" s="119"/>
      <c r="Q68" s="99"/>
      <c r="R68" s="314">
        <f t="shared" si="3"/>
        <v>8389800</v>
      </c>
      <c r="S68" s="314">
        <f t="shared" si="10"/>
        <v>0</v>
      </c>
      <c r="T68" s="314">
        <f t="shared" si="7"/>
        <v>0</v>
      </c>
      <c r="U68" s="314">
        <f t="shared" si="2"/>
        <v>8389800</v>
      </c>
      <c r="V68" s="314">
        <f>+VLOOKUP(A68,[2]Sheet1!$B$11:$J$400,9,0)</f>
        <v>6973200</v>
      </c>
      <c r="W68" s="315" t="s">
        <v>1576</v>
      </c>
      <c r="X68" s="99" t="s">
        <v>934</v>
      </c>
      <c r="Y68" s="99" t="str">
        <f>+VLOOKUP(A68,[3]Sheet1!$B$11:$I$388,8,0)</f>
        <v>79 - 037</v>
      </c>
      <c r="Z68" s="99" t="s">
        <v>1787</v>
      </c>
      <c r="AA68" s="99" t="s">
        <v>2763</v>
      </c>
      <c r="AB68" s="100" t="s">
        <v>935</v>
      </c>
      <c r="AC68" s="99">
        <f>+VALUE(AB68:AB434)</f>
        <v>164124491</v>
      </c>
      <c r="AD68" s="99" t="s">
        <v>936</v>
      </c>
      <c r="AE68" s="99" t="s">
        <v>2427</v>
      </c>
      <c r="AF68" s="99" t="s">
        <v>938</v>
      </c>
      <c r="AG68" s="316" t="s">
        <v>939</v>
      </c>
      <c r="AH68" s="251"/>
      <c r="AI68" s="251"/>
      <c r="AJ68" s="251"/>
      <c r="AK68" s="251"/>
      <c r="AL68" s="251" t="s">
        <v>3603</v>
      </c>
      <c r="AM68" s="251"/>
      <c r="AN68" s="251"/>
      <c r="AO68" s="251"/>
      <c r="AP68" s="251"/>
      <c r="AQ68" s="251"/>
      <c r="AR68" s="251"/>
      <c r="AS68" s="321" t="s">
        <v>2161</v>
      </c>
      <c r="AT68" s="251" t="s">
        <v>3489</v>
      </c>
      <c r="AU68" s="379"/>
      <c r="AV68" s="380"/>
    </row>
    <row r="69" spans="1:48" ht="24" x14ac:dyDescent="0.25">
      <c r="A69" s="355" t="s">
        <v>103</v>
      </c>
      <c r="B69" s="393" t="s">
        <v>3542</v>
      </c>
      <c r="C69" s="100" t="s">
        <v>298</v>
      </c>
      <c r="D69" s="97">
        <v>28002</v>
      </c>
      <c r="E69" s="97">
        <f t="shared" si="11"/>
        <v>48821</v>
      </c>
      <c r="F69" s="97">
        <f t="shared" si="8"/>
        <v>48823</v>
      </c>
      <c r="G69" s="97">
        <v>48823</v>
      </c>
      <c r="H69" s="97">
        <v>37926</v>
      </c>
      <c r="I69" s="206" t="s">
        <v>3299</v>
      </c>
      <c r="J69" s="198" t="s">
        <v>287</v>
      </c>
      <c r="K69" s="118" t="s">
        <v>281</v>
      </c>
      <c r="L69" s="97">
        <v>42979</v>
      </c>
      <c r="M69" s="204"/>
      <c r="N69" s="204" t="s">
        <v>74</v>
      </c>
      <c r="O69" s="118">
        <v>1.68</v>
      </c>
      <c r="P69" s="119"/>
      <c r="Q69" s="99"/>
      <c r="R69" s="314">
        <f t="shared" si="3"/>
        <v>8920800</v>
      </c>
      <c r="S69" s="314">
        <f t="shared" si="10"/>
        <v>0</v>
      </c>
      <c r="T69" s="314">
        <f t="shared" si="7"/>
        <v>0</v>
      </c>
      <c r="U69" s="314">
        <f t="shared" ref="U69:U132" si="12">+R69+S69+T69</f>
        <v>8920800</v>
      </c>
      <c r="V69" s="314">
        <f>+VLOOKUP(A69,[2]Sheet1!$B$11:$J$400,9,0)</f>
        <v>8049600</v>
      </c>
      <c r="W69" s="315" t="s">
        <v>1563</v>
      </c>
      <c r="X69" s="99" t="s">
        <v>872</v>
      </c>
      <c r="Y69" s="99" t="str">
        <f>+VLOOKUP(A69,[3]Sheet1!$B$11:$I$388,8,0)</f>
        <v>79 - 037</v>
      </c>
      <c r="Z69" s="99" t="s">
        <v>1794</v>
      </c>
      <c r="AA69" s="99" t="s">
        <v>2764</v>
      </c>
      <c r="AB69" s="100" t="s">
        <v>882</v>
      </c>
      <c r="AC69" s="99">
        <f>+VALUE(AB69:AB435)</f>
        <v>25836080</v>
      </c>
      <c r="AD69" s="99" t="s">
        <v>883</v>
      </c>
      <c r="AE69" s="99" t="s">
        <v>2427</v>
      </c>
      <c r="AF69" s="99" t="s">
        <v>884</v>
      </c>
      <c r="AG69" s="316" t="s">
        <v>885</v>
      </c>
      <c r="AH69" s="251"/>
      <c r="AI69" s="251"/>
      <c r="AJ69" s="251"/>
      <c r="AK69" s="251" t="s">
        <v>3585</v>
      </c>
      <c r="AL69" s="251"/>
      <c r="AM69" s="251"/>
      <c r="AN69" s="251"/>
      <c r="AO69" s="251"/>
      <c r="AP69" s="251"/>
      <c r="AQ69" s="251"/>
      <c r="AR69" s="251"/>
      <c r="AS69" s="321" t="s">
        <v>2162</v>
      </c>
      <c r="AT69" s="251" t="s">
        <v>3489</v>
      </c>
      <c r="AU69" s="379"/>
      <c r="AV69" s="380"/>
    </row>
    <row r="70" spans="1:48" ht="24" x14ac:dyDescent="0.25">
      <c r="A70" s="355" t="s">
        <v>104</v>
      </c>
      <c r="B70" s="393" t="s">
        <v>3542</v>
      </c>
      <c r="C70" s="97" t="s">
        <v>299</v>
      </c>
      <c r="D70" s="97">
        <v>31571</v>
      </c>
      <c r="E70" s="97">
        <f t="shared" si="11"/>
        <v>52390</v>
      </c>
      <c r="F70" s="97">
        <f t="shared" si="8"/>
        <v>52413</v>
      </c>
      <c r="G70" s="97">
        <v>52413</v>
      </c>
      <c r="H70" s="97">
        <v>41247</v>
      </c>
      <c r="I70" s="206" t="s">
        <v>3299</v>
      </c>
      <c r="J70" s="198" t="s">
        <v>287</v>
      </c>
      <c r="K70" s="118" t="s">
        <v>281</v>
      </c>
      <c r="L70" s="97">
        <v>43405</v>
      </c>
      <c r="M70" s="204"/>
      <c r="N70" s="204" t="s">
        <v>76</v>
      </c>
      <c r="O70" s="118">
        <v>1.58</v>
      </c>
      <c r="P70" s="119"/>
      <c r="Q70" s="99"/>
      <c r="R70" s="314">
        <f t="shared" si="3"/>
        <v>8389800</v>
      </c>
      <c r="S70" s="314">
        <f t="shared" si="10"/>
        <v>0</v>
      </c>
      <c r="T70" s="314">
        <f t="shared" si="7"/>
        <v>0</v>
      </c>
      <c r="U70" s="314">
        <f t="shared" si="12"/>
        <v>8389800</v>
      </c>
      <c r="V70" s="314">
        <f>+VLOOKUP(A70,[2]Sheet1!$B$11:$J$400,9,0)</f>
        <v>7394400</v>
      </c>
      <c r="W70" s="315" t="s">
        <v>1564</v>
      </c>
      <c r="X70" s="99" t="s">
        <v>872</v>
      </c>
      <c r="Y70" s="99" t="str">
        <f>+VLOOKUP(A70,[3]Sheet1!$B$11:$I$388,8,0)</f>
        <v>79 - 037</v>
      </c>
      <c r="Z70" s="99" t="s">
        <v>1794</v>
      </c>
      <c r="AA70" s="201" t="s">
        <v>3114</v>
      </c>
      <c r="AB70" s="100" t="s">
        <v>886</v>
      </c>
      <c r="AC70" s="99">
        <f>+VALUE(AB70:AB436)</f>
        <v>162819107</v>
      </c>
      <c r="AD70" s="99" t="s">
        <v>887</v>
      </c>
      <c r="AE70" s="99" t="s">
        <v>2427</v>
      </c>
      <c r="AF70" s="99" t="s">
        <v>888</v>
      </c>
      <c r="AG70" s="316" t="s">
        <v>889</v>
      </c>
      <c r="AH70" s="251"/>
      <c r="AI70" s="251"/>
      <c r="AJ70" s="251"/>
      <c r="AK70" s="251" t="s">
        <v>3604</v>
      </c>
      <c r="AL70" s="251"/>
      <c r="AM70" s="251"/>
      <c r="AN70" s="251"/>
      <c r="AO70" s="251"/>
      <c r="AP70" s="251"/>
      <c r="AQ70" s="251"/>
      <c r="AR70" s="251"/>
      <c r="AS70" s="321" t="s">
        <v>2163</v>
      </c>
      <c r="AT70" s="251" t="s">
        <v>3489</v>
      </c>
      <c r="AU70" s="379"/>
      <c r="AV70" s="380"/>
    </row>
    <row r="71" spans="1:48" ht="24" x14ac:dyDescent="0.25">
      <c r="A71" s="355" t="s">
        <v>121</v>
      </c>
      <c r="B71" s="393" t="s">
        <v>3542</v>
      </c>
      <c r="C71" s="100" t="s">
        <v>68</v>
      </c>
      <c r="D71" s="97">
        <v>29855</v>
      </c>
      <c r="E71" s="97">
        <f t="shared" si="11"/>
        <v>50674</v>
      </c>
      <c r="F71" s="97">
        <f t="shared" si="8"/>
        <v>50679</v>
      </c>
      <c r="G71" s="97">
        <v>52140</v>
      </c>
      <c r="H71" s="97">
        <v>38565</v>
      </c>
      <c r="I71" s="206" t="s">
        <v>3299</v>
      </c>
      <c r="J71" s="198" t="s">
        <v>287</v>
      </c>
      <c r="K71" s="118" t="s">
        <v>283</v>
      </c>
      <c r="L71" s="97">
        <v>41821</v>
      </c>
      <c r="M71" s="204"/>
      <c r="N71" s="204" t="s">
        <v>74</v>
      </c>
      <c r="O71" s="118">
        <v>1.68</v>
      </c>
      <c r="P71" s="119">
        <v>0.04</v>
      </c>
      <c r="Q71" s="99"/>
      <c r="R71" s="314">
        <f t="shared" si="3"/>
        <v>8920800</v>
      </c>
      <c r="S71" s="314">
        <f t="shared" si="10"/>
        <v>198400</v>
      </c>
      <c r="T71" s="314">
        <f t="shared" si="7"/>
        <v>0</v>
      </c>
      <c r="U71" s="314">
        <f t="shared" si="12"/>
        <v>9119200</v>
      </c>
      <c r="V71" s="314">
        <f>+VLOOKUP(A71,[2]Sheet1!$B$11:$J$400,9,0)</f>
        <v>8143200</v>
      </c>
      <c r="W71" s="315" t="s">
        <v>1588</v>
      </c>
      <c r="X71" s="99" t="s">
        <v>970</v>
      </c>
      <c r="Y71" s="99" t="str">
        <f>+VLOOKUP(A71,[3]Sheet1!$B$11:$I$388,8,0)</f>
        <v>79 - 034</v>
      </c>
      <c r="Z71" s="99" t="s">
        <v>1787</v>
      </c>
      <c r="AA71" s="201" t="s">
        <v>3079</v>
      </c>
      <c r="AB71" s="100" t="s">
        <v>971</v>
      </c>
      <c r="AC71" s="99">
        <f>+VALUE(AB71:AB465)</f>
        <v>25523611</v>
      </c>
      <c r="AD71" s="99" t="s">
        <v>972</v>
      </c>
      <c r="AE71" s="99" t="s">
        <v>2427</v>
      </c>
      <c r="AF71" s="99" t="s">
        <v>973</v>
      </c>
      <c r="AG71" s="316" t="s">
        <v>974</v>
      </c>
      <c r="AH71" s="251"/>
      <c r="AI71" s="251"/>
      <c r="AJ71" s="251"/>
      <c r="AK71" s="251" t="s">
        <v>3585</v>
      </c>
      <c r="AL71" s="251"/>
      <c r="AM71" s="251"/>
      <c r="AN71" s="251"/>
      <c r="AO71" s="251"/>
      <c r="AP71" s="251"/>
      <c r="AQ71" s="251"/>
      <c r="AR71" s="251"/>
      <c r="AS71" s="321" t="s">
        <v>2187</v>
      </c>
      <c r="AT71" s="251" t="s">
        <v>3489</v>
      </c>
      <c r="AU71" s="379"/>
      <c r="AV71" s="380"/>
    </row>
    <row r="72" spans="1:48" ht="24" x14ac:dyDescent="0.25">
      <c r="A72" s="363" t="s">
        <v>123</v>
      </c>
      <c r="B72" s="398" t="s">
        <v>3543</v>
      </c>
      <c r="C72" s="209" t="s">
        <v>320</v>
      </c>
      <c r="D72" s="97">
        <v>32028</v>
      </c>
      <c r="E72" s="97">
        <f>+DATE(YEAR(D72)+55,MONTH(D72),DAY(D72))</f>
        <v>52117</v>
      </c>
      <c r="F72" s="97">
        <f t="shared" si="8"/>
        <v>52140</v>
      </c>
      <c r="G72" s="97">
        <v>54514</v>
      </c>
      <c r="H72" s="97">
        <v>40330</v>
      </c>
      <c r="I72" s="206" t="s">
        <v>3299</v>
      </c>
      <c r="J72" s="198" t="s">
        <v>287</v>
      </c>
      <c r="K72" s="118" t="s">
        <v>281</v>
      </c>
      <c r="L72" s="97">
        <v>43405</v>
      </c>
      <c r="M72" s="204"/>
      <c r="N72" s="204" t="s">
        <v>76</v>
      </c>
      <c r="O72" s="118">
        <v>1.58</v>
      </c>
      <c r="P72" s="119"/>
      <c r="Q72" s="99"/>
      <c r="R72" s="314">
        <f t="shared" ref="R72:R135" si="13">+O72*5310000</f>
        <v>8389800</v>
      </c>
      <c r="S72" s="314">
        <f t="shared" si="10"/>
        <v>0</v>
      </c>
      <c r="T72" s="314">
        <f t="shared" si="7"/>
        <v>0</v>
      </c>
      <c r="U72" s="314">
        <f t="shared" si="12"/>
        <v>8389800</v>
      </c>
      <c r="V72" s="314">
        <f>+VLOOKUP(A72,[2]Sheet1!$B$11:$J$400,9,0)</f>
        <v>7394400</v>
      </c>
      <c r="W72" s="315" t="s">
        <v>1590</v>
      </c>
      <c r="X72" s="99" t="s">
        <v>977</v>
      </c>
      <c r="Y72" s="99" t="str">
        <f>+VLOOKUP(A72,[3]Sheet1!$B$11:$I$388,8,0)</f>
        <v>79 - 034</v>
      </c>
      <c r="Z72" s="99" t="s">
        <v>1787</v>
      </c>
      <c r="AA72" s="99" t="s">
        <v>978</v>
      </c>
      <c r="AB72" s="100" t="s">
        <v>978</v>
      </c>
      <c r="AC72" s="99">
        <f>+VALUE(AB72:AB467)</f>
        <v>44187001091</v>
      </c>
      <c r="AD72" s="99" t="s">
        <v>810</v>
      </c>
      <c r="AE72" s="99" t="s">
        <v>2427</v>
      </c>
      <c r="AF72" s="99" t="s">
        <v>979</v>
      </c>
      <c r="AG72" s="316" t="s">
        <v>980</v>
      </c>
      <c r="AH72" s="251"/>
      <c r="AI72" s="251"/>
      <c r="AJ72" s="251"/>
      <c r="AK72" s="251" t="s">
        <v>3585</v>
      </c>
      <c r="AL72" s="251"/>
      <c r="AM72" s="251"/>
      <c r="AN72" s="251"/>
      <c r="AO72" s="251"/>
      <c r="AP72" s="251"/>
      <c r="AQ72" s="251"/>
      <c r="AR72" s="251"/>
      <c r="AS72" s="321" t="s">
        <v>2189</v>
      </c>
      <c r="AT72" s="251" t="s">
        <v>3489</v>
      </c>
      <c r="AU72" s="379"/>
      <c r="AV72" s="380"/>
    </row>
    <row r="73" spans="1:48" ht="24" x14ac:dyDescent="0.25">
      <c r="A73" s="356" t="s">
        <v>125</v>
      </c>
      <c r="B73" s="392" t="s">
        <v>3543</v>
      </c>
      <c r="C73" s="209" t="s">
        <v>322</v>
      </c>
      <c r="D73" s="97">
        <v>29259</v>
      </c>
      <c r="E73" s="97">
        <v>49225</v>
      </c>
      <c r="F73" s="97">
        <f t="shared" si="8"/>
        <v>49249</v>
      </c>
      <c r="G73" s="97">
        <v>49249</v>
      </c>
      <c r="H73" s="97">
        <v>38261</v>
      </c>
      <c r="I73" s="206" t="s">
        <v>3299</v>
      </c>
      <c r="J73" s="198" t="s">
        <v>287</v>
      </c>
      <c r="K73" s="118" t="s">
        <v>281</v>
      </c>
      <c r="L73" s="97">
        <v>42736</v>
      </c>
      <c r="M73" s="117"/>
      <c r="N73" s="238" t="s">
        <v>76</v>
      </c>
      <c r="O73" s="118">
        <v>1.58</v>
      </c>
      <c r="P73" s="119"/>
      <c r="Q73" s="99"/>
      <c r="R73" s="314">
        <f t="shared" si="13"/>
        <v>8389800</v>
      </c>
      <c r="S73" s="314">
        <f t="shared" si="10"/>
        <v>0</v>
      </c>
      <c r="T73" s="314">
        <f t="shared" si="7"/>
        <v>0</v>
      </c>
      <c r="U73" s="314">
        <f t="shared" si="12"/>
        <v>8389800</v>
      </c>
      <c r="V73" s="314">
        <f>+VLOOKUP(A73,[2]Sheet1!$B$11:$J$400,9,0)</f>
        <v>7394400</v>
      </c>
      <c r="W73" s="315" t="s">
        <v>1592</v>
      </c>
      <c r="X73" s="99" t="s">
        <v>752</v>
      </c>
      <c r="Y73" s="99" t="str">
        <f>+VLOOKUP(A73,[3]Sheet1!$B$11:$I$388,8,0)</f>
        <v>79 - 031</v>
      </c>
      <c r="Z73" s="99" t="s">
        <v>1787</v>
      </c>
      <c r="AA73" s="99" t="s">
        <v>2785</v>
      </c>
      <c r="AB73" s="100" t="s">
        <v>985</v>
      </c>
      <c r="AC73" s="99">
        <f>+VALUE(AB73:AB470)</f>
        <v>23475476</v>
      </c>
      <c r="AD73" s="99" t="s">
        <v>986</v>
      </c>
      <c r="AE73" s="99" t="s">
        <v>2427</v>
      </c>
      <c r="AF73" s="99" t="s">
        <v>987</v>
      </c>
      <c r="AG73" s="316" t="s">
        <v>850</v>
      </c>
      <c r="AH73" s="251"/>
      <c r="AI73" s="251" t="s">
        <v>3583</v>
      </c>
      <c r="AJ73" s="251"/>
      <c r="AK73" s="251"/>
      <c r="AL73" s="251"/>
      <c r="AM73" s="251"/>
      <c r="AN73" s="251"/>
      <c r="AO73" s="251"/>
      <c r="AP73" s="251"/>
      <c r="AQ73" s="251"/>
      <c r="AR73" s="251"/>
      <c r="AS73" s="321" t="s">
        <v>2191</v>
      </c>
      <c r="AT73" s="251" t="s">
        <v>3489</v>
      </c>
      <c r="AU73" s="379"/>
      <c r="AV73" s="380"/>
    </row>
    <row r="74" spans="1:48" ht="24" x14ac:dyDescent="0.25">
      <c r="A74" s="355" t="s">
        <v>2133</v>
      </c>
      <c r="B74" s="399" t="s">
        <v>3542</v>
      </c>
      <c r="C74" s="100" t="s">
        <v>2137</v>
      </c>
      <c r="D74" s="97">
        <v>35795</v>
      </c>
      <c r="E74" s="97">
        <f>+DATE(YEAR(D74)+57,MONTH(D74),DAY(D74))</f>
        <v>56614</v>
      </c>
      <c r="F74" s="97">
        <f t="shared" si="8"/>
        <v>56615</v>
      </c>
      <c r="G74" s="97">
        <v>56615</v>
      </c>
      <c r="H74" s="97">
        <v>44317</v>
      </c>
      <c r="I74" s="206" t="s">
        <v>3299</v>
      </c>
      <c r="J74" s="199" t="s">
        <v>287</v>
      </c>
      <c r="K74" s="118" t="s">
        <v>281</v>
      </c>
      <c r="L74" s="204" t="s">
        <v>3238</v>
      </c>
      <c r="M74" s="204"/>
      <c r="N74" s="204" t="s">
        <v>71</v>
      </c>
      <c r="O74" s="118">
        <v>1.49</v>
      </c>
      <c r="P74" s="119"/>
      <c r="Q74" s="99"/>
      <c r="R74" s="314">
        <f t="shared" si="13"/>
        <v>7911900</v>
      </c>
      <c r="S74" s="314">
        <f t="shared" si="10"/>
        <v>0</v>
      </c>
      <c r="T74" s="314">
        <f t="shared" si="7"/>
        <v>0</v>
      </c>
      <c r="U74" s="314">
        <f t="shared" si="12"/>
        <v>7911900</v>
      </c>
      <c r="V74" s="314">
        <f>+VLOOKUP(A74,[2]Sheet1!$B$11:$J$400,9,0)</f>
        <v>6598800</v>
      </c>
      <c r="W74" s="315" t="s">
        <v>2138</v>
      </c>
      <c r="X74" s="99" t="s">
        <v>2150</v>
      </c>
      <c r="Y74" s="99" t="str">
        <f>+VLOOKUP(A74,[3]Sheet1!$B$11:$I$388,8,0)</f>
        <v>79 - 034</v>
      </c>
      <c r="Z74" s="99" t="s">
        <v>1787</v>
      </c>
      <c r="AA74" s="99" t="s">
        <v>2786</v>
      </c>
      <c r="AB74" s="100" t="s">
        <v>2134</v>
      </c>
      <c r="AC74" s="99">
        <v>163457697</v>
      </c>
      <c r="AD74" s="201" t="s">
        <v>2135</v>
      </c>
      <c r="AE74" s="99" t="s">
        <v>2427</v>
      </c>
      <c r="AF74" s="99" t="s">
        <v>2136</v>
      </c>
      <c r="AG74" s="316" t="s">
        <v>747</v>
      </c>
      <c r="AH74" s="251"/>
      <c r="AI74" s="251"/>
      <c r="AJ74" s="251" t="s">
        <v>3605</v>
      </c>
      <c r="AK74" s="251"/>
      <c r="AL74" s="251"/>
      <c r="AM74" s="251"/>
      <c r="AN74" s="251"/>
      <c r="AO74" s="251"/>
      <c r="AP74" s="247">
        <v>44317</v>
      </c>
      <c r="AQ74" s="251"/>
      <c r="AR74" s="247">
        <v>45046</v>
      </c>
      <c r="AS74" s="321"/>
      <c r="AT74" s="251" t="s">
        <v>3489</v>
      </c>
      <c r="AU74" s="379"/>
      <c r="AV74" s="380"/>
    </row>
    <row r="75" spans="1:48" ht="24" x14ac:dyDescent="0.25">
      <c r="A75" s="363" t="s">
        <v>119</v>
      </c>
      <c r="B75" s="398" t="s">
        <v>3543</v>
      </c>
      <c r="C75" s="209" t="s">
        <v>318</v>
      </c>
      <c r="D75" s="97">
        <v>32307</v>
      </c>
      <c r="E75" s="97">
        <f>+DATE(YEAR(D75)+55,MONTH(D75),DAY(D75))</f>
        <v>52395</v>
      </c>
      <c r="F75" s="97">
        <f t="shared" si="8"/>
        <v>52413</v>
      </c>
      <c r="G75" s="97">
        <v>52413</v>
      </c>
      <c r="H75" s="97">
        <v>40057</v>
      </c>
      <c r="I75" s="206" t="s">
        <v>3299</v>
      </c>
      <c r="J75" s="198" t="s">
        <v>287</v>
      </c>
      <c r="K75" s="118" t="s">
        <v>281</v>
      </c>
      <c r="L75" s="204" t="s">
        <v>3238</v>
      </c>
      <c r="M75" s="204"/>
      <c r="N75" s="204" t="s">
        <v>76</v>
      </c>
      <c r="O75" s="118">
        <v>1.58</v>
      </c>
      <c r="P75" s="119"/>
      <c r="Q75" s="99"/>
      <c r="R75" s="314">
        <f t="shared" si="13"/>
        <v>8389800</v>
      </c>
      <c r="S75" s="314">
        <f t="shared" si="10"/>
        <v>0</v>
      </c>
      <c r="T75" s="314">
        <f t="shared" si="7"/>
        <v>0</v>
      </c>
      <c r="U75" s="314">
        <f t="shared" si="12"/>
        <v>8389800</v>
      </c>
      <c r="V75" s="314">
        <f>+VLOOKUP(A75,[2]Sheet1!$B$11:$J$400,9,0)</f>
        <v>6645600</v>
      </c>
      <c r="W75" s="315" t="s">
        <v>1586</v>
      </c>
      <c r="X75" s="99" t="s">
        <v>859</v>
      </c>
      <c r="Y75" s="99" t="str">
        <f>+VLOOKUP(A75,[3]Sheet1!$B$11:$I$388,8,0)</f>
        <v>79 - 037</v>
      </c>
      <c r="Z75" s="99" t="s">
        <v>1787</v>
      </c>
      <c r="AA75" s="99" t="s">
        <v>963</v>
      </c>
      <c r="AB75" s="100" t="s">
        <v>963</v>
      </c>
      <c r="AC75" s="99">
        <f>+VALUE(AB75:AB463)</f>
        <v>26188001664</v>
      </c>
      <c r="AD75" s="99" t="s">
        <v>964</v>
      </c>
      <c r="AE75" s="99" t="s">
        <v>2427</v>
      </c>
      <c r="AF75" s="99" t="s">
        <v>965</v>
      </c>
      <c r="AG75" s="316" t="s">
        <v>966</v>
      </c>
      <c r="AH75" s="251"/>
      <c r="AI75" s="251"/>
      <c r="AJ75" s="251"/>
      <c r="AK75" s="251" t="s">
        <v>3585</v>
      </c>
      <c r="AL75" s="251"/>
      <c r="AM75" s="251"/>
      <c r="AN75" s="251"/>
      <c r="AO75" s="251"/>
      <c r="AP75" s="251"/>
      <c r="AQ75" s="251"/>
      <c r="AR75" s="251"/>
      <c r="AS75" s="321" t="s">
        <v>2185</v>
      </c>
      <c r="AT75" s="251" t="s">
        <v>3489</v>
      </c>
      <c r="AU75" s="379"/>
      <c r="AV75" s="380"/>
    </row>
    <row r="76" spans="1:48" x14ac:dyDescent="0.25">
      <c r="A76" s="359" t="s">
        <v>1871</v>
      </c>
      <c r="B76" s="394" t="s">
        <v>3543</v>
      </c>
      <c r="C76" s="209" t="s">
        <v>303</v>
      </c>
      <c r="D76" s="97">
        <v>28793</v>
      </c>
      <c r="E76" s="97">
        <v>48517</v>
      </c>
      <c r="F76" s="97">
        <f t="shared" si="8"/>
        <v>48519</v>
      </c>
      <c r="G76" s="97">
        <v>48519</v>
      </c>
      <c r="H76" s="97">
        <v>38108</v>
      </c>
      <c r="I76" s="206" t="s">
        <v>500</v>
      </c>
      <c r="J76" s="198" t="s">
        <v>287</v>
      </c>
      <c r="K76" s="199" t="s">
        <v>281</v>
      </c>
      <c r="L76" s="97">
        <v>40360</v>
      </c>
      <c r="M76" s="204"/>
      <c r="N76" s="204" t="s">
        <v>74</v>
      </c>
      <c r="O76" s="118">
        <v>1.68</v>
      </c>
      <c r="P76" s="119"/>
      <c r="Q76" s="99"/>
      <c r="R76" s="314">
        <f t="shared" si="13"/>
        <v>8920800</v>
      </c>
      <c r="S76" s="314">
        <f t="shared" si="10"/>
        <v>0</v>
      </c>
      <c r="T76" s="314">
        <f t="shared" si="7"/>
        <v>0</v>
      </c>
      <c r="U76" s="314">
        <f t="shared" si="12"/>
        <v>8920800</v>
      </c>
      <c r="V76" s="314">
        <f>+VLOOKUP(A76,[2]Sheet1!$B$11:$J$400,9,0)</f>
        <v>7862400</v>
      </c>
      <c r="W76" s="315" t="s">
        <v>1569</v>
      </c>
      <c r="X76" s="99" t="s">
        <v>820</v>
      </c>
      <c r="Y76" s="99" t="str">
        <f>+VLOOKUP(A76,[3]Sheet1!$B$11:$I$388,8,0)</f>
        <v>79 - 034</v>
      </c>
      <c r="Z76" s="99" t="s">
        <v>1795</v>
      </c>
      <c r="AA76" s="99" t="s">
        <v>907</v>
      </c>
      <c r="AB76" s="100" t="s">
        <v>907</v>
      </c>
      <c r="AC76" s="99">
        <f>+VALUE(AB76:AB439)</f>
        <v>31178002543</v>
      </c>
      <c r="AD76" s="99" t="s">
        <v>908</v>
      </c>
      <c r="AE76" s="99" t="s">
        <v>2427</v>
      </c>
      <c r="AF76" s="99" t="s">
        <v>909</v>
      </c>
      <c r="AG76" s="316" t="s">
        <v>910</v>
      </c>
      <c r="AH76" s="251"/>
      <c r="AI76" s="251" t="s">
        <v>3577</v>
      </c>
      <c r="AJ76" s="251"/>
      <c r="AK76" s="251"/>
      <c r="AL76" s="251"/>
      <c r="AM76" s="251"/>
      <c r="AN76" s="251"/>
      <c r="AO76" s="251"/>
      <c r="AP76" s="251"/>
      <c r="AQ76" s="251"/>
      <c r="AR76" s="251"/>
      <c r="AS76" s="321" t="s">
        <v>2166</v>
      </c>
      <c r="AT76" s="251" t="s">
        <v>3489</v>
      </c>
      <c r="AU76" s="379"/>
      <c r="AV76" s="380"/>
    </row>
    <row r="77" spans="1:48" x14ac:dyDescent="0.25">
      <c r="A77" s="357" t="s">
        <v>107</v>
      </c>
      <c r="B77" s="393" t="s">
        <v>3542</v>
      </c>
      <c r="C77" s="100" t="s">
        <v>302</v>
      </c>
      <c r="D77" s="97">
        <v>31133</v>
      </c>
      <c r="E77" s="97">
        <f>+DATE(YEAR(D77)+57,MONTH(D77),DAY(D77))</f>
        <v>51952</v>
      </c>
      <c r="F77" s="97">
        <f t="shared" si="8"/>
        <v>51957</v>
      </c>
      <c r="G77" s="97">
        <v>45658</v>
      </c>
      <c r="H77" s="97">
        <v>40848</v>
      </c>
      <c r="I77" s="206" t="s">
        <v>500</v>
      </c>
      <c r="J77" s="198" t="s">
        <v>287</v>
      </c>
      <c r="K77" s="118" t="s">
        <v>281</v>
      </c>
      <c r="L77" s="97">
        <v>45839</v>
      </c>
      <c r="M77" s="204"/>
      <c r="N77" s="204" t="s">
        <v>76</v>
      </c>
      <c r="O77" s="118">
        <v>1.58</v>
      </c>
      <c r="P77" s="119"/>
      <c r="Q77" s="99"/>
      <c r="R77" s="314">
        <f t="shared" si="13"/>
        <v>8389800</v>
      </c>
      <c r="S77" s="314">
        <f t="shared" si="10"/>
        <v>0</v>
      </c>
      <c r="T77" s="314">
        <f t="shared" si="7"/>
        <v>0</v>
      </c>
      <c r="U77" s="314">
        <f t="shared" si="12"/>
        <v>8389800</v>
      </c>
      <c r="V77" s="314">
        <f>+VLOOKUP(A77,[2]Sheet1!$B$11:$J$400,9,0)</f>
        <v>6973200</v>
      </c>
      <c r="W77" s="315" t="s">
        <v>1567</v>
      </c>
      <c r="X77" s="99" t="s">
        <v>899</v>
      </c>
      <c r="Y77" s="99" t="str">
        <f>+VLOOKUP(A77,[3]Sheet1!$B$11:$I$388,8,0)</f>
        <v>79 - 426</v>
      </c>
      <c r="Z77" s="99" t="s">
        <v>1795</v>
      </c>
      <c r="AA77" s="99" t="s">
        <v>2767</v>
      </c>
      <c r="AB77" s="100">
        <v>264272266</v>
      </c>
      <c r="AC77" s="99">
        <f>+VALUE(AB77:AB440)</f>
        <v>264272266</v>
      </c>
      <c r="AD77" s="99" t="s">
        <v>900</v>
      </c>
      <c r="AE77" s="99" t="s">
        <v>2427</v>
      </c>
      <c r="AF77" s="99" t="s">
        <v>506</v>
      </c>
      <c r="AG77" s="316" t="s">
        <v>901</v>
      </c>
      <c r="AH77" s="251" t="s">
        <v>3606</v>
      </c>
      <c r="AI77" s="251" t="s">
        <v>3577</v>
      </c>
      <c r="AJ77" s="251"/>
      <c r="AK77" s="251"/>
      <c r="AL77" s="251"/>
      <c r="AM77" s="251"/>
      <c r="AN77" s="251"/>
      <c r="AO77" s="251"/>
      <c r="AP77" s="251"/>
      <c r="AQ77" s="251"/>
      <c r="AR77" s="251"/>
      <c r="AS77" s="321" t="s">
        <v>2167</v>
      </c>
      <c r="AT77" s="251" t="s">
        <v>3489</v>
      </c>
      <c r="AU77" s="379"/>
      <c r="AV77" s="380"/>
    </row>
    <row r="78" spans="1:48" x14ac:dyDescent="0.25">
      <c r="A78" s="355" t="s">
        <v>1829</v>
      </c>
      <c r="B78" s="393" t="s">
        <v>3542</v>
      </c>
      <c r="C78" s="100" t="s">
        <v>304</v>
      </c>
      <c r="D78" s="97">
        <v>28756</v>
      </c>
      <c r="E78" s="97">
        <f>+DATE(YEAR(D78)+57,MONTH(D78),DAY(D78))</f>
        <v>49575</v>
      </c>
      <c r="F78" s="97">
        <f t="shared" si="8"/>
        <v>49583</v>
      </c>
      <c r="G78" s="97">
        <v>50891</v>
      </c>
      <c r="H78" s="97">
        <v>38657</v>
      </c>
      <c r="I78" s="206" t="s">
        <v>500</v>
      </c>
      <c r="J78" s="198" t="s">
        <v>287</v>
      </c>
      <c r="K78" s="199" t="s">
        <v>281</v>
      </c>
      <c r="L78" s="97">
        <v>41091</v>
      </c>
      <c r="M78" s="204"/>
      <c r="N78" s="204" t="s">
        <v>74</v>
      </c>
      <c r="O78" s="118">
        <v>1.68</v>
      </c>
      <c r="P78" s="119"/>
      <c r="Q78" s="99"/>
      <c r="R78" s="314">
        <f t="shared" si="13"/>
        <v>8920800</v>
      </c>
      <c r="S78" s="314">
        <f t="shared" si="10"/>
        <v>0</v>
      </c>
      <c r="T78" s="314">
        <f t="shared" si="7"/>
        <v>0</v>
      </c>
      <c r="U78" s="314">
        <f t="shared" si="12"/>
        <v>8920800</v>
      </c>
      <c r="V78" s="314">
        <f>+VLOOKUP(A78,[2]Sheet1!$B$11:$J$400,9,0)</f>
        <v>7862400</v>
      </c>
      <c r="W78" s="315" t="s">
        <v>1570</v>
      </c>
      <c r="X78" s="99" t="s">
        <v>756</v>
      </c>
      <c r="Y78" s="99" t="str">
        <f>+VLOOKUP(A78,[3]Sheet1!$B$11:$I$388,8,0)</f>
        <v>79 - 030</v>
      </c>
      <c r="Z78" s="99" t="s">
        <v>1795</v>
      </c>
      <c r="AA78" s="99" t="s">
        <v>2768</v>
      </c>
      <c r="AB78" s="100" t="s">
        <v>911</v>
      </c>
      <c r="AC78" s="99">
        <f>+VALUE(AB78:AB443)</f>
        <v>23424511</v>
      </c>
      <c r="AD78" s="99" t="s">
        <v>912</v>
      </c>
      <c r="AE78" s="99" t="s">
        <v>2427</v>
      </c>
      <c r="AF78" s="99" t="s">
        <v>913</v>
      </c>
      <c r="AG78" s="316" t="s">
        <v>785</v>
      </c>
      <c r="AH78" s="251"/>
      <c r="AI78" s="251" t="s">
        <v>3596</v>
      </c>
      <c r="AJ78" s="251"/>
      <c r="AK78" s="251"/>
      <c r="AL78" s="251"/>
      <c r="AM78" s="251"/>
      <c r="AN78" s="251"/>
      <c r="AO78" s="251"/>
      <c r="AP78" s="251"/>
      <c r="AQ78" s="251"/>
      <c r="AR78" s="251"/>
      <c r="AS78" s="321" t="s">
        <v>2169</v>
      </c>
      <c r="AT78" s="251" t="s">
        <v>3489</v>
      </c>
      <c r="AU78" s="379"/>
      <c r="AV78" s="380"/>
    </row>
    <row r="79" spans="1:48" x14ac:dyDescent="0.25">
      <c r="A79" s="357" t="s">
        <v>109</v>
      </c>
      <c r="B79" s="393" t="s">
        <v>3542</v>
      </c>
      <c r="C79" s="100" t="s">
        <v>305</v>
      </c>
      <c r="D79" s="97">
        <v>30266</v>
      </c>
      <c r="E79" s="97">
        <f>+DATE(YEAR(D79)+57,MONTH(D79),DAY(D79))</f>
        <v>51085</v>
      </c>
      <c r="F79" s="97">
        <f t="shared" si="8"/>
        <v>51105</v>
      </c>
      <c r="G79" s="97">
        <v>50161</v>
      </c>
      <c r="H79" s="97">
        <v>40118</v>
      </c>
      <c r="I79" s="206" t="s">
        <v>500</v>
      </c>
      <c r="J79" s="198" t="s">
        <v>287</v>
      </c>
      <c r="K79" s="199" t="s">
        <v>3245</v>
      </c>
      <c r="L79" s="97">
        <v>42309</v>
      </c>
      <c r="M79" s="204"/>
      <c r="N79" s="204" t="s">
        <v>74</v>
      </c>
      <c r="O79" s="118">
        <v>1.68</v>
      </c>
      <c r="P79" s="119">
        <v>0.06</v>
      </c>
      <c r="Q79" s="99"/>
      <c r="R79" s="314">
        <f t="shared" si="13"/>
        <v>8920800</v>
      </c>
      <c r="S79" s="314">
        <f t="shared" si="10"/>
        <v>297600</v>
      </c>
      <c r="T79" s="314">
        <f t="shared" si="7"/>
        <v>0</v>
      </c>
      <c r="U79" s="314">
        <f t="shared" si="12"/>
        <v>9218400</v>
      </c>
      <c r="V79" s="314">
        <f>+VLOOKUP(A79,[2]Sheet1!$B$11:$J$400,9,0)</f>
        <v>8049600</v>
      </c>
      <c r="W79" s="315" t="s">
        <v>1571</v>
      </c>
      <c r="X79" s="99" t="s">
        <v>914</v>
      </c>
      <c r="Y79" s="99" t="str">
        <f>+VLOOKUP(A79,[3]Sheet1!$B$11:$I$388,8,0)</f>
        <v>79 - 014</v>
      </c>
      <c r="Z79" s="99" t="s">
        <v>1795</v>
      </c>
      <c r="AA79" s="99" t="s">
        <v>2769</v>
      </c>
      <c r="AB79" s="100" t="s">
        <v>915</v>
      </c>
      <c r="AC79" s="99">
        <f>+VALUE(AB79:AB444)</f>
        <v>264232686</v>
      </c>
      <c r="AD79" s="99" t="s">
        <v>908</v>
      </c>
      <c r="AE79" s="99" t="s">
        <v>2427</v>
      </c>
      <c r="AF79" s="99" t="s">
        <v>916</v>
      </c>
      <c r="AG79" s="316" t="s">
        <v>917</v>
      </c>
      <c r="AH79" s="251"/>
      <c r="AI79" s="251" t="s">
        <v>3570</v>
      </c>
      <c r="AJ79" s="251"/>
      <c r="AK79" s="251"/>
      <c r="AL79" s="251"/>
      <c r="AM79" s="251"/>
      <c r="AN79" s="251"/>
      <c r="AO79" s="251"/>
      <c r="AP79" s="251"/>
      <c r="AQ79" s="251"/>
      <c r="AR79" s="251"/>
      <c r="AS79" s="321" t="s">
        <v>2170</v>
      </c>
      <c r="AT79" s="251" t="s">
        <v>3489</v>
      </c>
      <c r="AU79" s="379"/>
      <c r="AV79" s="380"/>
    </row>
    <row r="80" spans="1:48" x14ac:dyDescent="0.25">
      <c r="A80" s="355" t="s">
        <v>110</v>
      </c>
      <c r="B80" s="393" t="s">
        <v>3542</v>
      </c>
      <c r="C80" s="100" t="s">
        <v>306</v>
      </c>
      <c r="D80" s="97">
        <v>30458</v>
      </c>
      <c r="E80" s="97">
        <f>+DATE(YEAR(D80)+57,MONTH(D80),DAY(D80))</f>
        <v>51278</v>
      </c>
      <c r="F80" s="97">
        <f t="shared" si="8"/>
        <v>51288</v>
      </c>
      <c r="G80" s="97">
        <v>50802</v>
      </c>
      <c r="H80" s="97">
        <v>41671</v>
      </c>
      <c r="I80" s="206" t="s">
        <v>500</v>
      </c>
      <c r="J80" s="198" t="s">
        <v>287</v>
      </c>
      <c r="K80" s="199" t="s">
        <v>281</v>
      </c>
      <c r="L80" s="97">
        <v>41671</v>
      </c>
      <c r="M80" s="204"/>
      <c r="N80" s="204" t="s">
        <v>76</v>
      </c>
      <c r="O80" s="118">
        <v>1.58</v>
      </c>
      <c r="P80" s="119"/>
      <c r="Q80" s="99"/>
      <c r="R80" s="314">
        <f t="shared" si="13"/>
        <v>8389800</v>
      </c>
      <c r="S80" s="314">
        <f t="shared" si="10"/>
        <v>0</v>
      </c>
      <c r="T80" s="314">
        <f t="shared" si="7"/>
        <v>0</v>
      </c>
      <c r="U80" s="314">
        <f t="shared" si="12"/>
        <v>8389800</v>
      </c>
      <c r="V80" s="314">
        <f>+VLOOKUP(A80,[2]Sheet1!$B$11:$J$400,9,0)</f>
        <v>7394400</v>
      </c>
      <c r="W80" s="315" t="s">
        <v>1572</v>
      </c>
      <c r="X80" s="99" t="s">
        <v>918</v>
      </c>
      <c r="Y80" s="99" t="str">
        <f>+VLOOKUP(A80,[3]Sheet1!$B$11:$I$388,8,0)</f>
        <v>79 - 024</v>
      </c>
      <c r="Z80" s="99" t="s">
        <v>1795</v>
      </c>
      <c r="AA80" s="99" t="s">
        <v>919</v>
      </c>
      <c r="AB80" s="100" t="s">
        <v>919</v>
      </c>
      <c r="AC80" s="99">
        <f>+VALUE(AB80:AB445)</f>
        <v>79083004052</v>
      </c>
      <c r="AD80" s="99" t="s">
        <v>920</v>
      </c>
      <c r="AE80" s="99" t="s">
        <v>2427</v>
      </c>
      <c r="AF80" s="99" t="s">
        <v>921</v>
      </c>
      <c r="AG80" s="316" t="s">
        <v>922</v>
      </c>
      <c r="AH80" s="251"/>
      <c r="AI80" s="251" t="s">
        <v>3607</v>
      </c>
      <c r="AJ80" s="251"/>
      <c r="AK80" s="251"/>
      <c r="AL80" s="251"/>
      <c r="AM80" s="251"/>
      <c r="AN80" s="251"/>
      <c r="AO80" s="251"/>
      <c r="AP80" s="251"/>
      <c r="AQ80" s="251"/>
      <c r="AR80" s="251"/>
      <c r="AS80" s="321" t="s">
        <v>2171</v>
      </c>
      <c r="AT80" s="251" t="s">
        <v>3489</v>
      </c>
      <c r="AU80" s="379"/>
      <c r="AV80" s="380"/>
    </row>
    <row r="81" spans="1:48" x14ac:dyDescent="0.25">
      <c r="A81" s="355" t="s">
        <v>2007</v>
      </c>
      <c r="B81" s="393" t="s">
        <v>3542</v>
      </c>
      <c r="C81" s="100" t="s">
        <v>2008</v>
      </c>
      <c r="D81" s="97">
        <v>34751</v>
      </c>
      <c r="E81" s="97">
        <f>+DATE(YEAR(D81)+57,MONTH(D81),DAY(D81))</f>
        <v>55570</v>
      </c>
      <c r="F81" s="97">
        <f t="shared" si="8"/>
        <v>55579</v>
      </c>
      <c r="G81" s="97">
        <v>52413</v>
      </c>
      <c r="H81" s="97">
        <v>43800</v>
      </c>
      <c r="I81" s="206" t="s">
        <v>500</v>
      </c>
      <c r="J81" s="198" t="s">
        <v>287</v>
      </c>
      <c r="K81" s="199" t="s">
        <v>281</v>
      </c>
      <c r="L81" s="97">
        <v>43800</v>
      </c>
      <c r="M81" s="204"/>
      <c r="N81" s="238" t="s">
        <v>71</v>
      </c>
      <c r="O81" s="118">
        <v>1.49</v>
      </c>
      <c r="P81" s="119">
        <v>0.04</v>
      </c>
      <c r="Q81" s="99"/>
      <c r="R81" s="314">
        <f t="shared" si="13"/>
        <v>7911900</v>
      </c>
      <c r="S81" s="314">
        <f t="shared" si="10"/>
        <v>198400</v>
      </c>
      <c r="T81" s="314">
        <f t="shared" si="7"/>
        <v>0</v>
      </c>
      <c r="U81" s="314">
        <f t="shared" si="12"/>
        <v>8110300</v>
      </c>
      <c r="V81" s="314">
        <f>+VLOOKUP(A81,[2]Sheet1!$B$11:$J$400,9,0)</f>
        <v>6973200</v>
      </c>
      <c r="W81" s="315" t="s">
        <v>2694</v>
      </c>
      <c r="X81" s="99" t="s">
        <v>3283</v>
      </c>
      <c r="Y81" s="99" t="str">
        <f>+VLOOKUP(A81,[3]Sheet1!$B$11:$I$388,8,0)</f>
        <v>79 - 075</v>
      </c>
      <c r="Z81" s="99" t="s">
        <v>1795</v>
      </c>
      <c r="AA81" s="99" t="s">
        <v>2009</v>
      </c>
      <c r="AB81" s="100" t="s">
        <v>2009</v>
      </c>
      <c r="AC81" s="99">
        <f>+VALUE(AB81:AB446)</f>
        <v>34095006415</v>
      </c>
      <c r="AD81" s="205" t="s">
        <v>2010</v>
      </c>
      <c r="AE81" s="99" t="s">
        <v>2427</v>
      </c>
      <c r="AF81" s="99" t="s">
        <v>2011</v>
      </c>
      <c r="AG81" s="316"/>
      <c r="AH81" s="251"/>
      <c r="AI81" s="251" t="s">
        <v>3607</v>
      </c>
      <c r="AJ81" s="251"/>
      <c r="AK81" s="251"/>
      <c r="AL81" s="251"/>
      <c r="AM81" s="251"/>
      <c r="AN81" s="251"/>
      <c r="AO81" s="251"/>
      <c r="AP81" s="247">
        <v>43800</v>
      </c>
      <c r="AQ81" s="251"/>
      <c r="AR81" s="247">
        <v>44531</v>
      </c>
      <c r="AS81" s="321" t="s">
        <v>2407</v>
      </c>
      <c r="AT81" s="251" t="s">
        <v>3489</v>
      </c>
      <c r="AU81" s="379"/>
      <c r="AV81" s="380"/>
    </row>
    <row r="82" spans="1:48" x14ac:dyDescent="0.25">
      <c r="A82" s="363" t="s">
        <v>111</v>
      </c>
      <c r="B82" s="398" t="s">
        <v>3543</v>
      </c>
      <c r="C82" s="209" t="s">
        <v>307</v>
      </c>
      <c r="D82" s="97">
        <v>27254</v>
      </c>
      <c r="E82" s="97">
        <v>46247</v>
      </c>
      <c r="F82" s="97">
        <f t="shared" si="8"/>
        <v>46266</v>
      </c>
      <c r="G82" s="97">
        <v>52140</v>
      </c>
      <c r="H82" s="97">
        <v>36008</v>
      </c>
      <c r="I82" s="206" t="s">
        <v>500</v>
      </c>
      <c r="J82" s="198" t="s">
        <v>287</v>
      </c>
      <c r="K82" s="199" t="s">
        <v>281</v>
      </c>
      <c r="L82" s="97">
        <v>39995</v>
      </c>
      <c r="M82" s="204"/>
      <c r="N82" s="204" t="s">
        <v>74</v>
      </c>
      <c r="O82" s="118">
        <v>1.5</v>
      </c>
      <c r="P82" s="119"/>
      <c r="Q82" s="99"/>
      <c r="R82" s="314">
        <f t="shared" si="13"/>
        <v>7965000</v>
      </c>
      <c r="S82" s="314">
        <f t="shared" si="10"/>
        <v>0</v>
      </c>
      <c r="T82" s="314">
        <f t="shared" si="7"/>
        <v>0</v>
      </c>
      <c r="U82" s="314">
        <f t="shared" si="12"/>
        <v>7965000</v>
      </c>
      <c r="V82" s="314">
        <f>+VLOOKUP(A82,[2]Sheet1!$B$11:$J$400,9,0)</f>
        <v>7020000</v>
      </c>
      <c r="W82" s="315" t="s">
        <v>1573</v>
      </c>
      <c r="X82" s="99" t="s">
        <v>756</v>
      </c>
      <c r="Y82" s="99" t="str">
        <f>+VLOOKUP(A82,[3]Sheet1!$B$11:$I$388,8,0)</f>
        <v>79 - 016</v>
      </c>
      <c r="Z82" s="99" t="s">
        <v>1796</v>
      </c>
      <c r="AA82" s="99" t="s">
        <v>2770</v>
      </c>
      <c r="AB82" s="100" t="s">
        <v>924</v>
      </c>
      <c r="AC82" s="99">
        <f>+VALUE(AB82:AB448)</f>
        <v>24610266</v>
      </c>
      <c r="AD82" s="99" t="s">
        <v>664</v>
      </c>
      <c r="AE82" s="99" t="s">
        <v>2427</v>
      </c>
      <c r="AF82" s="99" t="s">
        <v>925</v>
      </c>
      <c r="AG82" s="316" t="s">
        <v>926</v>
      </c>
      <c r="AH82" s="251"/>
      <c r="AI82" s="251" t="s">
        <v>3583</v>
      </c>
      <c r="AJ82" s="251"/>
      <c r="AK82" s="251"/>
      <c r="AL82" s="251"/>
      <c r="AM82" s="251"/>
      <c r="AN82" s="251"/>
      <c r="AO82" s="251"/>
      <c r="AP82" s="251"/>
      <c r="AQ82" s="251"/>
      <c r="AR82" s="251"/>
      <c r="AS82" s="321" t="s">
        <v>2172</v>
      </c>
      <c r="AT82" s="251" t="s">
        <v>3489</v>
      </c>
      <c r="AU82" s="379"/>
      <c r="AV82" s="380"/>
    </row>
    <row r="83" spans="1:48" x14ac:dyDescent="0.25">
      <c r="A83" s="356" t="s">
        <v>112</v>
      </c>
      <c r="B83" s="398" t="s">
        <v>3543</v>
      </c>
      <c r="C83" s="209" t="s">
        <v>308</v>
      </c>
      <c r="D83" s="97">
        <v>30783</v>
      </c>
      <c r="E83" s="97">
        <f>+DATE(YEAR(D83)+55,MONTH(D83),DAY(D83))</f>
        <v>50871</v>
      </c>
      <c r="F83" s="97">
        <f t="shared" si="8"/>
        <v>50891</v>
      </c>
      <c r="G83" s="97">
        <v>49249</v>
      </c>
      <c r="H83" s="97">
        <v>37865</v>
      </c>
      <c r="I83" s="206" t="s">
        <v>500</v>
      </c>
      <c r="J83" s="198" t="s">
        <v>287</v>
      </c>
      <c r="K83" s="199" t="s">
        <v>281</v>
      </c>
      <c r="L83" s="97">
        <v>45839</v>
      </c>
      <c r="M83" s="117"/>
      <c r="N83" s="204" t="s">
        <v>74</v>
      </c>
      <c r="O83" s="118">
        <v>1.5</v>
      </c>
      <c r="P83" s="119"/>
      <c r="Q83" s="99"/>
      <c r="R83" s="314">
        <f t="shared" si="13"/>
        <v>7965000</v>
      </c>
      <c r="S83" s="314">
        <f t="shared" si="10"/>
        <v>0</v>
      </c>
      <c r="T83" s="314">
        <f t="shared" si="7"/>
        <v>0</v>
      </c>
      <c r="U83" s="314">
        <f t="shared" si="12"/>
        <v>7965000</v>
      </c>
      <c r="V83" s="314">
        <f>+VLOOKUP(A83,[2]Sheet1!$B$11:$J$400,9,0)</f>
        <v>6645600</v>
      </c>
      <c r="W83" s="315" t="s">
        <v>1574</v>
      </c>
      <c r="X83" s="99" t="s">
        <v>752</v>
      </c>
      <c r="Y83" s="99" t="str">
        <f>+VLOOKUP(A83,[3]Sheet1!$B$11:$I$388,8,0)</f>
        <v>79 - 016</v>
      </c>
      <c r="Z83" s="99" t="s">
        <v>1796</v>
      </c>
      <c r="AA83" s="99" t="s">
        <v>927</v>
      </c>
      <c r="AB83" s="100" t="s">
        <v>927</v>
      </c>
      <c r="AC83" s="99">
        <f>+VALUE(AB83:AB449)</f>
        <v>79184001574</v>
      </c>
      <c r="AD83" s="99" t="s">
        <v>928</v>
      </c>
      <c r="AE83" s="99" t="s">
        <v>2427</v>
      </c>
      <c r="AF83" s="99" t="s">
        <v>929</v>
      </c>
      <c r="AG83" s="316" t="s">
        <v>930</v>
      </c>
      <c r="AH83" s="251"/>
      <c r="AI83" s="251" t="s">
        <v>3583</v>
      </c>
      <c r="AJ83" s="251"/>
      <c r="AK83" s="251"/>
      <c r="AL83" s="251"/>
      <c r="AM83" s="251"/>
      <c r="AN83" s="251"/>
      <c r="AO83" s="251"/>
      <c r="AP83" s="251"/>
      <c r="AQ83" s="251"/>
      <c r="AR83" s="251"/>
      <c r="AS83" s="321" t="s">
        <v>2173</v>
      </c>
      <c r="AT83" s="251" t="s">
        <v>3489</v>
      </c>
      <c r="AU83" s="379"/>
      <c r="AV83" s="380"/>
    </row>
    <row r="84" spans="1:48" x14ac:dyDescent="0.25">
      <c r="A84" s="363" t="s">
        <v>126</v>
      </c>
      <c r="B84" s="398" t="s">
        <v>3543</v>
      </c>
      <c r="C84" s="209" t="s">
        <v>323</v>
      </c>
      <c r="D84" s="97">
        <v>30063</v>
      </c>
      <c r="E84" s="97">
        <f>+DATE(YEAR(D84)+55,MONTH(D84),DAY(D84))</f>
        <v>50152</v>
      </c>
      <c r="F84" s="97">
        <f t="shared" si="8"/>
        <v>50161</v>
      </c>
      <c r="G84" s="97">
        <v>54514</v>
      </c>
      <c r="H84" s="97">
        <v>40299</v>
      </c>
      <c r="I84" s="206" t="s">
        <v>500</v>
      </c>
      <c r="J84" s="198" t="s">
        <v>287</v>
      </c>
      <c r="K84" s="118" t="s">
        <v>281</v>
      </c>
      <c r="L84" s="97">
        <v>45474</v>
      </c>
      <c r="M84" s="204" t="s">
        <v>3238</v>
      </c>
      <c r="N84" s="204" t="s">
        <v>74</v>
      </c>
      <c r="O84" s="118">
        <v>1.5</v>
      </c>
      <c r="P84" s="119"/>
      <c r="Q84" s="99"/>
      <c r="R84" s="314">
        <f t="shared" si="13"/>
        <v>7965000</v>
      </c>
      <c r="S84" s="314">
        <f t="shared" si="10"/>
        <v>0</v>
      </c>
      <c r="T84" s="314">
        <f t="shared" si="7"/>
        <v>0</v>
      </c>
      <c r="U84" s="314">
        <f t="shared" si="12"/>
        <v>7965000</v>
      </c>
      <c r="V84" s="314">
        <f>+VLOOKUP(A84,[2]Sheet1!$B$11:$J$400,9,0)</f>
        <v>6645600</v>
      </c>
      <c r="W84" s="315" t="s">
        <v>1593</v>
      </c>
      <c r="X84" s="99" t="s">
        <v>942</v>
      </c>
      <c r="Y84" s="99" t="str">
        <f>+VLOOKUP(A84,[3]Sheet1!$B$11:$I$388,8,0)</f>
        <v>79 - 031</v>
      </c>
      <c r="Z84" s="99" t="s">
        <v>1796</v>
      </c>
      <c r="AA84" s="99" t="s">
        <v>2771</v>
      </c>
      <c r="AB84" s="100" t="s">
        <v>988</v>
      </c>
      <c r="AC84" s="99">
        <f>+VALUE(AB84:AB450)</f>
        <v>168088320</v>
      </c>
      <c r="AD84" s="99" t="s">
        <v>989</v>
      </c>
      <c r="AE84" s="99" t="s">
        <v>2427</v>
      </c>
      <c r="AF84" s="99" t="s">
        <v>990</v>
      </c>
      <c r="AG84" s="316" t="s">
        <v>991</v>
      </c>
      <c r="AH84" s="251"/>
      <c r="AI84" s="251"/>
      <c r="AJ84" s="251"/>
      <c r="AK84" s="251"/>
      <c r="AL84" s="251" t="s">
        <v>3608</v>
      </c>
      <c r="AM84" s="251"/>
      <c r="AN84" s="251"/>
      <c r="AO84" s="251"/>
      <c r="AP84" s="251"/>
      <c r="AQ84" s="251"/>
      <c r="AR84" s="251"/>
      <c r="AS84" s="321" t="s">
        <v>2174</v>
      </c>
      <c r="AT84" s="251" t="s">
        <v>3489</v>
      </c>
      <c r="AU84" s="379"/>
      <c r="AV84" s="380"/>
    </row>
    <row r="85" spans="1:48" x14ac:dyDescent="0.25">
      <c r="A85" s="359" t="s">
        <v>581</v>
      </c>
      <c r="B85" s="398" t="s">
        <v>3543</v>
      </c>
      <c r="C85" s="209" t="s">
        <v>56</v>
      </c>
      <c r="D85" s="97">
        <v>29092</v>
      </c>
      <c r="E85" s="97">
        <f>+DATE(YEAR(D85)+60,MONTH(D85),DAY(D85))</f>
        <v>51007</v>
      </c>
      <c r="F85" s="97">
        <v>51007</v>
      </c>
      <c r="G85" s="97">
        <f>+EOMONTH(F85,0)+1</f>
        <v>51014</v>
      </c>
      <c r="H85" s="97">
        <v>37377</v>
      </c>
      <c r="I85" s="206" t="s">
        <v>500</v>
      </c>
      <c r="J85" s="198" t="s">
        <v>287</v>
      </c>
      <c r="K85" s="118" t="s">
        <v>34</v>
      </c>
      <c r="L85" s="97">
        <v>43101</v>
      </c>
      <c r="M85" s="97">
        <v>44197</v>
      </c>
      <c r="N85" s="204" t="s">
        <v>74</v>
      </c>
      <c r="O85" s="119">
        <v>1.5</v>
      </c>
      <c r="P85" s="119"/>
      <c r="Q85" s="99"/>
      <c r="R85" s="314">
        <f t="shared" si="13"/>
        <v>7965000</v>
      </c>
      <c r="S85" s="314">
        <f t="shared" si="10"/>
        <v>0</v>
      </c>
      <c r="T85" s="314">
        <f t="shared" si="7"/>
        <v>0</v>
      </c>
      <c r="U85" s="332">
        <f t="shared" si="12"/>
        <v>7965000</v>
      </c>
      <c r="V85" s="314">
        <f>+VLOOKUP(A85,[2]Sheet1!$B$11:$J$400,9,0)</f>
        <v>8845200</v>
      </c>
      <c r="W85" s="315" t="s">
        <v>1538</v>
      </c>
      <c r="X85" s="99" t="s">
        <v>1801</v>
      </c>
      <c r="Y85" s="99" t="str">
        <f>+VLOOKUP(A85,[3]Sheet1!$B$11:$I$388,8,0)</f>
        <v>79 - 025</v>
      </c>
      <c r="Z85" s="99" t="s">
        <v>1796</v>
      </c>
      <c r="AA85" s="100" t="s">
        <v>1951</v>
      </c>
      <c r="AB85" s="100" t="s">
        <v>1951</v>
      </c>
      <c r="AC85" s="99">
        <f>+VALUE(AB64:AB429)</f>
        <v>87179000336</v>
      </c>
      <c r="AD85" s="205" t="s">
        <v>1952</v>
      </c>
      <c r="AE85" s="99" t="s">
        <v>2427</v>
      </c>
      <c r="AF85" s="99" t="s">
        <v>779</v>
      </c>
      <c r="AG85" s="316" t="s">
        <v>780</v>
      </c>
      <c r="AH85" s="251"/>
      <c r="AI85" s="251" t="s">
        <v>3594</v>
      </c>
      <c r="AJ85" s="251"/>
      <c r="AK85" s="251"/>
      <c r="AL85" s="251"/>
      <c r="AM85" s="251"/>
      <c r="AN85" s="251"/>
      <c r="AO85" s="251"/>
      <c r="AP85" s="251"/>
      <c r="AQ85" s="251"/>
      <c r="AR85" s="251"/>
      <c r="AS85" s="321" t="s">
        <v>2157</v>
      </c>
      <c r="AT85" s="251" t="s">
        <v>3489</v>
      </c>
      <c r="AU85" s="379"/>
      <c r="AV85" s="380"/>
    </row>
    <row r="86" spans="1:48" x14ac:dyDescent="0.25">
      <c r="A86" s="357" t="s">
        <v>1872</v>
      </c>
      <c r="B86" s="393" t="s">
        <v>3542</v>
      </c>
      <c r="C86" s="100" t="s">
        <v>309</v>
      </c>
      <c r="D86" s="97">
        <v>29175</v>
      </c>
      <c r="E86" s="97">
        <f t="shared" ref="E86:E92" si="14">+DATE(YEAR(D86)+57,MONTH(D86),DAY(D86))</f>
        <v>49995</v>
      </c>
      <c r="F86" s="97">
        <f t="shared" ref="F86:F149" si="15">+EOMONTH(E86,0)+1</f>
        <v>50010</v>
      </c>
      <c r="G86" s="97">
        <v>50010</v>
      </c>
      <c r="H86" s="97">
        <v>37347</v>
      </c>
      <c r="I86" s="206" t="s">
        <v>500</v>
      </c>
      <c r="J86" s="198" t="s">
        <v>287</v>
      </c>
      <c r="K86" s="199" t="s">
        <v>281</v>
      </c>
      <c r="L86" s="97">
        <v>41456</v>
      </c>
      <c r="M86" s="204"/>
      <c r="N86" s="204" t="s">
        <v>76</v>
      </c>
      <c r="O86" s="118">
        <v>1.58</v>
      </c>
      <c r="P86" s="119">
        <v>0.04</v>
      </c>
      <c r="Q86" s="99"/>
      <c r="R86" s="314">
        <f t="shared" si="13"/>
        <v>8389800</v>
      </c>
      <c r="S86" s="314">
        <f t="shared" si="10"/>
        <v>198400</v>
      </c>
      <c r="T86" s="314">
        <f t="shared" si="7"/>
        <v>0</v>
      </c>
      <c r="U86" s="314">
        <f t="shared" si="12"/>
        <v>8588200</v>
      </c>
      <c r="V86" s="314">
        <f>+VLOOKUP(A86,[2]Sheet1!$B$11:$J$400,9,0)</f>
        <v>7581600</v>
      </c>
      <c r="W86" s="315" t="s">
        <v>1575</v>
      </c>
      <c r="X86" s="99" t="s">
        <v>817</v>
      </c>
      <c r="Y86" s="99" t="str">
        <f>+VLOOKUP(A86,[3]Sheet1!$B$11:$I$388,8,0)</f>
        <v>79 - 426</v>
      </c>
      <c r="Z86" s="99" t="s">
        <v>1797</v>
      </c>
      <c r="AA86" s="99" t="s">
        <v>2772</v>
      </c>
      <c r="AB86" s="100" t="s">
        <v>931</v>
      </c>
      <c r="AC86" s="99">
        <f t="shared" ref="AC86:AC93" si="16">+VALUE(AB86:AB451)</f>
        <v>264040985</v>
      </c>
      <c r="AD86" s="99" t="s">
        <v>932</v>
      </c>
      <c r="AE86" s="99" t="s">
        <v>2427</v>
      </c>
      <c r="AF86" s="99" t="s">
        <v>933</v>
      </c>
      <c r="AG86" s="316" t="s">
        <v>548</v>
      </c>
      <c r="AH86" s="251"/>
      <c r="AI86" s="251"/>
      <c r="AJ86" s="251"/>
      <c r="AK86" s="251" t="s">
        <v>3585</v>
      </c>
      <c r="AL86" s="251"/>
      <c r="AM86" s="251"/>
      <c r="AN86" s="251"/>
      <c r="AO86" s="251"/>
      <c r="AP86" s="251"/>
      <c r="AQ86" s="251"/>
      <c r="AR86" s="251"/>
      <c r="AS86" s="321" t="s">
        <v>2175</v>
      </c>
      <c r="AT86" s="251" t="s">
        <v>3489</v>
      </c>
      <c r="AU86" s="379"/>
      <c r="AV86" s="380"/>
    </row>
    <row r="87" spans="1:48" s="170" customFormat="1" x14ac:dyDescent="0.25">
      <c r="A87" s="364" t="s">
        <v>1972</v>
      </c>
      <c r="B87" s="393" t="s">
        <v>3542</v>
      </c>
      <c r="C87" s="214" t="s">
        <v>1973</v>
      </c>
      <c r="D87" s="215">
        <v>35495</v>
      </c>
      <c r="E87" s="97">
        <f t="shared" si="14"/>
        <v>56314</v>
      </c>
      <c r="F87" s="97">
        <f t="shared" si="15"/>
        <v>56340</v>
      </c>
      <c r="G87" s="97">
        <v>56340</v>
      </c>
      <c r="H87" s="211">
        <v>43647</v>
      </c>
      <c r="I87" s="206" t="s">
        <v>500</v>
      </c>
      <c r="J87" s="198" t="s">
        <v>287</v>
      </c>
      <c r="K87" s="207" t="s">
        <v>281</v>
      </c>
      <c r="L87" s="211">
        <v>43647</v>
      </c>
      <c r="M87" s="333"/>
      <c r="N87" s="238" t="s">
        <v>71</v>
      </c>
      <c r="O87" s="118">
        <v>1.49</v>
      </c>
      <c r="P87" s="218"/>
      <c r="Q87" s="213"/>
      <c r="R87" s="314">
        <f t="shared" si="13"/>
        <v>7911900</v>
      </c>
      <c r="S87" s="314">
        <f t="shared" si="10"/>
        <v>0</v>
      </c>
      <c r="T87" s="314">
        <f t="shared" si="7"/>
        <v>0</v>
      </c>
      <c r="U87" s="314">
        <f t="shared" si="12"/>
        <v>7911900</v>
      </c>
      <c r="V87" s="314">
        <f>+VLOOKUP(A87,[2]Sheet1!$B$11:$J$400,9,0)</f>
        <v>6973200</v>
      </c>
      <c r="W87" s="315" t="s">
        <v>1978</v>
      </c>
      <c r="X87" s="213" t="s">
        <v>1979</v>
      </c>
      <c r="Y87" s="99" t="str">
        <f>+VLOOKUP(A87,[3]Sheet1!$B$11:$I$388,8,0)</f>
        <v>74 - 024</v>
      </c>
      <c r="Z87" s="213" t="s">
        <v>1797</v>
      </c>
      <c r="AA87" s="99" t="s">
        <v>2773</v>
      </c>
      <c r="AB87" s="214" t="s">
        <v>1974</v>
      </c>
      <c r="AC87" s="99">
        <f t="shared" si="16"/>
        <v>192055823</v>
      </c>
      <c r="AD87" s="259" t="s">
        <v>1975</v>
      </c>
      <c r="AE87" s="213" t="s">
        <v>2427</v>
      </c>
      <c r="AF87" s="213" t="s">
        <v>1009</v>
      </c>
      <c r="AG87" s="334" t="s">
        <v>1010</v>
      </c>
      <c r="AH87" s="335"/>
      <c r="AI87" s="335"/>
      <c r="AJ87" s="335"/>
      <c r="AK87" s="335" t="s">
        <v>3609</v>
      </c>
      <c r="AL87" s="335"/>
      <c r="AM87" s="335"/>
      <c r="AN87" s="335"/>
      <c r="AO87" s="335"/>
      <c r="AP87" s="336">
        <v>43647</v>
      </c>
      <c r="AQ87" s="335"/>
      <c r="AR87" s="336">
        <v>44378</v>
      </c>
      <c r="AS87" s="321" t="s">
        <v>2176</v>
      </c>
      <c r="AT87" s="251" t="s">
        <v>3489</v>
      </c>
      <c r="AU87" s="381"/>
      <c r="AV87" s="382"/>
    </row>
    <row r="88" spans="1:48" x14ac:dyDescent="0.25">
      <c r="A88" s="357" t="s">
        <v>1943</v>
      </c>
      <c r="B88" s="393" t="s">
        <v>3542</v>
      </c>
      <c r="C88" s="100" t="s">
        <v>1965</v>
      </c>
      <c r="D88" s="205">
        <v>36298</v>
      </c>
      <c r="E88" s="97">
        <f t="shared" si="14"/>
        <v>57118</v>
      </c>
      <c r="F88" s="97">
        <f t="shared" si="15"/>
        <v>57132</v>
      </c>
      <c r="G88" s="97">
        <v>57132</v>
      </c>
      <c r="H88" s="97">
        <v>43586</v>
      </c>
      <c r="I88" s="206" t="s">
        <v>500</v>
      </c>
      <c r="J88" s="207" t="s">
        <v>287</v>
      </c>
      <c r="K88" s="199" t="s">
        <v>281</v>
      </c>
      <c r="L88" s="97">
        <v>43586</v>
      </c>
      <c r="M88" s="204"/>
      <c r="N88" s="238" t="s">
        <v>71</v>
      </c>
      <c r="O88" s="118">
        <v>1.49</v>
      </c>
      <c r="P88" s="119"/>
      <c r="Q88" s="99"/>
      <c r="R88" s="314">
        <f t="shared" si="13"/>
        <v>7911900</v>
      </c>
      <c r="S88" s="314">
        <f t="shared" si="10"/>
        <v>0</v>
      </c>
      <c r="T88" s="314">
        <f t="shared" si="7"/>
        <v>0</v>
      </c>
      <c r="U88" s="314">
        <f t="shared" si="12"/>
        <v>7911900</v>
      </c>
      <c r="V88" s="314">
        <f>+VLOOKUP(A88,[2]Sheet1!$B$11:$J$400,9,0)</f>
        <v>6973200</v>
      </c>
      <c r="W88" s="315" t="s">
        <v>1977</v>
      </c>
      <c r="X88" s="99" t="s">
        <v>872</v>
      </c>
      <c r="Y88" s="99" t="str">
        <f>+VLOOKUP(A88,[3]Sheet1!$B$11:$I$388,8,0)</f>
        <v>79 - 037</v>
      </c>
      <c r="Z88" s="99" t="s">
        <v>1797</v>
      </c>
      <c r="AA88" s="99" t="s">
        <v>1966</v>
      </c>
      <c r="AB88" s="223" t="s">
        <v>1966</v>
      </c>
      <c r="AC88" s="99">
        <f t="shared" si="16"/>
        <v>36099008983</v>
      </c>
      <c r="AD88" s="205" t="s">
        <v>1967</v>
      </c>
      <c r="AE88" s="99" t="s">
        <v>2427</v>
      </c>
      <c r="AF88" s="99" t="s">
        <v>1968</v>
      </c>
      <c r="AG88" s="316" t="s">
        <v>894</v>
      </c>
      <c r="AH88" s="251"/>
      <c r="AI88" s="251"/>
      <c r="AJ88" s="251"/>
      <c r="AK88" s="251" t="s">
        <v>3610</v>
      </c>
      <c r="AL88" s="251"/>
      <c r="AM88" s="251"/>
      <c r="AN88" s="251"/>
      <c r="AO88" s="251"/>
      <c r="AP88" s="247">
        <v>43586</v>
      </c>
      <c r="AQ88" s="251"/>
      <c r="AR88" s="247">
        <v>44317</v>
      </c>
      <c r="AS88" s="321" t="s">
        <v>2177</v>
      </c>
      <c r="AT88" s="251" t="s">
        <v>3489</v>
      </c>
      <c r="AU88" s="379"/>
      <c r="AV88" s="380"/>
    </row>
    <row r="89" spans="1:48" x14ac:dyDescent="0.25">
      <c r="A89" s="358" t="s">
        <v>1935</v>
      </c>
      <c r="B89" s="393" t="s">
        <v>3542</v>
      </c>
      <c r="C89" s="100" t="s">
        <v>1936</v>
      </c>
      <c r="D89" s="97">
        <v>26592</v>
      </c>
      <c r="E89" s="97">
        <f t="shared" si="14"/>
        <v>47411</v>
      </c>
      <c r="F89" s="97">
        <f t="shared" si="15"/>
        <v>47423</v>
      </c>
      <c r="G89" s="97">
        <v>47423</v>
      </c>
      <c r="H89" s="97">
        <v>43586</v>
      </c>
      <c r="I89" s="206" t="s">
        <v>500</v>
      </c>
      <c r="J89" s="198" t="s">
        <v>287</v>
      </c>
      <c r="K89" s="199" t="s">
        <v>281</v>
      </c>
      <c r="L89" s="97">
        <v>42248</v>
      </c>
      <c r="M89" s="204"/>
      <c r="N89" s="238" t="s">
        <v>76</v>
      </c>
      <c r="O89" s="118">
        <v>1.58</v>
      </c>
      <c r="P89" s="119"/>
      <c r="Q89" s="99"/>
      <c r="R89" s="314">
        <f t="shared" si="13"/>
        <v>8389800</v>
      </c>
      <c r="S89" s="314">
        <f t="shared" si="10"/>
        <v>0</v>
      </c>
      <c r="T89" s="314">
        <f t="shared" si="7"/>
        <v>0</v>
      </c>
      <c r="U89" s="314">
        <f t="shared" si="12"/>
        <v>8389800</v>
      </c>
      <c r="V89" s="314">
        <f>+VLOOKUP(A89,[2]Sheet1!$B$11:$J$400,9,0)</f>
        <v>7675200</v>
      </c>
      <c r="W89" s="315" t="s">
        <v>1963</v>
      </c>
      <c r="X89" s="99" t="s">
        <v>1019</v>
      </c>
      <c r="Y89" s="99" t="str">
        <f>+VLOOKUP(A89,[3]Sheet1!$B$11:$I$388,8,0)</f>
        <v>79 - 029</v>
      </c>
      <c r="Z89" s="99" t="s">
        <v>1795</v>
      </c>
      <c r="AA89" s="99" t="s">
        <v>2774</v>
      </c>
      <c r="AB89" s="100" t="s">
        <v>1937</v>
      </c>
      <c r="AC89" s="99">
        <f t="shared" si="16"/>
        <v>25018695</v>
      </c>
      <c r="AD89" s="205" t="s">
        <v>1938</v>
      </c>
      <c r="AE89" s="99" t="s">
        <v>2427</v>
      </c>
      <c r="AF89" s="99" t="s">
        <v>1939</v>
      </c>
      <c r="AG89" s="316" t="s">
        <v>1964</v>
      </c>
      <c r="AH89" s="251"/>
      <c r="AI89" s="251" t="s">
        <v>3591</v>
      </c>
      <c r="AJ89" s="251"/>
      <c r="AK89" s="251"/>
      <c r="AL89" s="251"/>
      <c r="AM89" s="251"/>
      <c r="AN89" s="251"/>
      <c r="AO89" s="251"/>
      <c r="AP89" s="247">
        <v>43586</v>
      </c>
      <c r="AQ89" s="251"/>
      <c r="AR89" s="247">
        <v>44317</v>
      </c>
      <c r="AS89" s="321" t="s">
        <v>2178</v>
      </c>
      <c r="AT89" s="251" t="s">
        <v>3489</v>
      </c>
      <c r="AU89" s="379"/>
      <c r="AV89" s="380"/>
    </row>
    <row r="90" spans="1:48" x14ac:dyDescent="0.25">
      <c r="A90" s="355" t="s">
        <v>116</v>
      </c>
      <c r="B90" s="393" t="s">
        <v>3542</v>
      </c>
      <c r="C90" s="100" t="s">
        <v>313</v>
      </c>
      <c r="D90" s="97">
        <v>31320</v>
      </c>
      <c r="E90" s="97">
        <f t="shared" si="14"/>
        <v>52139</v>
      </c>
      <c r="F90" s="97">
        <f t="shared" si="15"/>
        <v>52140</v>
      </c>
      <c r="G90" s="97">
        <v>52140</v>
      </c>
      <c r="H90" s="97">
        <v>41061</v>
      </c>
      <c r="I90" s="206" t="s">
        <v>1902</v>
      </c>
      <c r="J90" s="198" t="s">
        <v>287</v>
      </c>
      <c r="K90" s="118" t="s">
        <v>281</v>
      </c>
      <c r="L90" s="97">
        <v>41061</v>
      </c>
      <c r="M90" s="204"/>
      <c r="N90" s="204" t="s">
        <v>76</v>
      </c>
      <c r="O90" s="118">
        <v>1.58</v>
      </c>
      <c r="P90" s="119">
        <v>0.06</v>
      </c>
      <c r="Q90" s="99"/>
      <c r="R90" s="314">
        <f t="shared" si="13"/>
        <v>8389800</v>
      </c>
      <c r="S90" s="314">
        <f t="shared" si="10"/>
        <v>297600</v>
      </c>
      <c r="T90" s="314">
        <f t="shared" si="7"/>
        <v>0</v>
      </c>
      <c r="U90" s="314">
        <f t="shared" si="12"/>
        <v>8687400</v>
      </c>
      <c r="V90" s="314">
        <f>+VLOOKUP(A90,[2]Sheet1!$B$11:$J$400,9,0)</f>
        <v>7394400</v>
      </c>
      <c r="W90" s="315" t="s">
        <v>1579</v>
      </c>
      <c r="X90" s="99" t="s">
        <v>942</v>
      </c>
      <c r="Y90" s="99" t="str">
        <f>+VLOOKUP(A90,[3]Sheet1!$B$11:$I$388,8,0)</f>
        <v>79 - 036</v>
      </c>
      <c r="Z90" s="99" t="s">
        <v>1795</v>
      </c>
      <c r="AA90" s="99" t="s">
        <v>2775</v>
      </c>
      <c r="AB90" s="100">
        <v>162727406</v>
      </c>
      <c r="AC90" s="99">
        <f t="shared" si="16"/>
        <v>162727406</v>
      </c>
      <c r="AD90" s="99" t="s">
        <v>946</v>
      </c>
      <c r="AE90" s="99" t="s">
        <v>2427</v>
      </c>
      <c r="AF90" s="99" t="s">
        <v>947</v>
      </c>
      <c r="AG90" s="316" t="s">
        <v>948</v>
      </c>
      <c r="AH90" s="251"/>
      <c r="AI90" s="251" t="s">
        <v>3611</v>
      </c>
      <c r="AJ90" s="251"/>
      <c r="AK90" s="251"/>
      <c r="AL90" s="251"/>
      <c r="AM90" s="251"/>
      <c r="AN90" s="251"/>
      <c r="AO90" s="251"/>
      <c r="AP90" s="251"/>
      <c r="AQ90" s="251"/>
      <c r="AR90" s="251"/>
      <c r="AS90" s="321" t="s">
        <v>2179</v>
      </c>
      <c r="AT90" s="251" t="s">
        <v>3489</v>
      </c>
      <c r="AU90" s="379"/>
      <c r="AV90" s="380"/>
    </row>
    <row r="91" spans="1:48" x14ac:dyDescent="0.25">
      <c r="A91" s="355" t="s">
        <v>117</v>
      </c>
      <c r="B91" s="393" t="s">
        <v>3542</v>
      </c>
      <c r="C91" s="100" t="s">
        <v>314</v>
      </c>
      <c r="D91" s="97">
        <v>29965</v>
      </c>
      <c r="E91" s="97">
        <f t="shared" si="14"/>
        <v>50784</v>
      </c>
      <c r="F91" s="97">
        <f t="shared" si="15"/>
        <v>50802</v>
      </c>
      <c r="G91" s="97">
        <v>50802</v>
      </c>
      <c r="H91" s="97">
        <v>40878</v>
      </c>
      <c r="I91" s="206" t="s">
        <v>1902</v>
      </c>
      <c r="J91" s="198" t="s">
        <v>287</v>
      </c>
      <c r="K91" s="118" t="s">
        <v>281</v>
      </c>
      <c r="L91" s="97">
        <v>43405</v>
      </c>
      <c r="M91" s="204"/>
      <c r="N91" s="204" t="s">
        <v>71</v>
      </c>
      <c r="O91" s="118">
        <v>1.49</v>
      </c>
      <c r="P91" s="119"/>
      <c r="Q91" s="99"/>
      <c r="R91" s="314">
        <f t="shared" si="13"/>
        <v>7911900</v>
      </c>
      <c r="S91" s="314">
        <f t="shared" si="10"/>
        <v>0</v>
      </c>
      <c r="T91" s="314">
        <f t="shared" si="7"/>
        <v>0</v>
      </c>
      <c r="U91" s="314">
        <f t="shared" si="12"/>
        <v>7911900</v>
      </c>
      <c r="V91" s="314">
        <f>+VLOOKUP(A91,[2]Sheet1!$B$11:$J$400,9,0)</f>
        <v>6973200</v>
      </c>
      <c r="W91" s="315" t="s">
        <v>1580</v>
      </c>
      <c r="X91" s="99" t="s">
        <v>942</v>
      </c>
      <c r="Y91" s="99" t="str">
        <f>+VLOOKUP(A91,[3]Sheet1!$B$11:$I$388,8,0)</f>
        <v>79 - 037</v>
      </c>
      <c r="Z91" s="99" t="s">
        <v>1795</v>
      </c>
      <c r="AA91" s="99" t="s">
        <v>2776</v>
      </c>
      <c r="AB91" s="100">
        <v>100727902</v>
      </c>
      <c r="AC91" s="99">
        <f t="shared" si="16"/>
        <v>100727902</v>
      </c>
      <c r="AD91" s="99" t="s">
        <v>949</v>
      </c>
      <c r="AE91" s="99" t="s">
        <v>2427</v>
      </c>
      <c r="AF91" s="99" t="s">
        <v>951</v>
      </c>
      <c r="AG91" s="316" t="s">
        <v>952</v>
      </c>
      <c r="AH91" s="251"/>
      <c r="AI91" s="251" t="s">
        <v>3611</v>
      </c>
      <c r="AJ91" s="251"/>
      <c r="AK91" s="251"/>
      <c r="AL91" s="251"/>
      <c r="AM91" s="251"/>
      <c r="AN91" s="251"/>
      <c r="AO91" s="251"/>
      <c r="AP91" s="251"/>
      <c r="AQ91" s="251"/>
      <c r="AR91" s="251"/>
      <c r="AS91" s="321" t="s">
        <v>2180</v>
      </c>
      <c r="AT91" s="251" t="s">
        <v>3489</v>
      </c>
      <c r="AU91" s="379"/>
      <c r="AV91" s="380"/>
    </row>
    <row r="92" spans="1:48" x14ac:dyDescent="0.25">
      <c r="A92" s="364" t="s">
        <v>587</v>
      </c>
      <c r="B92" s="393" t="s">
        <v>3542</v>
      </c>
      <c r="C92" s="100" t="s">
        <v>315</v>
      </c>
      <c r="D92" s="97">
        <v>26392</v>
      </c>
      <c r="E92" s="97">
        <f t="shared" si="14"/>
        <v>47211</v>
      </c>
      <c r="F92" s="97">
        <f t="shared" si="15"/>
        <v>47239</v>
      </c>
      <c r="G92" s="97">
        <v>47239</v>
      </c>
      <c r="H92" s="97">
        <v>35370</v>
      </c>
      <c r="I92" s="206" t="s">
        <v>1902</v>
      </c>
      <c r="J92" s="198" t="s">
        <v>287</v>
      </c>
      <c r="K92" s="118" t="s">
        <v>281</v>
      </c>
      <c r="L92" s="97">
        <v>40360</v>
      </c>
      <c r="M92" s="204"/>
      <c r="N92" s="329" t="s">
        <v>74</v>
      </c>
      <c r="O92" s="118">
        <v>1.68</v>
      </c>
      <c r="P92" s="119"/>
      <c r="Q92" s="99"/>
      <c r="R92" s="314">
        <f t="shared" si="13"/>
        <v>8920800</v>
      </c>
      <c r="S92" s="314">
        <f t="shared" si="10"/>
        <v>0</v>
      </c>
      <c r="T92" s="314">
        <f t="shared" si="7"/>
        <v>0</v>
      </c>
      <c r="U92" s="314">
        <f t="shared" si="12"/>
        <v>8920800</v>
      </c>
      <c r="V92" s="314">
        <f>+VLOOKUP(A92,[2]Sheet1!$B$11:$J$400,9,0)</f>
        <v>7862400</v>
      </c>
      <c r="W92" s="315" t="s">
        <v>1581</v>
      </c>
      <c r="X92" s="99" t="s">
        <v>859</v>
      </c>
      <c r="Y92" s="99" t="str">
        <f>+VLOOKUP(A92,[3]Sheet1!$B$11:$I$388,8,0)</f>
        <v>79 - 034</v>
      </c>
      <c r="Z92" s="99" t="s">
        <v>1795</v>
      </c>
      <c r="AA92" s="99" t="s">
        <v>2777</v>
      </c>
      <c r="AB92" s="100">
        <v>280944872</v>
      </c>
      <c r="AC92" s="99">
        <f t="shared" si="16"/>
        <v>280944872</v>
      </c>
      <c r="AD92" s="99" t="s">
        <v>953</v>
      </c>
      <c r="AE92" s="99" t="s">
        <v>2427</v>
      </c>
      <c r="AF92" s="99" t="s">
        <v>954</v>
      </c>
      <c r="AG92" s="316" t="s">
        <v>945</v>
      </c>
      <c r="AH92" s="251"/>
      <c r="AI92" s="251" t="s">
        <v>3612</v>
      </c>
      <c r="AJ92" s="251"/>
      <c r="AK92" s="251"/>
      <c r="AL92" s="251"/>
      <c r="AM92" s="251"/>
      <c r="AN92" s="251"/>
      <c r="AO92" s="251"/>
      <c r="AP92" s="251"/>
      <c r="AQ92" s="251"/>
      <c r="AR92" s="251"/>
      <c r="AS92" s="321" t="s">
        <v>2181</v>
      </c>
      <c r="AT92" s="251" t="s">
        <v>3489</v>
      </c>
      <c r="AU92" s="379"/>
      <c r="AV92" s="380"/>
    </row>
    <row r="93" spans="1:48" x14ac:dyDescent="0.25">
      <c r="A93" s="355" t="s">
        <v>1873</v>
      </c>
      <c r="B93" s="393" t="s">
        <v>3542</v>
      </c>
      <c r="C93" s="100" t="s">
        <v>316</v>
      </c>
      <c r="D93" s="97">
        <v>25588</v>
      </c>
      <c r="E93" s="97">
        <v>46223</v>
      </c>
      <c r="F93" s="97">
        <f t="shared" si="15"/>
        <v>46235</v>
      </c>
      <c r="G93" s="97">
        <v>46235</v>
      </c>
      <c r="H93" s="97">
        <v>33512</v>
      </c>
      <c r="I93" s="206" t="s">
        <v>1902</v>
      </c>
      <c r="J93" s="198" t="s">
        <v>287</v>
      </c>
      <c r="K93" s="118" t="s">
        <v>281</v>
      </c>
      <c r="L93" s="97">
        <v>41456</v>
      </c>
      <c r="M93" s="204"/>
      <c r="N93" s="204" t="s">
        <v>74</v>
      </c>
      <c r="O93" s="118">
        <v>1.68</v>
      </c>
      <c r="P93" s="119"/>
      <c r="Q93" s="99"/>
      <c r="R93" s="314">
        <f t="shared" si="13"/>
        <v>8920800</v>
      </c>
      <c r="S93" s="314">
        <f t="shared" si="10"/>
        <v>0</v>
      </c>
      <c r="T93" s="314">
        <f t="shared" si="7"/>
        <v>0</v>
      </c>
      <c r="U93" s="314">
        <f t="shared" si="12"/>
        <v>8920800</v>
      </c>
      <c r="V93" s="314">
        <f>+VLOOKUP(A93,[2]Sheet1!$B$11:$J$400,9,0)</f>
        <v>7862400</v>
      </c>
      <c r="W93" s="315" t="s">
        <v>1582</v>
      </c>
      <c r="X93" s="99" t="s">
        <v>859</v>
      </c>
      <c r="Y93" s="99" t="str">
        <f>+VLOOKUP(A93,[3]Sheet1!$B$11:$I$388,8,0)</f>
        <v>79 - 037</v>
      </c>
      <c r="Z93" s="99" t="s">
        <v>1797</v>
      </c>
      <c r="AA93" s="99" t="s">
        <v>2779</v>
      </c>
      <c r="AB93" s="100" t="s">
        <v>955</v>
      </c>
      <c r="AC93" s="99">
        <f t="shared" si="16"/>
        <v>25662110</v>
      </c>
      <c r="AD93" s="99" t="s">
        <v>956</v>
      </c>
      <c r="AE93" s="99" t="s">
        <v>2427</v>
      </c>
      <c r="AF93" s="99" t="s">
        <v>957</v>
      </c>
      <c r="AG93" s="316" t="s">
        <v>958</v>
      </c>
      <c r="AH93" s="251"/>
      <c r="AI93" s="251"/>
      <c r="AJ93" s="251"/>
      <c r="AK93" s="251"/>
      <c r="AL93" s="251" t="s">
        <v>3613</v>
      </c>
      <c r="AM93" s="251"/>
      <c r="AN93" s="251"/>
      <c r="AO93" s="251"/>
      <c r="AP93" s="251"/>
      <c r="AQ93" s="251"/>
      <c r="AR93" s="251"/>
      <c r="AS93" s="321" t="s">
        <v>2182</v>
      </c>
      <c r="AT93" s="251" t="s">
        <v>3489</v>
      </c>
      <c r="AU93" s="379"/>
      <c r="AV93" s="380"/>
    </row>
    <row r="94" spans="1:48" x14ac:dyDescent="0.25">
      <c r="A94" s="355" t="s">
        <v>1874</v>
      </c>
      <c r="B94" s="393" t="s">
        <v>3542</v>
      </c>
      <c r="C94" s="100" t="s">
        <v>317</v>
      </c>
      <c r="D94" s="97">
        <v>27186</v>
      </c>
      <c r="E94" s="97">
        <f>+DATE(YEAR(D94)+57,MONTH(D94),DAY(D94))</f>
        <v>48005</v>
      </c>
      <c r="F94" s="97">
        <f t="shared" si="15"/>
        <v>48030</v>
      </c>
      <c r="G94" s="97">
        <v>48030</v>
      </c>
      <c r="H94" s="97">
        <v>35947</v>
      </c>
      <c r="I94" s="206" t="s">
        <v>1902</v>
      </c>
      <c r="J94" s="198" t="s">
        <v>287</v>
      </c>
      <c r="K94" s="118" t="s">
        <v>281</v>
      </c>
      <c r="L94" s="97">
        <v>41091</v>
      </c>
      <c r="M94" s="204"/>
      <c r="N94" s="204" t="s">
        <v>74</v>
      </c>
      <c r="O94" s="118">
        <v>1.68</v>
      </c>
      <c r="P94" s="119"/>
      <c r="Q94" s="99"/>
      <c r="R94" s="314">
        <f t="shared" si="13"/>
        <v>8920800</v>
      </c>
      <c r="S94" s="314">
        <f t="shared" si="10"/>
        <v>0</v>
      </c>
      <c r="T94" s="314">
        <f t="shared" si="7"/>
        <v>0</v>
      </c>
      <c r="U94" s="314">
        <f t="shared" si="12"/>
        <v>8920800</v>
      </c>
      <c r="V94" s="314">
        <f>+VLOOKUP(A94,[2]Sheet1!$B$11:$J$400,9,0)</f>
        <v>7862400</v>
      </c>
      <c r="W94" s="315" t="s">
        <v>1584</v>
      </c>
      <c r="X94" s="99" t="s">
        <v>859</v>
      </c>
      <c r="Y94" s="99" t="str">
        <f>+VLOOKUP(A94,[3]Sheet1!$B$11:$I$388,8,0)</f>
        <v>79 - 034</v>
      </c>
      <c r="Z94" s="99" t="s">
        <v>1797</v>
      </c>
      <c r="AA94" s="99" t="s">
        <v>2780</v>
      </c>
      <c r="AB94" s="100">
        <v>280944871</v>
      </c>
      <c r="AC94" s="99">
        <f>+VALUE(AB94:AB460)</f>
        <v>280944871</v>
      </c>
      <c r="AD94" s="99" t="s">
        <v>953</v>
      </c>
      <c r="AE94" s="99" t="s">
        <v>2427</v>
      </c>
      <c r="AF94" s="99" t="s">
        <v>961</v>
      </c>
      <c r="AG94" s="316" t="s">
        <v>945</v>
      </c>
      <c r="AH94" s="251"/>
      <c r="AI94" s="251"/>
      <c r="AJ94" s="251" t="s">
        <v>3614</v>
      </c>
      <c r="AK94" s="251"/>
      <c r="AL94" s="251"/>
      <c r="AM94" s="251"/>
      <c r="AN94" s="251"/>
      <c r="AO94" s="251"/>
      <c r="AP94" s="251"/>
      <c r="AQ94" s="251"/>
      <c r="AR94" s="251"/>
      <c r="AS94" s="321" t="s">
        <v>2183</v>
      </c>
      <c r="AT94" s="251" t="s">
        <v>3489</v>
      </c>
      <c r="AU94" s="379"/>
      <c r="AV94" s="380"/>
    </row>
    <row r="95" spans="1:48" x14ac:dyDescent="0.25">
      <c r="A95" s="355" t="s">
        <v>118</v>
      </c>
      <c r="B95" s="393" t="s">
        <v>3542</v>
      </c>
      <c r="C95" s="100" t="s">
        <v>154</v>
      </c>
      <c r="D95" s="97">
        <v>32428</v>
      </c>
      <c r="E95" s="97">
        <f>+DATE(YEAR(D95)+57,MONTH(D95),DAY(D95))</f>
        <v>53247</v>
      </c>
      <c r="F95" s="97">
        <f t="shared" si="15"/>
        <v>53267</v>
      </c>
      <c r="G95" s="97">
        <v>53267</v>
      </c>
      <c r="H95" s="97">
        <v>40422</v>
      </c>
      <c r="I95" s="206" t="s">
        <v>1902</v>
      </c>
      <c r="J95" s="198" t="s">
        <v>287</v>
      </c>
      <c r="K95" s="118" t="s">
        <v>283</v>
      </c>
      <c r="L95" s="97">
        <v>45839</v>
      </c>
      <c r="M95" s="204"/>
      <c r="N95" s="238" t="s">
        <v>76</v>
      </c>
      <c r="O95" s="118">
        <v>1.58</v>
      </c>
      <c r="P95" s="119">
        <v>0.04</v>
      </c>
      <c r="Q95" s="99"/>
      <c r="R95" s="314">
        <f t="shared" si="13"/>
        <v>8389800</v>
      </c>
      <c r="S95" s="314">
        <f t="shared" si="10"/>
        <v>198400</v>
      </c>
      <c r="T95" s="314">
        <f t="shared" si="7"/>
        <v>0</v>
      </c>
      <c r="U95" s="314">
        <f t="shared" si="12"/>
        <v>8588200</v>
      </c>
      <c r="V95" s="314">
        <f>+VLOOKUP(A95,[2]Sheet1!$B$11:$J$400,9,0)</f>
        <v>7160400</v>
      </c>
      <c r="W95" s="315" t="s">
        <v>1583</v>
      </c>
      <c r="X95" s="99" t="s">
        <v>864</v>
      </c>
      <c r="Y95" s="99" t="str">
        <f>+VLOOKUP(A95,[3]Sheet1!$B$11:$I$388,8,0)</f>
        <v>74 - 024</v>
      </c>
      <c r="Z95" s="99" t="s">
        <v>1797</v>
      </c>
      <c r="AA95" s="99" t="s">
        <v>2781</v>
      </c>
      <c r="AB95" s="100">
        <v>281311672</v>
      </c>
      <c r="AC95" s="99">
        <f>+VALUE(AB22:AB400)</f>
        <v>281311672</v>
      </c>
      <c r="AD95" s="99" t="s">
        <v>815</v>
      </c>
      <c r="AE95" s="99" t="s">
        <v>2427</v>
      </c>
      <c r="AF95" s="99" t="s">
        <v>959</v>
      </c>
      <c r="AG95" s="316" t="s">
        <v>960</v>
      </c>
      <c r="AH95" s="251"/>
      <c r="AI95" s="251" t="s">
        <v>3579</v>
      </c>
      <c r="AJ95" s="251"/>
      <c r="AK95" s="251" t="s">
        <v>3585</v>
      </c>
      <c r="AL95" s="251"/>
      <c r="AM95" s="251"/>
      <c r="AN95" s="251"/>
      <c r="AO95" s="251"/>
      <c r="AP95" s="251"/>
      <c r="AQ95" s="251"/>
      <c r="AR95" s="251"/>
      <c r="AS95" s="251"/>
      <c r="AT95" s="251" t="s">
        <v>3489</v>
      </c>
      <c r="AU95" s="379"/>
      <c r="AV95" s="380"/>
    </row>
    <row r="96" spans="1:48" x14ac:dyDescent="0.25">
      <c r="A96" s="357" t="s">
        <v>105</v>
      </c>
      <c r="B96" s="393" t="s">
        <v>3542</v>
      </c>
      <c r="C96" s="97" t="s">
        <v>300</v>
      </c>
      <c r="D96" s="97">
        <v>31050</v>
      </c>
      <c r="E96" s="97">
        <f>+DATE(YEAR(D96)+57,MONTH(D96),DAY(D96))</f>
        <v>51869</v>
      </c>
      <c r="F96" s="97">
        <f t="shared" si="15"/>
        <v>51898</v>
      </c>
      <c r="G96" s="97">
        <v>51898</v>
      </c>
      <c r="H96" s="97">
        <v>41030</v>
      </c>
      <c r="I96" s="206" t="s">
        <v>1902</v>
      </c>
      <c r="J96" s="198" t="s">
        <v>287</v>
      </c>
      <c r="K96" s="199" t="s">
        <v>281</v>
      </c>
      <c r="L96" s="97">
        <v>43405</v>
      </c>
      <c r="M96" s="204"/>
      <c r="N96" s="204" t="s">
        <v>76</v>
      </c>
      <c r="O96" s="118">
        <v>1.58</v>
      </c>
      <c r="P96" s="119"/>
      <c r="Q96" s="99"/>
      <c r="R96" s="314">
        <f t="shared" si="13"/>
        <v>8389800</v>
      </c>
      <c r="S96" s="314">
        <f t="shared" si="10"/>
        <v>0</v>
      </c>
      <c r="T96" s="314">
        <f t="shared" si="7"/>
        <v>0</v>
      </c>
      <c r="U96" s="314">
        <f t="shared" si="12"/>
        <v>8389800</v>
      </c>
      <c r="V96" s="314">
        <f>+VLOOKUP(A96,[2]Sheet1!$B$11:$J$400,9,0)</f>
        <v>7394400</v>
      </c>
      <c r="W96" s="315" t="s">
        <v>1565</v>
      </c>
      <c r="X96" s="99" t="s">
        <v>890</v>
      </c>
      <c r="Y96" s="99" t="str">
        <f>+VLOOKUP(A96,[3]Sheet1!$B$11:$I$388,8,0)</f>
        <v>79 - 037</v>
      </c>
      <c r="Z96" s="99" t="s">
        <v>1795</v>
      </c>
      <c r="AA96" s="99" t="s">
        <v>2765</v>
      </c>
      <c r="AB96" s="100" t="s">
        <v>891</v>
      </c>
      <c r="AC96" s="99">
        <f>+VALUE(AB71:AB437)</f>
        <v>162797013</v>
      </c>
      <c r="AD96" s="99" t="s">
        <v>892</v>
      </c>
      <c r="AE96" s="99" t="s">
        <v>2427</v>
      </c>
      <c r="AF96" s="99" t="s">
        <v>893</v>
      </c>
      <c r="AG96" s="316" t="s">
        <v>894</v>
      </c>
      <c r="AH96" s="251"/>
      <c r="AI96" s="251" t="s">
        <v>3577</v>
      </c>
      <c r="AJ96" s="251"/>
      <c r="AK96" s="251" t="s">
        <v>3615</v>
      </c>
      <c r="AL96" s="251"/>
      <c r="AM96" s="251"/>
      <c r="AN96" s="251"/>
      <c r="AO96" s="251"/>
      <c r="AP96" s="251"/>
      <c r="AQ96" s="251"/>
      <c r="AR96" s="251"/>
      <c r="AS96" s="321" t="s">
        <v>2164</v>
      </c>
      <c r="AT96" s="251" t="s">
        <v>3489</v>
      </c>
      <c r="AU96" s="379"/>
      <c r="AV96" s="380"/>
    </row>
    <row r="97" spans="1:48" x14ac:dyDescent="0.25">
      <c r="A97" s="363" t="s">
        <v>501</v>
      </c>
      <c r="B97" s="393" t="s">
        <v>3542</v>
      </c>
      <c r="C97" s="209" t="s">
        <v>593</v>
      </c>
      <c r="D97" s="97">
        <v>30703</v>
      </c>
      <c r="E97" s="97">
        <f>+DATE(YEAR(D97)+55,MONTH(D97),DAY(D97))</f>
        <v>50792</v>
      </c>
      <c r="F97" s="97">
        <f t="shared" si="15"/>
        <v>50802</v>
      </c>
      <c r="G97" s="97">
        <v>50802</v>
      </c>
      <c r="H97" s="97">
        <v>38473</v>
      </c>
      <c r="I97" s="206" t="s">
        <v>1902</v>
      </c>
      <c r="J97" s="198" t="s">
        <v>287</v>
      </c>
      <c r="K97" s="118" t="s">
        <v>281</v>
      </c>
      <c r="L97" s="97">
        <v>42309</v>
      </c>
      <c r="M97" s="204"/>
      <c r="N97" s="204" t="s">
        <v>74</v>
      </c>
      <c r="O97" s="337">
        <v>1.5</v>
      </c>
      <c r="P97" s="119"/>
      <c r="Q97" s="99"/>
      <c r="R97" s="314">
        <f t="shared" si="13"/>
        <v>7965000</v>
      </c>
      <c r="S97" s="314">
        <f t="shared" si="10"/>
        <v>0</v>
      </c>
      <c r="T97" s="314">
        <f t="shared" si="7"/>
        <v>0</v>
      </c>
      <c r="U97" s="314">
        <f t="shared" si="12"/>
        <v>7965000</v>
      </c>
      <c r="V97" s="314">
        <f>+VLOOKUP(A97,[2]Sheet1!$B$11:$J$400,9,0)</f>
        <v>7207200</v>
      </c>
      <c r="W97" s="315" t="s">
        <v>1585</v>
      </c>
      <c r="X97" s="99" t="s">
        <v>859</v>
      </c>
      <c r="Y97" s="99" t="str">
        <f>+VLOOKUP(A97,[3]Sheet1!$B$11:$I$388,8,0)</f>
        <v>79 - 036</v>
      </c>
      <c r="Z97" s="99" t="s">
        <v>1796</v>
      </c>
      <c r="AA97" s="99" t="s">
        <v>2782</v>
      </c>
      <c r="AB97" s="100">
        <v>281295219</v>
      </c>
      <c r="AC97" s="99">
        <f>+VALUE(AB97:AB462)</f>
        <v>281295219</v>
      </c>
      <c r="AD97" s="99" t="s">
        <v>943</v>
      </c>
      <c r="AE97" s="99" t="s">
        <v>2427</v>
      </c>
      <c r="AF97" s="99" t="s">
        <v>944</v>
      </c>
      <c r="AG97" s="316" t="s">
        <v>962</v>
      </c>
      <c r="AH97" s="251"/>
      <c r="AI97" s="251" t="s">
        <v>3583</v>
      </c>
      <c r="AJ97" s="251"/>
      <c r="AK97" s="251"/>
      <c r="AL97" s="251"/>
      <c r="AM97" s="251"/>
      <c r="AN97" s="251"/>
      <c r="AO97" s="251"/>
      <c r="AP97" s="251"/>
      <c r="AQ97" s="251"/>
      <c r="AR97" s="251"/>
      <c r="AS97" s="321" t="s">
        <v>2184</v>
      </c>
      <c r="AT97" s="251" t="s">
        <v>3489</v>
      </c>
      <c r="AU97" s="379"/>
      <c r="AV97" s="380"/>
    </row>
    <row r="98" spans="1:48" x14ac:dyDescent="0.25">
      <c r="A98" s="359" t="s">
        <v>120</v>
      </c>
      <c r="B98" s="398" t="s">
        <v>3543</v>
      </c>
      <c r="C98" s="209" t="s">
        <v>60</v>
      </c>
      <c r="D98" s="97">
        <v>31330</v>
      </c>
      <c r="E98" s="97">
        <f>+DATE(YEAR(D98)+55,MONTH(D98),DAY(D98))</f>
        <v>51419</v>
      </c>
      <c r="F98" s="97">
        <f t="shared" si="15"/>
        <v>51441</v>
      </c>
      <c r="G98" s="97">
        <v>51441</v>
      </c>
      <c r="H98" s="97">
        <v>39173</v>
      </c>
      <c r="I98" s="206" t="s">
        <v>1902</v>
      </c>
      <c r="J98" s="198" t="s">
        <v>287</v>
      </c>
      <c r="K98" s="118" t="s">
        <v>281</v>
      </c>
      <c r="L98" s="97">
        <v>41091</v>
      </c>
      <c r="M98" s="204"/>
      <c r="N98" s="204" t="s">
        <v>74</v>
      </c>
      <c r="O98" s="118">
        <v>1.5</v>
      </c>
      <c r="P98" s="119"/>
      <c r="Q98" s="99"/>
      <c r="R98" s="314">
        <f t="shared" si="13"/>
        <v>7965000</v>
      </c>
      <c r="S98" s="314">
        <f t="shared" si="10"/>
        <v>0</v>
      </c>
      <c r="T98" s="314">
        <f t="shared" si="7"/>
        <v>0</v>
      </c>
      <c r="U98" s="314">
        <f t="shared" si="12"/>
        <v>7965000</v>
      </c>
      <c r="V98" s="314">
        <f>+VLOOKUP(A98,[2]Sheet1!$B$11:$J$400,9,0)</f>
        <v>7020000</v>
      </c>
      <c r="W98" s="315" t="s">
        <v>1587</v>
      </c>
      <c r="X98" s="99" t="s">
        <v>1802</v>
      </c>
      <c r="Y98" s="99" t="str">
        <f>+VLOOKUP(A98,[3]Sheet1!$B$11:$I$388,8,0)</f>
        <v>79 - 037</v>
      </c>
      <c r="Z98" s="99" t="s">
        <v>1796</v>
      </c>
      <c r="AA98" s="99" t="s">
        <v>2783</v>
      </c>
      <c r="AB98" s="100">
        <v>281278621</v>
      </c>
      <c r="AC98" s="99">
        <f>+VALUE(AB98:AB464)</f>
        <v>281278621</v>
      </c>
      <c r="AD98" s="99" t="s">
        <v>967</v>
      </c>
      <c r="AE98" s="99" t="s">
        <v>2427</v>
      </c>
      <c r="AF98" s="99" t="s">
        <v>968</v>
      </c>
      <c r="AG98" s="316" t="s">
        <v>969</v>
      </c>
      <c r="AH98" s="251"/>
      <c r="AI98" s="251" t="s">
        <v>3583</v>
      </c>
      <c r="AJ98" s="251"/>
      <c r="AK98" s="251"/>
      <c r="AL98" s="251"/>
      <c r="AM98" s="251"/>
      <c r="AN98" s="251"/>
      <c r="AO98" s="251"/>
      <c r="AP98" s="251"/>
      <c r="AQ98" s="251"/>
      <c r="AR98" s="251"/>
      <c r="AS98" s="321" t="s">
        <v>2186</v>
      </c>
      <c r="AT98" s="251" t="s">
        <v>3489</v>
      </c>
      <c r="AU98" s="379"/>
      <c r="AV98" s="380"/>
    </row>
    <row r="99" spans="1:48" x14ac:dyDescent="0.25">
      <c r="A99" s="355" t="s">
        <v>1875</v>
      </c>
      <c r="B99" s="394" t="s">
        <v>3543</v>
      </c>
      <c r="C99" s="100" t="s">
        <v>324</v>
      </c>
      <c r="D99" s="97">
        <v>26004</v>
      </c>
      <c r="E99" s="97">
        <v>46733</v>
      </c>
      <c r="F99" s="97">
        <f t="shared" si="15"/>
        <v>46753</v>
      </c>
      <c r="G99" s="97">
        <v>46753</v>
      </c>
      <c r="H99" s="97">
        <v>34639</v>
      </c>
      <c r="I99" s="206" t="s">
        <v>3486</v>
      </c>
      <c r="J99" s="198" t="s">
        <v>287</v>
      </c>
      <c r="K99" s="199" t="s">
        <v>281</v>
      </c>
      <c r="L99" s="97">
        <v>41456</v>
      </c>
      <c r="M99" s="204"/>
      <c r="N99" s="238" t="s">
        <v>74</v>
      </c>
      <c r="O99" s="118">
        <v>1.68</v>
      </c>
      <c r="P99" s="119"/>
      <c r="Q99" s="99"/>
      <c r="R99" s="314">
        <f t="shared" si="13"/>
        <v>8920800</v>
      </c>
      <c r="S99" s="314">
        <f t="shared" si="10"/>
        <v>0</v>
      </c>
      <c r="T99" s="314">
        <f t="shared" si="7"/>
        <v>0</v>
      </c>
      <c r="U99" s="314">
        <f t="shared" si="12"/>
        <v>8920800</v>
      </c>
      <c r="V99" s="314">
        <f>+VLOOKUP(A99,[2]Sheet1!$B$11:$J$400,9,0)</f>
        <v>7862400</v>
      </c>
      <c r="W99" s="315" t="s">
        <v>1594</v>
      </c>
      <c r="X99" s="99" t="s">
        <v>992</v>
      </c>
      <c r="Y99" s="99" t="str">
        <f>+VLOOKUP(A99,[3]Sheet1!$B$11:$I$388,8,0)</f>
        <v>79 - 030</v>
      </c>
      <c r="Z99" s="99" t="s">
        <v>1787</v>
      </c>
      <c r="AA99" s="99" t="s">
        <v>2787</v>
      </c>
      <c r="AB99" s="100" t="s">
        <v>993</v>
      </c>
      <c r="AC99" s="99">
        <f>+VALUE(AB99:AB472)</f>
        <v>211335536</v>
      </c>
      <c r="AD99" s="99" t="s">
        <v>994</v>
      </c>
      <c r="AE99" s="99" t="s">
        <v>2427</v>
      </c>
      <c r="AF99" s="99" t="s">
        <v>995</v>
      </c>
      <c r="AG99" s="316" t="s">
        <v>996</v>
      </c>
      <c r="AH99" s="251"/>
      <c r="AI99" s="251"/>
      <c r="AJ99" s="251"/>
      <c r="AK99" s="251" t="s">
        <v>3585</v>
      </c>
      <c r="AL99" s="251"/>
      <c r="AM99" s="251"/>
      <c r="AN99" s="251"/>
      <c r="AO99" s="251"/>
      <c r="AP99" s="251"/>
      <c r="AQ99" s="251"/>
      <c r="AR99" s="251"/>
      <c r="AS99" s="321" t="s">
        <v>2192</v>
      </c>
      <c r="AT99" s="251" t="s">
        <v>3489</v>
      </c>
      <c r="AU99" s="379"/>
      <c r="AV99" s="380"/>
    </row>
    <row r="100" spans="1:48" x14ac:dyDescent="0.25">
      <c r="A100" s="357" t="s">
        <v>1876</v>
      </c>
      <c r="B100" s="399" t="s">
        <v>3542</v>
      </c>
      <c r="C100" s="100" t="s">
        <v>325</v>
      </c>
      <c r="D100" s="97">
        <v>27118</v>
      </c>
      <c r="E100" s="97">
        <f t="shared" ref="E100:E115" si="17">+DATE(YEAR(D100)+57,MONTH(D100),DAY(D100))</f>
        <v>47937</v>
      </c>
      <c r="F100" s="97">
        <f t="shared" si="15"/>
        <v>47939</v>
      </c>
      <c r="G100" s="97">
        <v>47939</v>
      </c>
      <c r="H100" s="97">
        <v>34973</v>
      </c>
      <c r="I100" s="206" t="s">
        <v>3486</v>
      </c>
      <c r="J100" s="198" t="s">
        <v>287</v>
      </c>
      <c r="K100" s="199" t="s">
        <v>285</v>
      </c>
      <c r="L100" s="97">
        <v>41091</v>
      </c>
      <c r="M100" s="204"/>
      <c r="N100" s="204" t="s">
        <v>76</v>
      </c>
      <c r="O100" s="118">
        <v>1.58</v>
      </c>
      <c r="P100" s="119">
        <v>0.04</v>
      </c>
      <c r="Q100" s="99"/>
      <c r="R100" s="314">
        <f t="shared" si="13"/>
        <v>8389800</v>
      </c>
      <c r="S100" s="314">
        <f t="shared" si="10"/>
        <v>198400</v>
      </c>
      <c r="T100" s="314">
        <f t="shared" ref="T100:T163" si="18">+Q100*2340000</f>
        <v>0</v>
      </c>
      <c r="U100" s="314">
        <f t="shared" si="12"/>
        <v>8588200</v>
      </c>
      <c r="V100" s="314">
        <f>+VLOOKUP(A100,[2]Sheet1!$B$11:$J$400,9,0)</f>
        <v>7581600</v>
      </c>
      <c r="W100" s="315" t="s">
        <v>1595</v>
      </c>
      <c r="X100" s="99" t="s">
        <v>992</v>
      </c>
      <c r="Y100" s="99" t="str">
        <f>+VLOOKUP(A100,[3]Sheet1!$B$11:$I$388,8,0)</f>
        <v>79 - 030</v>
      </c>
      <c r="Z100" s="99" t="s">
        <v>1787</v>
      </c>
      <c r="AA100" s="99" t="s">
        <v>2788</v>
      </c>
      <c r="AB100" s="100" t="s">
        <v>997</v>
      </c>
      <c r="AC100" s="99">
        <f>+VALUE(AB100:AB473)</f>
        <v>25242856</v>
      </c>
      <c r="AD100" s="99" t="s">
        <v>998</v>
      </c>
      <c r="AE100" s="99" t="s">
        <v>2427</v>
      </c>
      <c r="AF100" s="99" t="s">
        <v>999</v>
      </c>
      <c r="AG100" s="316" t="s">
        <v>856</v>
      </c>
      <c r="AH100" s="251"/>
      <c r="AI100" s="251" t="s">
        <v>3568</v>
      </c>
      <c r="AJ100" s="251"/>
      <c r="AK100" s="251"/>
      <c r="AL100" s="251"/>
      <c r="AM100" s="251"/>
      <c r="AN100" s="251"/>
      <c r="AO100" s="251"/>
      <c r="AP100" s="251"/>
      <c r="AQ100" s="251"/>
      <c r="AR100" s="251"/>
      <c r="AS100" s="321" t="s">
        <v>2193</v>
      </c>
      <c r="AT100" s="251" t="s">
        <v>3489</v>
      </c>
      <c r="AU100" s="379"/>
      <c r="AV100" s="380"/>
    </row>
    <row r="101" spans="1:48" x14ac:dyDescent="0.25">
      <c r="A101" s="355" t="s">
        <v>1812</v>
      </c>
      <c r="B101" s="399" t="s">
        <v>3542</v>
      </c>
      <c r="C101" s="100" t="s">
        <v>326</v>
      </c>
      <c r="D101" s="97">
        <v>26759</v>
      </c>
      <c r="E101" s="97">
        <f t="shared" si="17"/>
        <v>47578</v>
      </c>
      <c r="F101" s="97">
        <f t="shared" si="15"/>
        <v>47604</v>
      </c>
      <c r="G101" s="97">
        <v>47604</v>
      </c>
      <c r="H101" s="97">
        <v>35156</v>
      </c>
      <c r="I101" s="206" t="s">
        <v>3486</v>
      </c>
      <c r="J101" s="198" t="s">
        <v>287</v>
      </c>
      <c r="K101" s="199" t="s">
        <v>281</v>
      </c>
      <c r="L101" s="97">
        <v>41091</v>
      </c>
      <c r="M101" s="204"/>
      <c r="N101" s="204" t="s">
        <v>74</v>
      </c>
      <c r="O101" s="118">
        <v>1.68</v>
      </c>
      <c r="P101" s="119"/>
      <c r="Q101" s="99"/>
      <c r="R101" s="314">
        <f t="shared" si="13"/>
        <v>8920800</v>
      </c>
      <c r="S101" s="314">
        <f t="shared" si="10"/>
        <v>0</v>
      </c>
      <c r="T101" s="314">
        <f t="shared" si="18"/>
        <v>0</v>
      </c>
      <c r="U101" s="314">
        <f t="shared" si="12"/>
        <v>8920800</v>
      </c>
      <c r="V101" s="314">
        <f>+VLOOKUP(A101,[2]Sheet1!$B$11:$J$400,9,0)</f>
        <v>7862400</v>
      </c>
      <c r="W101" s="315" t="s">
        <v>1596</v>
      </c>
      <c r="X101" s="99" t="s">
        <v>992</v>
      </c>
      <c r="Y101" s="99" t="str">
        <f>+VLOOKUP(A101,[3]Sheet1!$B$11:$I$388,8,0)</f>
        <v>79 - 030</v>
      </c>
      <c r="Z101" s="99" t="s">
        <v>1787</v>
      </c>
      <c r="AA101" s="99" t="s">
        <v>2789</v>
      </c>
      <c r="AB101" s="100" t="s">
        <v>1000</v>
      </c>
      <c r="AC101" s="99">
        <f>+VALUE(AB101:AB474)</f>
        <v>25387802</v>
      </c>
      <c r="AD101" s="99" t="s">
        <v>1001</v>
      </c>
      <c r="AE101" s="99" t="s">
        <v>2427</v>
      </c>
      <c r="AF101" s="99" t="s">
        <v>1002</v>
      </c>
      <c r="AG101" s="316" t="s">
        <v>1003</v>
      </c>
      <c r="AH101" s="251"/>
      <c r="AI101" s="251"/>
      <c r="AJ101" s="251"/>
      <c r="AK101" s="251" t="s">
        <v>3585</v>
      </c>
      <c r="AL101" s="251"/>
      <c r="AM101" s="251"/>
      <c r="AN101" s="251"/>
      <c r="AO101" s="251"/>
      <c r="AP101" s="251"/>
      <c r="AQ101" s="251"/>
      <c r="AR101" s="251"/>
      <c r="AS101" s="321" t="s">
        <v>2194</v>
      </c>
      <c r="AT101" s="251" t="s">
        <v>3489</v>
      </c>
      <c r="AU101" s="379"/>
      <c r="AV101" s="380"/>
    </row>
    <row r="102" spans="1:48" x14ac:dyDescent="0.25">
      <c r="A102" s="355" t="s">
        <v>2152</v>
      </c>
      <c r="B102" s="399" t="s">
        <v>3542</v>
      </c>
      <c r="C102" s="223" t="s">
        <v>539</v>
      </c>
      <c r="D102" s="97">
        <v>26300</v>
      </c>
      <c r="E102" s="97">
        <f t="shared" si="17"/>
        <v>47120</v>
      </c>
      <c r="F102" s="97">
        <f t="shared" si="15"/>
        <v>47150</v>
      </c>
      <c r="G102" s="97">
        <v>47150</v>
      </c>
      <c r="H102" s="97">
        <v>33055</v>
      </c>
      <c r="I102" s="206" t="s">
        <v>3486</v>
      </c>
      <c r="J102" s="207" t="s">
        <v>287</v>
      </c>
      <c r="K102" s="118" t="s">
        <v>281</v>
      </c>
      <c r="L102" s="97">
        <v>42979</v>
      </c>
      <c r="M102" s="204"/>
      <c r="N102" s="204" t="s">
        <v>76</v>
      </c>
      <c r="O102" s="118">
        <v>1.58</v>
      </c>
      <c r="P102" s="119"/>
      <c r="Q102" s="99"/>
      <c r="R102" s="314">
        <f t="shared" si="13"/>
        <v>8389800</v>
      </c>
      <c r="S102" s="314">
        <f>+P102*4410000</f>
        <v>0</v>
      </c>
      <c r="T102" s="314">
        <f t="shared" si="18"/>
        <v>0</v>
      </c>
      <c r="U102" s="314">
        <f t="shared" si="12"/>
        <v>8389800</v>
      </c>
      <c r="V102" s="314">
        <v>6932800</v>
      </c>
      <c r="W102" s="315" t="s">
        <v>3057</v>
      </c>
      <c r="X102" s="99" t="s">
        <v>813</v>
      </c>
      <c r="Y102" s="99" t="e">
        <f>+VLOOKUP(A102,[3]Sheet1!$B$11:$I$388,8,0)</f>
        <v>#N/A</v>
      </c>
      <c r="Z102" s="99" t="s">
        <v>1787</v>
      </c>
      <c r="AA102" s="99" t="s">
        <v>3005</v>
      </c>
      <c r="AB102" s="100" t="s">
        <v>540</v>
      </c>
      <c r="AC102" s="99">
        <f>+VALUE(AB102:AB617)</f>
        <v>260692388</v>
      </c>
      <c r="AD102" s="201" t="s">
        <v>541</v>
      </c>
      <c r="AE102" s="99" t="s">
        <v>2427</v>
      </c>
      <c r="AF102" s="99" t="s">
        <v>542</v>
      </c>
      <c r="AG102" s="316" t="s">
        <v>1275</v>
      </c>
      <c r="AH102" s="251"/>
      <c r="AI102" s="251"/>
      <c r="AJ102" s="251"/>
      <c r="AK102" s="251" t="s">
        <v>3585</v>
      </c>
      <c r="AL102" s="251"/>
      <c r="AM102" s="251"/>
      <c r="AN102" s="251"/>
      <c r="AO102" s="251"/>
      <c r="AP102" s="251"/>
      <c r="AQ102" s="251"/>
      <c r="AR102" s="251"/>
      <c r="AS102" s="251" t="s">
        <v>2308</v>
      </c>
      <c r="AT102" s="251" t="s">
        <v>3489</v>
      </c>
      <c r="AU102" s="379"/>
      <c r="AV102" s="380"/>
    </row>
    <row r="103" spans="1:48" x14ac:dyDescent="0.25">
      <c r="A103" s="357" t="s">
        <v>128</v>
      </c>
      <c r="B103" s="399" t="s">
        <v>3542</v>
      </c>
      <c r="C103" s="100" t="s">
        <v>328</v>
      </c>
      <c r="D103" s="97">
        <v>32176</v>
      </c>
      <c r="E103" s="97">
        <f t="shared" si="17"/>
        <v>52996</v>
      </c>
      <c r="F103" s="97">
        <f t="shared" si="15"/>
        <v>53022</v>
      </c>
      <c r="G103" s="97">
        <v>53022</v>
      </c>
      <c r="H103" s="97">
        <v>40057</v>
      </c>
      <c r="I103" s="206" t="s">
        <v>3486</v>
      </c>
      <c r="J103" s="198" t="s">
        <v>287</v>
      </c>
      <c r="K103" s="199" t="s">
        <v>284</v>
      </c>
      <c r="L103" s="97">
        <v>42309</v>
      </c>
      <c r="M103" s="204"/>
      <c r="N103" s="204" t="s">
        <v>76</v>
      </c>
      <c r="O103" s="118">
        <v>1.58</v>
      </c>
      <c r="P103" s="119">
        <v>0.06</v>
      </c>
      <c r="Q103" s="99"/>
      <c r="R103" s="314">
        <f t="shared" si="13"/>
        <v>8389800</v>
      </c>
      <c r="S103" s="314">
        <f t="shared" ref="S103:S158" si="19">+P103*4960000</f>
        <v>297600</v>
      </c>
      <c r="T103" s="314">
        <f t="shared" si="18"/>
        <v>0</v>
      </c>
      <c r="U103" s="314">
        <f t="shared" si="12"/>
        <v>8687400</v>
      </c>
      <c r="V103" s="314">
        <f>+VLOOKUP(A103,[2]Sheet1!$B$11:$J$400,9,0)</f>
        <v>7394400</v>
      </c>
      <c r="W103" s="315" t="s">
        <v>1598</v>
      </c>
      <c r="X103" s="99" t="s">
        <v>890</v>
      </c>
      <c r="Y103" s="99" t="str">
        <f>+VLOOKUP(A103,[3]Sheet1!$B$11:$I$388,8,0)</f>
        <v>79 - 034</v>
      </c>
      <c r="Z103" s="99" t="s">
        <v>1787</v>
      </c>
      <c r="AA103" s="99" t="s">
        <v>2791</v>
      </c>
      <c r="AB103" s="100">
        <v>191653566</v>
      </c>
      <c r="AC103" s="99">
        <f>+VALUE(AB103:AB476)</f>
        <v>191653566</v>
      </c>
      <c r="AD103" s="99" t="s">
        <v>1007</v>
      </c>
      <c r="AE103" s="99" t="s">
        <v>2427</v>
      </c>
      <c r="AF103" s="99" t="s">
        <v>1009</v>
      </c>
      <c r="AG103" s="316" t="s">
        <v>1010</v>
      </c>
      <c r="AH103" s="251"/>
      <c r="AI103" s="251" t="s">
        <v>3591</v>
      </c>
      <c r="AJ103" s="251"/>
      <c r="AK103" s="251" t="s">
        <v>3585</v>
      </c>
      <c r="AL103" s="251"/>
      <c r="AM103" s="251"/>
      <c r="AN103" s="251"/>
      <c r="AO103" s="251"/>
      <c r="AP103" s="251"/>
      <c r="AQ103" s="251"/>
      <c r="AR103" s="251"/>
      <c r="AS103" s="321" t="s">
        <v>2196</v>
      </c>
      <c r="AT103" s="251" t="s">
        <v>3489</v>
      </c>
      <c r="AU103" s="379"/>
      <c r="AV103" s="380"/>
    </row>
    <row r="104" spans="1:48" x14ac:dyDescent="0.25">
      <c r="A104" s="355" t="s">
        <v>1811</v>
      </c>
      <c r="B104" s="399" t="s">
        <v>3542</v>
      </c>
      <c r="C104" s="100" t="s">
        <v>329</v>
      </c>
      <c r="D104" s="97">
        <v>27053</v>
      </c>
      <c r="E104" s="97">
        <f t="shared" si="17"/>
        <v>47872</v>
      </c>
      <c r="F104" s="97">
        <f t="shared" si="15"/>
        <v>47880</v>
      </c>
      <c r="G104" s="97">
        <v>47880</v>
      </c>
      <c r="H104" s="97">
        <v>34973</v>
      </c>
      <c r="I104" s="206" t="s">
        <v>3486</v>
      </c>
      <c r="J104" s="198" t="s">
        <v>287</v>
      </c>
      <c r="K104" s="199" t="s">
        <v>281</v>
      </c>
      <c r="L104" s="97">
        <v>41821</v>
      </c>
      <c r="M104" s="204"/>
      <c r="N104" s="204" t="s">
        <v>76</v>
      </c>
      <c r="O104" s="118">
        <v>1.58</v>
      </c>
      <c r="P104" s="119"/>
      <c r="Q104" s="99"/>
      <c r="R104" s="314">
        <f t="shared" si="13"/>
        <v>8389800</v>
      </c>
      <c r="S104" s="314">
        <f t="shared" si="19"/>
        <v>0</v>
      </c>
      <c r="T104" s="314">
        <f t="shared" si="18"/>
        <v>0</v>
      </c>
      <c r="U104" s="314">
        <f t="shared" si="12"/>
        <v>8389800</v>
      </c>
      <c r="V104" s="314">
        <f>+VLOOKUP(A104,[2]Sheet1!$B$11:$J$400,9,0)</f>
        <v>7394400</v>
      </c>
      <c r="W104" s="315" t="s">
        <v>1599</v>
      </c>
      <c r="X104" s="99" t="s">
        <v>992</v>
      </c>
      <c r="Y104" s="99" t="str">
        <f>+VLOOKUP(A104,[3]Sheet1!$B$11:$I$388,8,0)</f>
        <v>79 - 030</v>
      </c>
      <c r="Z104" s="99" t="s">
        <v>1787</v>
      </c>
      <c r="AA104" s="99" t="s">
        <v>2792</v>
      </c>
      <c r="AB104" s="100" t="s">
        <v>1011</v>
      </c>
      <c r="AC104" s="99">
        <f>+VALUE(AB104:AB477)</f>
        <v>25199735</v>
      </c>
      <c r="AD104" s="99" t="s">
        <v>1012</v>
      </c>
      <c r="AE104" s="99" t="s">
        <v>2427</v>
      </c>
      <c r="AF104" s="99" t="s">
        <v>1013</v>
      </c>
      <c r="AG104" s="316" t="s">
        <v>1014</v>
      </c>
      <c r="AH104" s="251"/>
      <c r="AI104" s="251" t="s">
        <v>3597</v>
      </c>
      <c r="AJ104" s="251"/>
      <c r="AK104" s="251"/>
      <c r="AL104" s="251"/>
      <c r="AM104" s="251"/>
      <c r="AN104" s="251"/>
      <c r="AO104" s="251"/>
      <c r="AP104" s="251"/>
      <c r="AQ104" s="251"/>
      <c r="AR104" s="251"/>
      <c r="AS104" s="321" t="s">
        <v>2197</v>
      </c>
      <c r="AT104" s="251" t="s">
        <v>3489</v>
      </c>
      <c r="AU104" s="379"/>
      <c r="AV104" s="380"/>
    </row>
    <row r="105" spans="1:48" x14ac:dyDescent="0.25">
      <c r="A105" s="355" t="s">
        <v>1809</v>
      </c>
      <c r="B105" s="399" t="s">
        <v>3542</v>
      </c>
      <c r="C105" s="100" t="s">
        <v>332</v>
      </c>
      <c r="D105" s="97">
        <v>27137</v>
      </c>
      <c r="E105" s="97">
        <f t="shared" si="17"/>
        <v>47956</v>
      </c>
      <c r="F105" s="97">
        <f t="shared" si="15"/>
        <v>47969</v>
      </c>
      <c r="G105" s="97">
        <v>47969</v>
      </c>
      <c r="H105" s="97">
        <v>35735</v>
      </c>
      <c r="I105" s="206" t="s">
        <v>3486</v>
      </c>
      <c r="J105" s="198" t="s">
        <v>287</v>
      </c>
      <c r="K105" s="199" t="s">
        <v>281</v>
      </c>
      <c r="L105" s="97">
        <v>41091</v>
      </c>
      <c r="M105" s="204"/>
      <c r="N105" s="204" t="s">
        <v>74</v>
      </c>
      <c r="O105" s="118">
        <v>1.68</v>
      </c>
      <c r="P105" s="119"/>
      <c r="Q105" s="99"/>
      <c r="R105" s="314">
        <f t="shared" si="13"/>
        <v>8920800</v>
      </c>
      <c r="S105" s="314">
        <f t="shared" si="19"/>
        <v>0</v>
      </c>
      <c r="T105" s="314">
        <f t="shared" si="18"/>
        <v>0</v>
      </c>
      <c r="U105" s="314">
        <f t="shared" si="12"/>
        <v>8920800</v>
      </c>
      <c r="V105" s="314">
        <f>+VLOOKUP(A105,[2]Sheet1!$B$11:$J$400,9,0)</f>
        <v>7862400</v>
      </c>
      <c r="W105" s="315" t="s">
        <v>1602</v>
      </c>
      <c r="X105" s="99" t="s">
        <v>825</v>
      </c>
      <c r="Y105" s="99" t="str">
        <f>+VLOOKUP(A105,[3]Sheet1!$B$11:$I$388,8,0)</f>
        <v>79 - 076</v>
      </c>
      <c r="Z105" s="99" t="s">
        <v>1787</v>
      </c>
      <c r="AA105" s="99" t="s">
        <v>2793</v>
      </c>
      <c r="AB105" s="100" t="s">
        <v>1024</v>
      </c>
      <c r="AC105" s="99">
        <f>+VALUE(AB105:AB479)</f>
        <v>22713264</v>
      </c>
      <c r="AD105" s="99" t="s">
        <v>1025</v>
      </c>
      <c r="AE105" s="99" t="s">
        <v>2427</v>
      </c>
      <c r="AF105" s="99" t="s">
        <v>1026</v>
      </c>
      <c r="AG105" s="316" t="s">
        <v>1841</v>
      </c>
      <c r="AH105" s="251"/>
      <c r="AI105" s="251"/>
      <c r="AJ105" s="251"/>
      <c r="AK105" s="251"/>
      <c r="AL105" s="251" t="s">
        <v>3592</v>
      </c>
      <c r="AM105" s="251"/>
      <c r="AN105" s="251"/>
      <c r="AO105" s="251"/>
      <c r="AP105" s="251"/>
      <c r="AQ105" s="251"/>
      <c r="AR105" s="251"/>
      <c r="AS105" s="321" t="s">
        <v>2199</v>
      </c>
      <c r="AT105" s="251" t="s">
        <v>3489</v>
      </c>
      <c r="AU105" s="379"/>
      <c r="AV105" s="380"/>
    </row>
    <row r="106" spans="1:48" x14ac:dyDescent="0.25">
      <c r="A106" s="357" t="s">
        <v>1806</v>
      </c>
      <c r="B106" s="399" t="s">
        <v>3542</v>
      </c>
      <c r="C106" s="100" t="s">
        <v>333</v>
      </c>
      <c r="D106" s="97">
        <v>27831</v>
      </c>
      <c r="E106" s="97">
        <f t="shared" si="17"/>
        <v>48650</v>
      </c>
      <c r="F106" s="97">
        <f t="shared" si="15"/>
        <v>48670</v>
      </c>
      <c r="G106" s="97">
        <v>48670</v>
      </c>
      <c r="H106" s="97">
        <v>34851</v>
      </c>
      <c r="I106" s="206" t="s">
        <v>3486</v>
      </c>
      <c r="J106" s="198" t="s">
        <v>287</v>
      </c>
      <c r="K106" s="199" t="s">
        <v>281</v>
      </c>
      <c r="L106" s="97">
        <v>42309</v>
      </c>
      <c r="M106" s="204"/>
      <c r="N106" s="204" t="s">
        <v>74</v>
      </c>
      <c r="O106" s="118">
        <v>1.68</v>
      </c>
      <c r="P106" s="119"/>
      <c r="Q106" s="99"/>
      <c r="R106" s="314">
        <f t="shared" si="13"/>
        <v>8920800</v>
      </c>
      <c r="S106" s="314">
        <f t="shared" si="19"/>
        <v>0</v>
      </c>
      <c r="T106" s="314">
        <f t="shared" si="18"/>
        <v>0</v>
      </c>
      <c r="U106" s="314">
        <f t="shared" si="12"/>
        <v>8920800</v>
      </c>
      <c r="V106" s="314">
        <f>+VLOOKUP(A106,[2]Sheet1!$B$11:$J$400,9,0)</f>
        <v>7862400</v>
      </c>
      <c r="W106" s="315" t="s">
        <v>1603</v>
      </c>
      <c r="X106" s="99" t="s">
        <v>825</v>
      </c>
      <c r="Y106" s="99" t="str">
        <f>+VLOOKUP(A106,[3]Sheet1!$B$11:$I$388,8,0)</f>
        <v>79 - 054</v>
      </c>
      <c r="Z106" s="99" t="s">
        <v>1787</v>
      </c>
      <c r="AA106" s="99" t="s">
        <v>2794</v>
      </c>
      <c r="AB106" s="100">
        <v>171829369</v>
      </c>
      <c r="AC106" s="99">
        <f>+VALUE(AB106:AB480)</f>
        <v>171829369</v>
      </c>
      <c r="AD106" s="99" t="s">
        <v>1027</v>
      </c>
      <c r="AE106" s="99" t="s">
        <v>2427</v>
      </c>
      <c r="AF106" s="99" t="s">
        <v>1029</v>
      </c>
      <c r="AG106" s="316" t="s">
        <v>1030</v>
      </c>
      <c r="AH106" s="251"/>
      <c r="AI106" s="251"/>
      <c r="AJ106" s="251"/>
      <c r="AK106" s="251" t="s">
        <v>3585</v>
      </c>
      <c r="AL106" s="251"/>
      <c r="AM106" s="251"/>
      <c r="AN106" s="251"/>
      <c r="AO106" s="251"/>
      <c r="AP106" s="251"/>
      <c r="AQ106" s="251"/>
      <c r="AR106" s="251"/>
      <c r="AS106" s="321" t="s">
        <v>2200</v>
      </c>
      <c r="AT106" s="251" t="s">
        <v>3489</v>
      </c>
      <c r="AU106" s="379"/>
      <c r="AV106" s="380"/>
    </row>
    <row r="107" spans="1:48" x14ac:dyDescent="0.25">
      <c r="A107" s="357" t="s">
        <v>201</v>
      </c>
      <c r="B107" s="399" t="s">
        <v>3542</v>
      </c>
      <c r="C107" s="100" t="s">
        <v>410</v>
      </c>
      <c r="D107" s="97">
        <v>34515</v>
      </c>
      <c r="E107" s="97">
        <f t="shared" si="17"/>
        <v>55334</v>
      </c>
      <c r="F107" s="97">
        <f t="shared" si="15"/>
        <v>55335</v>
      </c>
      <c r="G107" s="97">
        <v>55335</v>
      </c>
      <c r="H107" s="97">
        <v>41730</v>
      </c>
      <c r="I107" s="206" t="s">
        <v>3486</v>
      </c>
      <c r="J107" s="207" t="s">
        <v>287</v>
      </c>
      <c r="K107" s="199" t="s">
        <v>281</v>
      </c>
      <c r="L107" s="97">
        <v>42370</v>
      </c>
      <c r="M107" s="204"/>
      <c r="N107" s="331" t="s">
        <v>71</v>
      </c>
      <c r="O107" s="118">
        <v>1.49</v>
      </c>
      <c r="P107" s="119"/>
      <c r="Q107" s="99"/>
      <c r="R107" s="314">
        <f t="shared" si="13"/>
        <v>7911900</v>
      </c>
      <c r="S107" s="314">
        <f t="shared" si="19"/>
        <v>0</v>
      </c>
      <c r="T107" s="314">
        <f t="shared" si="18"/>
        <v>0</v>
      </c>
      <c r="U107" s="314">
        <f t="shared" si="12"/>
        <v>7911900</v>
      </c>
      <c r="V107" s="314">
        <f>+VLOOKUP(A107,[2]Sheet1!$B$11:$J$400,9,0)</f>
        <v>6973200</v>
      </c>
      <c r="W107" s="315" t="s">
        <v>1681</v>
      </c>
      <c r="X107" s="99" t="s">
        <v>1234</v>
      </c>
      <c r="Y107" s="99" t="str">
        <f>+VLOOKUP(A107,[3]Sheet1!$B$11:$I$388,8,0)</f>
        <v>79 - 034</v>
      </c>
      <c r="Z107" s="99" t="s">
        <v>1787</v>
      </c>
      <c r="AA107" s="99" t="s">
        <v>2795</v>
      </c>
      <c r="AB107" s="100">
        <v>163134318</v>
      </c>
      <c r="AC107" s="99">
        <f>+VALUE(AB107:AB482)</f>
        <v>163134318</v>
      </c>
      <c r="AD107" s="99" t="s">
        <v>1235</v>
      </c>
      <c r="AE107" s="99" t="s">
        <v>2427</v>
      </c>
      <c r="AF107" s="99" t="s">
        <v>1236</v>
      </c>
      <c r="AG107" s="316" t="s">
        <v>2014</v>
      </c>
      <c r="AH107" s="251"/>
      <c r="AI107" s="251"/>
      <c r="AJ107" s="251"/>
      <c r="AK107" s="251"/>
      <c r="AL107" s="251" t="s">
        <v>3592</v>
      </c>
      <c r="AM107" s="251"/>
      <c r="AN107" s="251"/>
      <c r="AO107" s="251"/>
      <c r="AP107" s="251"/>
      <c r="AQ107" s="251"/>
      <c r="AR107" s="251"/>
      <c r="AS107" s="321" t="s">
        <v>2202</v>
      </c>
      <c r="AT107" s="251" t="s">
        <v>3489</v>
      </c>
      <c r="AU107" s="379"/>
      <c r="AV107" s="380"/>
    </row>
    <row r="108" spans="1:48" x14ac:dyDescent="0.25">
      <c r="A108" s="357" t="s">
        <v>1892</v>
      </c>
      <c r="B108" s="399" t="s">
        <v>3542</v>
      </c>
      <c r="C108" s="100" t="s">
        <v>1893</v>
      </c>
      <c r="D108" s="97">
        <v>33861</v>
      </c>
      <c r="E108" s="97">
        <f t="shared" si="17"/>
        <v>54680</v>
      </c>
      <c r="F108" s="97">
        <f t="shared" si="15"/>
        <v>54697</v>
      </c>
      <c r="G108" s="97">
        <v>54697</v>
      </c>
      <c r="H108" s="97">
        <v>43542</v>
      </c>
      <c r="I108" s="206" t="s">
        <v>3486</v>
      </c>
      <c r="J108" s="207" t="s">
        <v>287</v>
      </c>
      <c r="K108" s="199" t="s">
        <v>281</v>
      </c>
      <c r="L108" s="97">
        <v>43542</v>
      </c>
      <c r="M108" s="204"/>
      <c r="N108" s="238" t="s">
        <v>71</v>
      </c>
      <c r="O108" s="118">
        <v>1.49</v>
      </c>
      <c r="P108" s="119"/>
      <c r="Q108" s="99"/>
      <c r="R108" s="314">
        <f t="shared" si="13"/>
        <v>7911900</v>
      </c>
      <c r="S108" s="314">
        <f t="shared" si="19"/>
        <v>0</v>
      </c>
      <c r="T108" s="314">
        <f t="shared" si="18"/>
        <v>0</v>
      </c>
      <c r="U108" s="314">
        <f t="shared" si="12"/>
        <v>7911900</v>
      </c>
      <c r="V108" s="314">
        <f>+VLOOKUP(A108,[2]Sheet1!$B$11:$J$400,9,0)</f>
        <v>6973200</v>
      </c>
      <c r="W108" s="315" t="s">
        <v>1933</v>
      </c>
      <c r="X108" s="99" t="s">
        <v>1913</v>
      </c>
      <c r="Y108" s="99" t="str">
        <f>+VLOOKUP(A108,[3]Sheet1!$B$11:$I$388,8,0)</f>
        <v>79 - 034</v>
      </c>
      <c r="Z108" s="99" t="s">
        <v>1787</v>
      </c>
      <c r="AA108" s="99" t="s">
        <v>2796</v>
      </c>
      <c r="AB108" s="100" t="s">
        <v>1894</v>
      </c>
      <c r="AC108" s="99">
        <f>+VALUE(AB108:AB483)</f>
        <v>264377171</v>
      </c>
      <c r="AD108" s="205" t="s">
        <v>1895</v>
      </c>
      <c r="AE108" s="99" t="s">
        <v>2427</v>
      </c>
      <c r="AF108" s="99" t="s">
        <v>1896</v>
      </c>
      <c r="AG108" s="316" t="s">
        <v>1932</v>
      </c>
      <c r="AH108" s="251"/>
      <c r="AI108" s="251" t="s">
        <v>3591</v>
      </c>
      <c r="AJ108" s="251"/>
      <c r="AK108" s="251" t="s">
        <v>3585</v>
      </c>
      <c r="AL108" s="251"/>
      <c r="AM108" s="251"/>
      <c r="AN108" s="251"/>
      <c r="AO108" s="251"/>
      <c r="AP108" s="251"/>
      <c r="AQ108" s="251"/>
      <c r="AR108" s="251"/>
      <c r="AS108" s="321" t="s">
        <v>2203</v>
      </c>
      <c r="AT108" s="251" t="s">
        <v>3489</v>
      </c>
      <c r="AU108" s="379"/>
      <c r="AV108" s="380"/>
    </row>
    <row r="109" spans="1:48" x14ac:dyDescent="0.25">
      <c r="A109" s="357" t="s">
        <v>142</v>
      </c>
      <c r="B109" s="399" t="s">
        <v>3542</v>
      </c>
      <c r="C109" s="100" t="s">
        <v>355</v>
      </c>
      <c r="D109" s="97">
        <v>32577</v>
      </c>
      <c r="E109" s="97">
        <f t="shared" si="17"/>
        <v>53396</v>
      </c>
      <c r="F109" s="97">
        <f t="shared" si="15"/>
        <v>53418</v>
      </c>
      <c r="G109" s="97">
        <v>53418</v>
      </c>
      <c r="H109" s="97">
        <v>42309</v>
      </c>
      <c r="I109" s="206" t="s">
        <v>3486</v>
      </c>
      <c r="J109" s="207" t="s">
        <v>287</v>
      </c>
      <c r="K109" s="199" t="s">
        <v>281</v>
      </c>
      <c r="L109" s="204" t="s">
        <v>3238</v>
      </c>
      <c r="M109" s="204"/>
      <c r="N109" s="204" t="s">
        <v>76</v>
      </c>
      <c r="O109" s="118">
        <v>1.58</v>
      </c>
      <c r="P109" s="119"/>
      <c r="Q109" s="99"/>
      <c r="R109" s="314">
        <f t="shared" si="13"/>
        <v>8389800</v>
      </c>
      <c r="S109" s="314">
        <f t="shared" si="19"/>
        <v>0</v>
      </c>
      <c r="T109" s="314">
        <f t="shared" si="18"/>
        <v>0</v>
      </c>
      <c r="U109" s="314">
        <f t="shared" si="12"/>
        <v>8389800</v>
      </c>
      <c r="V109" s="314">
        <f>+VLOOKUP(A109,[2]Sheet1!$B$11:$J$400,9,0)</f>
        <v>6973200</v>
      </c>
      <c r="W109" s="315" t="s">
        <v>1625</v>
      </c>
      <c r="X109" s="99" t="s">
        <v>1100</v>
      </c>
      <c r="Y109" s="99" t="str">
        <f>+VLOOKUP(A109,[3]Sheet1!$B$11:$I$388,8,0)</f>
        <v>79 - 034</v>
      </c>
      <c r="Z109" s="99" t="s">
        <v>1787</v>
      </c>
      <c r="AA109" s="99" t="s">
        <v>2797</v>
      </c>
      <c r="AB109" s="100">
        <v>173381695</v>
      </c>
      <c r="AC109" s="99">
        <f>+VALUE(AB109:AB485)</f>
        <v>173381695</v>
      </c>
      <c r="AD109" s="99" t="s">
        <v>1101</v>
      </c>
      <c r="AE109" s="99" t="s">
        <v>2427</v>
      </c>
      <c r="AF109" s="99" t="s">
        <v>1102</v>
      </c>
      <c r="AG109" s="316" t="s">
        <v>1102</v>
      </c>
      <c r="AH109" s="251"/>
      <c r="AI109" s="251"/>
      <c r="AJ109" s="251"/>
      <c r="AK109" s="251" t="s">
        <v>3585</v>
      </c>
      <c r="AL109" s="251"/>
      <c r="AM109" s="251"/>
      <c r="AN109" s="251"/>
      <c r="AO109" s="251"/>
      <c r="AP109" s="251"/>
      <c r="AQ109" s="251"/>
      <c r="AR109" s="251"/>
      <c r="AS109" s="321" t="s">
        <v>2204</v>
      </c>
      <c r="AT109" s="251" t="s">
        <v>3489</v>
      </c>
      <c r="AU109" s="379"/>
      <c r="AV109" s="380"/>
    </row>
    <row r="110" spans="1:48" x14ac:dyDescent="0.25">
      <c r="A110" s="357" t="s">
        <v>1990</v>
      </c>
      <c r="B110" s="399" t="s">
        <v>3542</v>
      </c>
      <c r="C110" s="100" t="s">
        <v>1991</v>
      </c>
      <c r="D110" s="205">
        <v>35931</v>
      </c>
      <c r="E110" s="97">
        <f t="shared" si="17"/>
        <v>56750</v>
      </c>
      <c r="F110" s="97">
        <f t="shared" si="15"/>
        <v>56766</v>
      </c>
      <c r="G110" s="97">
        <v>56766</v>
      </c>
      <c r="H110" s="97">
        <v>43739</v>
      </c>
      <c r="I110" s="206" t="s">
        <v>3486</v>
      </c>
      <c r="J110" s="207" t="s">
        <v>287</v>
      </c>
      <c r="K110" s="199" t="s">
        <v>281</v>
      </c>
      <c r="L110" s="97">
        <v>43739</v>
      </c>
      <c r="M110" s="204"/>
      <c r="N110" s="327" t="s">
        <v>72</v>
      </c>
      <c r="O110" s="118">
        <v>1.41</v>
      </c>
      <c r="P110" s="119"/>
      <c r="Q110" s="99"/>
      <c r="R110" s="314">
        <f t="shared" si="13"/>
        <v>7487100</v>
      </c>
      <c r="S110" s="314">
        <f t="shared" si="19"/>
        <v>0</v>
      </c>
      <c r="T110" s="314">
        <f t="shared" si="18"/>
        <v>0</v>
      </c>
      <c r="U110" s="314">
        <f t="shared" si="12"/>
        <v>7487100</v>
      </c>
      <c r="V110" s="314">
        <f>+VLOOKUP(A110,[2]Sheet1!$B$11:$J$400,9,0)</f>
        <v>6598800</v>
      </c>
      <c r="W110" s="315" t="s">
        <v>1993</v>
      </c>
      <c r="X110" s="99" t="s">
        <v>2142</v>
      </c>
      <c r="Y110" s="99" t="str">
        <f>+VLOOKUP(A110,[3]Sheet1!$B$11:$I$388,8,0)</f>
        <v>79 - 034</v>
      </c>
      <c r="Z110" s="99" t="s">
        <v>1787</v>
      </c>
      <c r="AA110" s="99" t="s">
        <v>2798</v>
      </c>
      <c r="AB110" s="223" t="s">
        <v>2141</v>
      </c>
      <c r="AC110" s="99">
        <f>+VALUE(AB110:AB110)</f>
        <v>175040975</v>
      </c>
      <c r="AD110" s="205" t="s">
        <v>2140</v>
      </c>
      <c r="AE110" s="99" t="s">
        <v>2427</v>
      </c>
      <c r="AF110" s="99" t="s">
        <v>2139</v>
      </c>
      <c r="AG110" s="251" t="s">
        <v>2139</v>
      </c>
      <c r="AH110" s="251"/>
      <c r="AI110" s="251"/>
      <c r="AJ110" s="251"/>
      <c r="AK110" s="251" t="s">
        <v>3610</v>
      </c>
      <c r="AL110" s="251"/>
      <c r="AM110" s="251"/>
      <c r="AN110" s="251"/>
      <c r="AO110" s="251"/>
      <c r="AP110" s="251"/>
      <c r="AQ110" s="251"/>
      <c r="AR110" s="247">
        <v>44470</v>
      </c>
      <c r="AS110" s="321" t="s">
        <v>2205</v>
      </c>
      <c r="AT110" s="251" t="s">
        <v>3489</v>
      </c>
      <c r="AU110" s="379"/>
      <c r="AV110" s="380"/>
    </row>
    <row r="111" spans="1:48" x14ac:dyDescent="0.25">
      <c r="A111" s="355" t="s">
        <v>3325</v>
      </c>
      <c r="B111" s="399" t="s">
        <v>3542</v>
      </c>
      <c r="C111" s="100" t="s">
        <v>3326</v>
      </c>
      <c r="D111" s="97">
        <v>37333</v>
      </c>
      <c r="E111" s="97">
        <f t="shared" si="17"/>
        <v>58152</v>
      </c>
      <c r="F111" s="97">
        <f t="shared" si="15"/>
        <v>58166</v>
      </c>
      <c r="G111" s="97">
        <v>58166</v>
      </c>
      <c r="H111" s="97">
        <v>45689</v>
      </c>
      <c r="I111" s="206" t="s">
        <v>3486</v>
      </c>
      <c r="J111" s="198" t="s">
        <v>287</v>
      </c>
      <c r="K111" s="118" t="s">
        <v>281</v>
      </c>
      <c r="L111" s="97">
        <v>45689</v>
      </c>
      <c r="M111" s="204"/>
      <c r="N111" s="204" t="s">
        <v>72</v>
      </c>
      <c r="O111" s="118">
        <v>1.41</v>
      </c>
      <c r="P111" s="119"/>
      <c r="Q111" s="99"/>
      <c r="R111" s="314">
        <f t="shared" si="13"/>
        <v>7487100</v>
      </c>
      <c r="S111" s="314">
        <f t="shared" si="19"/>
        <v>0</v>
      </c>
      <c r="T111" s="314">
        <f t="shared" si="18"/>
        <v>0</v>
      </c>
      <c r="U111" s="314">
        <f t="shared" si="12"/>
        <v>7487100</v>
      </c>
      <c r="V111" s="314"/>
      <c r="W111" s="319">
        <v>8723183087</v>
      </c>
      <c r="X111" s="99" t="s">
        <v>3333</v>
      </c>
      <c r="Y111" s="99"/>
      <c r="Z111" s="99" t="s">
        <v>1787</v>
      </c>
      <c r="AA111" s="320" t="s">
        <v>3327</v>
      </c>
      <c r="AB111" s="100"/>
      <c r="AC111" s="99"/>
      <c r="AD111" s="261">
        <v>44798</v>
      </c>
      <c r="AE111" s="99" t="s">
        <v>2427</v>
      </c>
      <c r="AF111" s="99" t="s">
        <v>3330</v>
      </c>
      <c r="AG111" s="316"/>
      <c r="AH111" s="251"/>
      <c r="AI111" s="251" t="s">
        <v>3616</v>
      </c>
      <c r="AJ111" s="251"/>
      <c r="AK111" s="251"/>
      <c r="AL111" s="251"/>
      <c r="AM111" s="247">
        <v>45658</v>
      </c>
      <c r="AN111" s="251"/>
      <c r="AO111" s="247">
        <v>45689</v>
      </c>
      <c r="AP111" s="247"/>
      <c r="AQ111" s="251"/>
      <c r="AR111" s="247"/>
      <c r="AS111" s="321"/>
      <c r="AT111" s="251" t="s">
        <v>3489</v>
      </c>
      <c r="AU111" s="379"/>
      <c r="AV111" s="380"/>
    </row>
    <row r="112" spans="1:48" x14ac:dyDescent="0.25">
      <c r="A112" s="357" t="s">
        <v>1814</v>
      </c>
      <c r="B112" s="399" t="s">
        <v>3542</v>
      </c>
      <c r="C112" s="100" t="s">
        <v>336</v>
      </c>
      <c r="D112" s="97">
        <v>28408</v>
      </c>
      <c r="E112" s="97">
        <f t="shared" si="17"/>
        <v>49227</v>
      </c>
      <c r="F112" s="97">
        <f t="shared" si="15"/>
        <v>49249</v>
      </c>
      <c r="G112" s="97">
        <v>49249</v>
      </c>
      <c r="H112" s="97">
        <v>34820</v>
      </c>
      <c r="I112" s="197" t="s">
        <v>717</v>
      </c>
      <c r="J112" s="198" t="s">
        <v>287</v>
      </c>
      <c r="K112" s="118" t="s">
        <v>281</v>
      </c>
      <c r="L112" s="97">
        <v>41091</v>
      </c>
      <c r="M112" s="204"/>
      <c r="N112" s="204" t="s">
        <v>76</v>
      </c>
      <c r="O112" s="118">
        <v>1.58</v>
      </c>
      <c r="P112" s="119"/>
      <c r="Q112" s="99"/>
      <c r="R112" s="314">
        <f t="shared" si="13"/>
        <v>8389800</v>
      </c>
      <c r="S112" s="314">
        <f t="shared" si="19"/>
        <v>0</v>
      </c>
      <c r="T112" s="314">
        <f t="shared" si="18"/>
        <v>0</v>
      </c>
      <c r="U112" s="314">
        <f t="shared" si="12"/>
        <v>8389800</v>
      </c>
      <c r="V112" s="314">
        <f>+VLOOKUP(A112,[2]Sheet1!$B$11:$J$400,9,0)</f>
        <v>7581600</v>
      </c>
      <c r="W112" s="315" t="s">
        <v>1606</v>
      </c>
      <c r="X112" s="99" t="s">
        <v>1036</v>
      </c>
      <c r="Y112" s="99" t="str">
        <f>+VLOOKUP(A112,[3]Sheet1!$B$11:$I$388,8,0)</f>
        <v>79 - 034</v>
      </c>
      <c r="Z112" s="99" t="s">
        <v>1787</v>
      </c>
      <c r="AA112" s="99" t="s">
        <v>2800</v>
      </c>
      <c r="AB112" s="100">
        <v>272229919</v>
      </c>
      <c r="AC112" s="99">
        <f t="shared" ref="AC112:AC117" si="20">+VALUE(AB112:AB486)</f>
        <v>272229919</v>
      </c>
      <c r="AD112" s="99" t="s">
        <v>1037</v>
      </c>
      <c r="AE112" s="99" t="s">
        <v>2427</v>
      </c>
      <c r="AF112" s="99" t="s">
        <v>1038</v>
      </c>
      <c r="AG112" s="316" t="s">
        <v>1039</v>
      </c>
      <c r="AH112" s="251"/>
      <c r="AI112" s="251" t="s">
        <v>3617</v>
      </c>
      <c r="AJ112" s="251"/>
      <c r="AK112" s="251"/>
      <c r="AL112" s="251"/>
      <c r="AM112" s="251"/>
      <c r="AN112" s="247">
        <v>44287</v>
      </c>
      <c r="AO112" s="251"/>
      <c r="AP112" s="251"/>
      <c r="AQ112" s="251"/>
      <c r="AR112" s="247">
        <v>44470</v>
      </c>
      <c r="AS112" s="321" t="s">
        <v>2206</v>
      </c>
      <c r="AT112" s="251" t="s">
        <v>3489</v>
      </c>
      <c r="AU112" s="379"/>
      <c r="AV112" s="380"/>
    </row>
    <row r="113" spans="1:48" x14ac:dyDescent="0.25">
      <c r="A113" s="355" t="s">
        <v>1815</v>
      </c>
      <c r="B113" s="399" t="s">
        <v>3542</v>
      </c>
      <c r="C113" s="100" t="s">
        <v>337</v>
      </c>
      <c r="D113" s="97">
        <v>27796</v>
      </c>
      <c r="E113" s="97">
        <f t="shared" si="17"/>
        <v>48616</v>
      </c>
      <c r="F113" s="97">
        <f t="shared" si="15"/>
        <v>48639</v>
      </c>
      <c r="G113" s="97">
        <v>48639</v>
      </c>
      <c r="H113" s="97">
        <v>35735</v>
      </c>
      <c r="I113" s="197" t="s">
        <v>717</v>
      </c>
      <c r="J113" s="198" t="s">
        <v>287</v>
      </c>
      <c r="K113" s="118" t="s">
        <v>281</v>
      </c>
      <c r="L113" s="97">
        <v>45839</v>
      </c>
      <c r="M113" s="204"/>
      <c r="N113" s="204" t="s">
        <v>74</v>
      </c>
      <c r="O113" s="118">
        <v>1.68</v>
      </c>
      <c r="P113" s="119"/>
      <c r="Q113" s="99"/>
      <c r="R113" s="314">
        <f t="shared" si="13"/>
        <v>8920800</v>
      </c>
      <c r="S113" s="314">
        <f t="shared" si="19"/>
        <v>0</v>
      </c>
      <c r="T113" s="314">
        <f t="shared" si="18"/>
        <v>0</v>
      </c>
      <c r="U113" s="314">
        <f t="shared" si="12"/>
        <v>8920800</v>
      </c>
      <c r="V113" s="314">
        <f>+VLOOKUP(A113,[2]Sheet1!$B$11:$J$400,9,0)</f>
        <v>7394400</v>
      </c>
      <c r="W113" s="315" t="s">
        <v>1607</v>
      </c>
      <c r="X113" s="99" t="s">
        <v>1040</v>
      </c>
      <c r="Y113" s="99" t="str">
        <f>+VLOOKUP(A113,[3]Sheet1!$B$11:$I$388,8,0)</f>
        <v>79 - 034</v>
      </c>
      <c r="Z113" s="99" t="s">
        <v>1787</v>
      </c>
      <c r="AA113" s="99" t="s">
        <v>2801</v>
      </c>
      <c r="AB113" s="100">
        <v>272326125</v>
      </c>
      <c r="AC113" s="99">
        <f t="shared" si="20"/>
        <v>272326125</v>
      </c>
      <c r="AD113" s="99" t="s">
        <v>1041</v>
      </c>
      <c r="AE113" s="99" t="s">
        <v>2427</v>
      </c>
      <c r="AF113" s="99" t="s">
        <v>1042</v>
      </c>
      <c r="AG113" s="316" t="s">
        <v>1043</v>
      </c>
      <c r="AH113" s="251"/>
      <c r="AI113" s="251"/>
      <c r="AJ113" s="251"/>
      <c r="AK113" s="251" t="s">
        <v>3585</v>
      </c>
      <c r="AL113" s="251"/>
      <c r="AM113" s="251"/>
      <c r="AN113" s="251"/>
      <c r="AO113" s="251"/>
      <c r="AP113" s="251"/>
      <c r="AQ113" s="251"/>
      <c r="AR113" s="251"/>
      <c r="AS113" s="321" t="s">
        <v>2207</v>
      </c>
      <c r="AT113" s="251" t="s">
        <v>3489</v>
      </c>
      <c r="AU113" s="379"/>
      <c r="AV113" s="380"/>
    </row>
    <row r="114" spans="1:48" x14ac:dyDescent="0.25">
      <c r="A114" s="355" t="s">
        <v>1817</v>
      </c>
      <c r="B114" s="399" t="s">
        <v>3542</v>
      </c>
      <c r="C114" s="100" t="s">
        <v>339</v>
      </c>
      <c r="D114" s="97">
        <v>29606</v>
      </c>
      <c r="E114" s="97">
        <f t="shared" si="17"/>
        <v>50425</v>
      </c>
      <c r="F114" s="97">
        <f t="shared" si="15"/>
        <v>50437</v>
      </c>
      <c r="G114" s="97">
        <v>50437</v>
      </c>
      <c r="H114" s="97">
        <v>37530</v>
      </c>
      <c r="I114" s="197" t="s">
        <v>717</v>
      </c>
      <c r="J114" s="198" t="s">
        <v>287</v>
      </c>
      <c r="K114" s="118" t="s">
        <v>281</v>
      </c>
      <c r="L114" s="97">
        <v>42309</v>
      </c>
      <c r="M114" s="204"/>
      <c r="N114" s="204" t="s">
        <v>76</v>
      </c>
      <c r="O114" s="118">
        <v>1.58</v>
      </c>
      <c r="P114" s="119"/>
      <c r="Q114" s="99"/>
      <c r="R114" s="314">
        <f t="shared" si="13"/>
        <v>8389800</v>
      </c>
      <c r="S114" s="314">
        <f t="shared" si="19"/>
        <v>0</v>
      </c>
      <c r="T114" s="314">
        <f t="shared" si="18"/>
        <v>0</v>
      </c>
      <c r="U114" s="314">
        <f t="shared" si="12"/>
        <v>8389800</v>
      </c>
      <c r="V114" s="314">
        <f>+VLOOKUP(A114,[2]Sheet1!$B$11:$J$400,9,0)</f>
        <v>7394400</v>
      </c>
      <c r="W114" s="315" t="s">
        <v>1609</v>
      </c>
      <c r="X114" s="99" t="s">
        <v>859</v>
      </c>
      <c r="Y114" s="99" t="str">
        <f>+VLOOKUP(A114,[3]Sheet1!$B$11:$I$388,8,0)</f>
        <v>79 - 036</v>
      </c>
      <c r="Z114" s="99" t="s">
        <v>1787</v>
      </c>
      <c r="AA114" s="99" t="s">
        <v>2802</v>
      </c>
      <c r="AB114" s="100" t="s">
        <v>1047</v>
      </c>
      <c r="AC114" s="99">
        <f t="shared" si="20"/>
        <v>162410205</v>
      </c>
      <c r="AD114" s="99" t="s">
        <v>1048</v>
      </c>
      <c r="AE114" s="99" t="s">
        <v>2427</v>
      </c>
      <c r="AF114" s="99" t="s">
        <v>1049</v>
      </c>
      <c r="AG114" s="316" t="s">
        <v>1050</v>
      </c>
      <c r="AH114" s="251"/>
      <c r="AI114" s="251"/>
      <c r="AJ114" s="251"/>
      <c r="AK114" s="251"/>
      <c r="AL114" s="251" t="s">
        <v>3592</v>
      </c>
      <c r="AM114" s="251"/>
      <c r="AN114" s="251"/>
      <c r="AO114" s="251"/>
      <c r="AP114" s="251"/>
      <c r="AQ114" s="251"/>
      <c r="AR114" s="251"/>
      <c r="AS114" s="321" t="s">
        <v>2208</v>
      </c>
      <c r="AT114" s="251" t="s">
        <v>3489</v>
      </c>
      <c r="AU114" s="379"/>
      <c r="AV114" s="380"/>
    </row>
    <row r="115" spans="1:48" x14ac:dyDescent="0.25">
      <c r="A115" s="355" t="s">
        <v>131</v>
      </c>
      <c r="B115" s="399" t="s">
        <v>3542</v>
      </c>
      <c r="C115" s="100" t="s">
        <v>340</v>
      </c>
      <c r="D115" s="97">
        <v>28010</v>
      </c>
      <c r="E115" s="97">
        <f t="shared" si="17"/>
        <v>48829</v>
      </c>
      <c r="F115" s="97">
        <f t="shared" si="15"/>
        <v>48853</v>
      </c>
      <c r="G115" s="97">
        <v>48853</v>
      </c>
      <c r="H115" s="97">
        <v>34243</v>
      </c>
      <c r="I115" s="197" t="s">
        <v>717</v>
      </c>
      <c r="J115" s="198" t="s">
        <v>287</v>
      </c>
      <c r="K115" s="118" t="s">
        <v>281</v>
      </c>
      <c r="L115" s="97">
        <v>43405</v>
      </c>
      <c r="M115" s="204"/>
      <c r="N115" s="204" t="s">
        <v>74</v>
      </c>
      <c r="O115" s="118">
        <v>1.68</v>
      </c>
      <c r="P115" s="119"/>
      <c r="Q115" s="99"/>
      <c r="R115" s="314">
        <f t="shared" si="13"/>
        <v>8920800</v>
      </c>
      <c r="S115" s="314">
        <f t="shared" si="19"/>
        <v>0</v>
      </c>
      <c r="T115" s="314">
        <f t="shared" si="18"/>
        <v>0</v>
      </c>
      <c r="U115" s="314">
        <f t="shared" si="12"/>
        <v>8920800</v>
      </c>
      <c r="V115" s="314">
        <f>+VLOOKUP(A115,[2]Sheet1!$B$11:$J$400,9,0)</f>
        <v>7862400</v>
      </c>
      <c r="W115" s="315" t="s">
        <v>1610</v>
      </c>
      <c r="X115" s="99" t="s">
        <v>1051</v>
      </c>
      <c r="Y115" s="99" t="str">
        <f>+VLOOKUP(A115,[3]Sheet1!$B$11:$I$388,8,0)</f>
        <v>79 - 034</v>
      </c>
      <c r="Z115" s="99" t="s">
        <v>1787</v>
      </c>
      <c r="AA115" s="99" t="s">
        <v>2803</v>
      </c>
      <c r="AB115" s="100">
        <v>182134745</v>
      </c>
      <c r="AC115" s="99">
        <f t="shared" si="20"/>
        <v>182134745</v>
      </c>
      <c r="AD115" s="99" t="s">
        <v>1052</v>
      </c>
      <c r="AE115" s="99" t="s">
        <v>2427</v>
      </c>
      <c r="AF115" s="99" t="s">
        <v>1053</v>
      </c>
      <c r="AG115" s="316" t="s">
        <v>1054</v>
      </c>
      <c r="AH115" s="251"/>
      <c r="AI115" s="251"/>
      <c r="AJ115" s="251"/>
      <c r="AK115" s="251" t="s">
        <v>3585</v>
      </c>
      <c r="AL115" s="251"/>
      <c r="AM115" s="251"/>
      <c r="AN115" s="251"/>
      <c r="AO115" s="251"/>
      <c r="AP115" s="251"/>
      <c r="AQ115" s="251"/>
      <c r="AR115" s="251"/>
      <c r="AS115" s="321" t="s">
        <v>2209</v>
      </c>
      <c r="AT115" s="251" t="s">
        <v>3489</v>
      </c>
      <c r="AU115" s="379"/>
      <c r="AV115" s="380"/>
    </row>
    <row r="116" spans="1:48" x14ac:dyDescent="0.25">
      <c r="A116" s="355" t="s">
        <v>1818</v>
      </c>
      <c r="B116" s="399" t="s">
        <v>3542</v>
      </c>
      <c r="C116" s="100" t="s">
        <v>341</v>
      </c>
      <c r="D116" s="97">
        <v>25831</v>
      </c>
      <c r="E116" s="97">
        <v>46558</v>
      </c>
      <c r="F116" s="97">
        <f t="shared" si="15"/>
        <v>46569</v>
      </c>
      <c r="G116" s="97">
        <v>46569</v>
      </c>
      <c r="H116" s="97">
        <v>35370</v>
      </c>
      <c r="I116" s="197" t="s">
        <v>717</v>
      </c>
      <c r="J116" s="198" t="s">
        <v>287</v>
      </c>
      <c r="K116" s="118" t="s">
        <v>281</v>
      </c>
      <c r="L116" s="97">
        <v>41091</v>
      </c>
      <c r="M116" s="204"/>
      <c r="N116" s="204" t="s">
        <v>71</v>
      </c>
      <c r="O116" s="118">
        <v>1.49</v>
      </c>
      <c r="P116" s="119"/>
      <c r="Q116" s="99"/>
      <c r="R116" s="314">
        <f t="shared" si="13"/>
        <v>7911900</v>
      </c>
      <c r="S116" s="314">
        <f t="shared" si="19"/>
        <v>0</v>
      </c>
      <c r="T116" s="314">
        <f t="shared" si="18"/>
        <v>0</v>
      </c>
      <c r="U116" s="314">
        <f t="shared" si="12"/>
        <v>7911900</v>
      </c>
      <c r="V116" s="314">
        <f>+VLOOKUP(A116,[2]Sheet1!$B$11:$J$400,9,0)</f>
        <v>6973200</v>
      </c>
      <c r="W116" s="315" t="s">
        <v>1611</v>
      </c>
      <c r="X116" s="99" t="s">
        <v>859</v>
      </c>
      <c r="Y116" s="99" t="str">
        <f>+VLOOKUP(A116,[3]Sheet1!$B$11:$I$388,8,0)</f>
        <v>79 - 036</v>
      </c>
      <c r="Z116" s="99" t="s">
        <v>1787</v>
      </c>
      <c r="AA116" s="99" t="s">
        <v>1055</v>
      </c>
      <c r="AB116" s="100" t="s">
        <v>1055</v>
      </c>
      <c r="AC116" s="99">
        <f t="shared" si="20"/>
        <v>36070001934</v>
      </c>
      <c r="AD116" s="99" t="s">
        <v>1056</v>
      </c>
      <c r="AE116" s="99" t="s">
        <v>2427</v>
      </c>
      <c r="AF116" s="99" t="s">
        <v>1057</v>
      </c>
      <c r="AG116" s="316" t="s">
        <v>894</v>
      </c>
      <c r="AH116" s="251"/>
      <c r="AI116" s="251"/>
      <c r="AJ116" s="251"/>
      <c r="AK116" s="251" t="s">
        <v>3585</v>
      </c>
      <c r="AL116" s="251"/>
      <c r="AM116" s="251"/>
      <c r="AN116" s="251"/>
      <c r="AO116" s="251"/>
      <c r="AP116" s="251"/>
      <c r="AQ116" s="251"/>
      <c r="AR116" s="251"/>
      <c r="AS116" s="321" t="s">
        <v>2210</v>
      </c>
      <c r="AT116" s="251" t="s">
        <v>3489</v>
      </c>
      <c r="AU116" s="379"/>
      <c r="AV116" s="380"/>
    </row>
    <row r="117" spans="1:48" x14ac:dyDescent="0.25">
      <c r="A117" s="354" t="s">
        <v>132</v>
      </c>
      <c r="B117" s="399" t="s">
        <v>3542</v>
      </c>
      <c r="C117" s="100" t="s">
        <v>342</v>
      </c>
      <c r="D117" s="97">
        <v>29769</v>
      </c>
      <c r="E117" s="97">
        <f t="shared" ref="E117:E125" si="21">+DATE(YEAR(D117)+57,MONTH(D117),DAY(D117))</f>
        <v>50588</v>
      </c>
      <c r="F117" s="97">
        <f t="shared" si="15"/>
        <v>50618</v>
      </c>
      <c r="G117" s="97">
        <v>50618</v>
      </c>
      <c r="H117" s="97">
        <v>37257</v>
      </c>
      <c r="I117" s="197" t="s">
        <v>717</v>
      </c>
      <c r="J117" s="198" t="s">
        <v>287</v>
      </c>
      <c r="K117" s="118" t="s">
        <v>286</v>
      </c>
      <c r="L117" s="97">
        <v>41456</v>
      </c>
      <c r="M117" s="117"/>
      <c r="N117" s="204" t="s">
        <v>74</v>
      </c>
      <c r="O117" s="118">
        <v>1.68</v>
      </c>
      <c r="P117" s="119">
        <v>0.06</v>
      </c>
      <c r="Q117" s="99"/>
      <c r="R117" s="314">
        <f t="shared" si="13"/>
        <v>8920800</v>
      </c>
      <c r="S117" s="314">
        <f t="shared" si="19"/>
        <v>297600</v>
      </c>
      <c r="T117" s="314">
        <f t="shared" si="18"/>
        <v>0</v>
      </c>
      <c r="U117" s="314">
        <f t="shared" si="12"/>
        <v>9218400</v>
      </c>
      <c r="V117" s="314">
        <f>+VLOOKUP(A117,[2]Sheet1!$B$11:$J$400,9,0)</f>
        <v>8143200</v>
      </c>
      <c r="W117" s="315" t="s">
        <v>1612</v>
      </c>
      <c r="X117" s="99" t="s">
        <v>864</v>
      </c>
      <c r="Y117" s="99" t="str">
        <f>+VLOOKUP(A117,[3]Sheet1!$B$11:$I$388,8,0)</f>
        <v>79 - 034</v>
      </c>
      <c r="Z117" s="99" t="s">
        <v>1787</v>
      </c>
      <c r="AA117" s="99" t="s">
        <v>2804</v>
      </c>
      <c r="AB117" s="100">
        <v>164106424</v>
      </c>
      <c r="AC117" s="99">
        <f t="shared" si="20"/>
        <v>164106424</v>
      </c>
      <c r="AD117" s="99" t="s">
        <v>1058</v>
      </c>
      <c r="AE117" s="99" t="s">
        <v>2427</v>
      </c>
      <c r="AF117" s="99" t="s">
        <v>1059</v>
      </c>
      <c r="AG117" s="316" t="s">
        <v>1060</v>
      </c>
      <c r="AH117" s="251"/>
      <c r="AI117" s="251" t="s">
        <v>3579</v>
      </c>
      <c r="AJ117" s="251"/>
      <c r="AK117" s="251"/>
      <c r="AL117" s="251"/>
      <c r="AM117" s="251"/>
      <c r="AN117" s="251"/>
      <c r="AO117" s="251"/>
      <c r="AP117" s="251"/>
      <c r="AQ117" s="251"/>
      <c r="AR117" s="251"/>
      <c r="AS117" s="321" t="s">
        <v>2211</v>
      </c>
      <c r="AT117" s="251" t="s">
        <v>3489</v>
      </c>
      <c r="AU117" s="379"/>
      <c r="AV117" s="380"/>
    </row>
    <row r="118" spans="1:48" x14ac:dyDescent="0.25">
      <c r="A118" s="355" t="s">
        <v>145</v>
      </c>
      <c r="B118" s="399" t="s">
        <v>3542</v>
      </c>
      <c r="C118" s="100" t="s">
        <v>361</v>
      </c>
      <c r="D118" s="97">
        <v>27934</v>
      </c>
      <c r="E118" s="97">
        <f t="shared" si="21"/>
        <v>48753</v>
      </c>
      <c r="F118" s="97">
        <f t="shared" si="15"/>
        <v>48761</v>
      </c>
      <c r="G118" s="97">
        <v>48761</v>
      </c>
      <c r="H118" s="97">
        <v>34820</v>
      </c>
      <c r="I118" s="197" t="s">
        <v>717</v>
      </c>
      <c r="J118" s="198" t="s">
        <v>287</v>
      </c>
      <c r="K118" s="118" t="s">
        <v>281</v>
      </c>
      <c r="L118" s="97">
        <v>43405</v>
      </c>
      <c r="M118" s="204" t="s">
        <v>3238</v>
      </c>
      <c r="N118" s="204" t="s">
        <v>74</v>
      </c>
      <c r="O118" s="118">
        <v>1.68</v>
      </c>
      <c r="P118" s="119">
        <v>0.04</v>
      </c>
      <c r="Q118" s="99"/>
      <c r="R118" s="314">
        <f t="shared" si="13"/>
        <v>8920800</v>
      </c>
      <c r="S118" s="314">
        <f t="shared" si="19"/>
        <v>198400</v>
      </c>
      <c r="T118" s="314">
        <f t="shared" si="18"/>
        <v>0</v>
      </c>
      <c r="U118" s="314">
        <f t="shared" si="12"/>
        <v>9119200</v>
      </c>
      <c r="V118" s="314">
        <f>+VLOOKUP(A118,[2]Sheet1!$B$11:$J$400,9,0)</f>
        <v>7394400</v>
      </c>
      <c r="W118" s="315" t="s">
        <v>1631</v>
      </c>
      <c r="X118" s="99" t="s">
        <v>1106</v>
      </c>
      <c r="Y118" s="99" t="str">
        <f>+VLOOKUP(A118,[3]Sheet1!$B$11:$I$388,8,0)</f>
        <v>79 - 034</v>
      </c>
      <c r="Z118" s="99" t="s">
        <v>1787</v>
      </c>
      <c r="AA118" s="99" t="s">
        <v>2806</v>
      </c>
      <c r="AB118" s="100">
        <v>272429292</v>
      </c>
      <c r="AC118" s="99">
        <f>+VALUE(AB118:AB516)</f>
        <v>272429292</v>
      </c>
      <c r="AD118" s="99" t="s">
        <v>1117</v>
      </c>
      <c r="AE118" s="99" t="s">
        <v>2427</v>
      </c>
      <c r="AF118" s="99" t="s">
        <v>1118</v>
      </c>
      <c r="AG118" s="316" t="s">
        <v>1119</v>
      </c>
      <c r="AH118" s="251"/>
      <c r="AI118" s="251"/>
      <c r="AJ118" s="251"/>
      <c r="AK118" s="251"/>
      <c r="AL118" s="251" t="s">
        <v>3592</v>
      </c>
      <c r="AM118" s="251"/>
      <c r="AN118" s="251"/>
      <c r="AO118" s="251"/>
      <c r="AP118" s="251"/>
      <c r="AQ118" s="251"/>
      <c r="AR118" s="251"/>
      <c r="AS118" s="251" t="s">
        <v>2230</v>
      </c>
      <c r="AT118" s="251" t="s">
        <v>3489</v>
      </c>
      <c r="AU118" s="379"/>
      <c r="AV118" s="380"/>
    </row>
    <row r="119" spans="1:48" x14ac:dyDescent="0.25">
      <c r="A119" s="355" t="s">
        <v>135</v>
      </c>
      <c r="B119" s="399" t="s">
        <v>3542</v>
      </c>
      <c r="C119" s="100" t="s">
        <v>345</v>
      </c>
      <c r="D119" s="97">
        <v>29723</v>
      </c>
      <c r="E119" s="97">
        <f t="shared" si="21"/>
        <v>50542</v>
      </c>
      <c r="F119" s="97">
        <f t="shared" si="15"/>
        <v>50557</v>
      </c>
      <c r="G119" s="97">
        <v>50557</v>
      </c>
      <c r="H119" s="97">
        <v>39479</v>
      </c>
      <c r="I119" s="197" t="s">
        <v>717</v>
      </c>
      <c r="J119" s="198" t="s">
        <v>287</v>
      </c>
      <c r="K119" s="118" t="s">
        <v>281</v>
      </c>
      <c r="L119" s="97">
        <v>41640</v>
      </c>
      <c r="M119" s="204"/>
      <c r="N119" s="204" t="s">
        <v>71</v>
      </c>
      <c r="O119" s="118">
        <v>1.49</v>
      </c>
      <c r="P119" s="119"/>
      <c r="Q119" s="99"/>
      <c r="R119" s="314">
        <f t="shared" si="13"/>
        <v>7911900</v>
      </c>
      <c r="S119" s="314">
        <f t="shared" si="19"/>
        <v>0</v>
      </c>
      <c r="T119" s="314">
        <f t="shared" si="18"/>
        <v>0</v>
      </c>
      <c r="U119" s="314">
        <f t="shared" si="12"/>
        <v>7911900</v>
      </c>
      <c r="V119" s="314">
        <f>+VLOOKUP(A119,[2]Sheet1!$B$11:$J$400,9,0)</f>
        <v>6973200</v>
      </c>
      <c r="W119" s="315" t="s">
        <v>1615</v>
      </c>
      <c r="X119" s="99" t="s">
        <v>595</v>
      </c>
      <c r="Y119" s="99" t="str">
        <f>+VLOOKUP(A119,[3]Sheet1!$B$11:$I$388,8,0)</f>
        <v>79 - 037</v>
      </c>
      <c r="Z119" s="99" t="s">
        <v>1787</v>
      </c>
      <c r="AA119" s="99" t="s">
        <v>2807</v>
      </c>
      <c r="AB119" s="100">
        <v>281012111</v>
      </c>
      <c r="AC119" s="99">
        <f>+VALUE(AB119:AB494)</f>
        <v>281012111</v>
      </c>
      <c r="AD119" s="99" t="s">
        <v>1068</v>
      </c>
      <c r="AE119" s="99" t="s">
        <v>2427</v>
      </c>
      <c r="AF119" s="99" t="s">
        <v>1069</v>
      </c>
      <c r="AG119" s="316" t="s">
        <v>1070</v>
      </c>
      <c r="AH119" s="251"/>
      <c r="AI119" s="251"/>
      <c r="AJ119" s="251"/>
      <c r="AK119" s="251" t="s">
        <v>3585</v>
      </c>
      <c r="AL119" s="251"/>
      <c r="AM119" s="251"/>
      <c r="AN119" s="251"/>
      <c r="AO119" s="251"/>
      <c r="AP119" s="251"/>
      <c r="AQ119" s="251"/>
      <c r="AR119" s="251"/>
      <c r="AS119" s="321" t="s">
        <v>2213</v>
      </c>
      <c r="AT119" s="251" t="s">
        <v>3489</v>
      </c>
      <c r="AU119" s="379"/>
      <c r="AV119" s="380"/>
    </row>
    <row r="120" spans="1:48" x14ac:dyDescent="0.25">
      <c r="A120" s="355" t="s">
        <v>139</v>
      </c>
      <c r="B120" s="399" t="s">
        <v>3542</v>
      </c>
      <c r="C120" s="100" t="s">
        <v>352</v>
      </c>
      <c r="D120" s="97">
        <v>34268</v>
      </c>
      <c r="E120" s="97">
        <f t="shared" si="21"/>
        <v>55087</v>
      </c>
      <c r="F120" s="97">
        <f t="shared" si="15"/>
        <v>55093</v>
      </c>
      <c r="G120" s="97">
        <v>55093</v>
      </c>
      <c r="H120" s="97">
        <v>41671</v>
      </c>
      <c r="I120" s="197" t="s">
        <v>717</v>
      </c>
      <c r="J120" s="198" t="s">
        <v>287</v>
      </c>
      <c r="K120" s="118" t="s">
        <v>281</v>
      </c>
      <c r="L120" s="97">
        <v>42370</v>
      </c>
      <c r="M120" s="204"/>
      <c r="N120" s="331" t="s">
        <v>71</v>
      </c>
      <c r="O120" s="118">
        <v>1.49</v>
      </c>
      <c r="P120" s="119"/>
      <c r="Q120" s="99"/>
      <c r="R120" s="314">
        <f t="shared" si="13"/>
        <v>7911900</v>
      </c>
      <c r="S120" s="314">
        <f t="shared" si="19"/>
        <v>0</v>
      </c>
      <c r="T120" s="314">
        <f t="shared" si="18"/>
        <v>0</v>
      </c>
      <c r="U120" s="314">
        <f t="shared" si="12"/>
        <v>7911900</v>
      </c>
      <c r="V120" s="314">
        <f>+VLOOKUP(A120,[2]Sheet1!$B$11:$J$400,9,0)</f>
        <v>6973200</v>
      </c>
      <c r="W120" s="315" t="s">
        <v>1622</v>
      </c>
      <c r="X120" s="99" t="s">
        <v>1088</v>
      </c>
      <c r="Y120" s="99" t="str">
        <f>+VLOOKUP(A120,[3]Sheet1!$B$11:$I$388,8,0)</f>
        <v>79 - 034</v>
      </c>
      <c r="Z120" s="99" t="s">
        <v>1787</v>
      </c>
      <c r="AA120" s="99" t="s">
        <v>2808</v>
      </c>
      <c r="AB120" s="100">
        <v>145489239</v>
      </c>
      <c r="AC120" s="99">
        <f ca="1">+VALUE(AC120:AC492)</f>
        <v>145489239</v>
      </c>
      <c r="AD120" s="99" t="s">
        <v>1089</v>
      </c>
      <c r="AE120" s="99" t="s">
        <v>2427</v>
      </c>
      <c r="AF120" s="99" t="s">
        <v>1091</v>
      </c>
      <c r="AG120" s="316" t="s">
        <v>769</v>
      </c>
      <c r="AH120" s="251"/>
      <c r="AI120" s="251"/>
      <c r="AJ120" s="251"/>
      <c r="AK120" s="251"/>
      <c r="AL120" s="251" t="s">
        <v>3592</v>
      </c>
      <c r="AM120" s="251"/>
      <c r="AN120" s="251"/>
      <c r="AO120" s="251"/>
      <c r="AP120" s="251"/>
      <c r="AQ120" s="251"/>
      <c r="AR120" s="251"/>
      <c r="AS120" s="321" t="s">
        <v>2214</v>
      </c>
      <c r="AT120" s="251" t="s">
        <v>3489</v>
      </c>
      <c r="AU120" s="379"/>
      <c r="AV120" s="380"/>
    </row>
    <row r="121" spans="1:48" x14ac:dyDescent="0.25">
      <c r="A121" s="355" t="s">
        <v>3169</v>
      </c>
      <c r="B121" s="399" t="s">
        <v>3542</v>
      </c>
      <c r="C121" s="100" t="s">
        <v>3170</v>
      </c>
      <c r="D121" s="97">
        <v>36728</v>
      </c>
      <c r="E121" s="97">
        <f t="shared" si="21"/>
        <v>57547</v>
      </c>
      <c r="F121" s="97">
        <f t="shared" si="15"/>
        <v>57558</v>
      </c>
      <c r="G121" s="97">
        <v>57194</v>
      </c>
      <c r="H121" s="97">
        <v>45413</v>
      </c>
      <c r="I121" s="197" t="s">
        <v>717</v>
      </c>
      <c r="J121" s="198" t="s">
        <v>287</v>
      </c>
      <c r="K121" s="118" t="s">
        <v>281</v>
      </c>
      <c r="L121" s="97">
        <v>45413</v>
      </c>
      <c r="M121" s="204"/>
      <c r="N121" s="204" t="s">
        <v>72</v>
      </c>
      <c r="O121" s="118">
        <v>1.41</v>
      </c>
      <c r="P121" s="119"/>
      <c r="Q121" s="99"/>
      <c r="R121" s="314">
        <f t="shared" si="13"/>
        <v>7487100</v>
      </c>
      <c r="S121" s="314">
        <f t="shared" si="19"/>
        <v>0</v>
      </c>
      <c r="T121" s="314">
        <f t="shared" si="18"/>
        <v>0</v>
      </c>
      <c r="U121" s="314">
        <f t="shared" si="12"/>
        <v>7487100</v>
      </c>
      <c r="V121" s="314">
        <v>6598800</v>
      </c>
      <c r="W121" s="338" t="s">
        <v>3207</v>
      </c>
      <c r="X121" s="99" t="s">
        <v>3271</v>
      </c>
      <c r="Y121" s="99" t="e">
        <f>+VLOOKUP(A121,[3]Sheet1!$B$11:$I$388,8,0)</f>
        <v>#N/A</v>
      </c>
      <c r="Z121" s="99" t="s">
        <v>1787</v>
      </c>
      <c r="AA121" s="223" t="s">
        <v>3171</v>
      </c>
      <c r="AB121" s="100"/>
      <c r="AC121" s="99"/>
      <c r="AD121" s="205" t="s">
        <v>2522</v>
      </c>
      <c r="AE121" s="99" t="s">
        <v>2427</v>
      </c>
      <c r="AF121" s="99" t="s">
        <v>2518</v>
      </c>
      <c r="AG121" s="316">
        <v>23119</v>
      </c>
      <c r="AH121" s="251"/>
      <c r="AI121" s="251"/>
      <c r="AJ121" s="251" t="s">
        <v>3618</v>
      </c>
      <c r="AK121" s="251"/>
      <c r="AL121" s="251"/>
      <c r="AM121" s="247">
        <v>45413</v>
      </c>
      <c r="AN121" s="251"/>
      <c r="AO121" s="247">
        <v>45444</v>
      </c>
      <c r="AP121" s="247"/>
      <c r="AQ121" s="251"/>
      <c r="AR121" s="247"/>
      <c r="AS121" s="321" t="s">
        <v>3173</v>
      </c>
      <c r="AT121" s="251" t="s">
        <v>3489</v>
      </c>
      <c r="AU121" s="379"/>
      <c r="AV121" s="380"/>
    </row>
    <row r="122" spans="1:48" x14ac:dyDescent="0.25">
      <c r="A122" s="355" t="s">
        <v>3175</v>
      </c>
      <c r="B122" s="399" t="s">
        <v>3542</v>
      </c>
      <c r="C122" s="100" t="s">
        <v>3176</v>
      </c>
      <c r="D122" s="97">
        <v>34262</v>
      </c>
      <c r="E122" s="97">
        <f t="shared" si="21"/>
        <v>55081</v>
      </c>
      <c r="F122" s="97">
        <f t="shared" si="15"/>
        <v>55093</v>
      </c>
      <c r="G122" s="97">
        <v>57195</v>
      </c>
      <c r="H122" s="97">
        <v>45413</v>
      </c>
      <c r="I122" s="197" t="s">
        <v>717</v>
      </c>
      <c r="J122" s="198" t="s">
        <v>287</v>
      </c>
      <c r="K122" s="118" t="s">
        <v>281</v>
      </c>
      <c r="L122" s="97">
        <v>45413</v>
      </c>
      <c r="M122" s="204"/>
      <c r="N122" s="204" t="s">
        <v>72</v>
      </c>
      <c r="O122" s="118">
        <v>1.41</v>
      </c>
      <c r="P122" s="119"/>
      <c r="Q122" s="99"/>
      <c r="R122" s="314">
        <f t="shared" si="13"/>
        <v>7487100</v>
      </c>
      <c r="S122" s="314">
        <f t="shared" si="19"/>
        <v>0</v>
      </c>
      <c r="T122" s="314">
        <f t="shared" si="18"/>
        <v>0</v>
      </c>
      <c r="U122" s="314">
        <f t="shared" si="12"/>
        <v>7487100</v>
      </c>
      <c r="V122" s="314">
        <v>6598800</v>
      </c>
      <c r="W122" s="315" t="s">
        <v>3208</v>
      </c>
      <c r="X122" s="99"/>
      <c r="Y122" s="99" t="e">
        <f>+VLOOKUP(A122,[3]Sheet1!$B$11:$I$388,8,0)</f>
        <v>#N/A</v>
      </c>
      <c r="Z122" s="99" t="s">
        <v>1787</v>
      </c>
      <c r="AA122" s="223" t="s">
        <v>3177</v>
      </c>
      <c r="AB122" s="100"/>
      <c r="AC122" s="99"/>
      <c r="AD122" s="205" t="s">
        <v>3178</v>
      </c>
      <c r="AE122" s="99" t="s">
        <v>2427</v>
      </c>
      <c r="AF122" s="99" t="s">
        <v>3180</v>
      </c>
      <c r="AG122" s="251" t="s">
        <v>3179</v>
      </c>
      <c r="AH122" s="251"/>
      <c r="AI122" s="251"/>
      <c r="AJ122" s="251"/>
      <c r="AK122" s="251" t="s">
        <v>3610</v>
      </c>
      <c r="AL122" s="251"/>
      <c r="AM122" s="247">
        <v>45413</v>
      </c>
      <c r="AN122" s="251"/>
      <c r="AO122" s="247">
        <v>45444</v>
      </c>
      <c r="AP122" s="247"/>
      <c r="AQ122" s="251"/>
      <c r="AR122" s="247"/>
      <c r="AS122" s="321" t="s">
        <v>3181</v>
      </c>
      <c r="AT122" s="251" t="s">
        <v>3489</v>
      </c>
      <c r="AU122" s="379"/>
      <c r="AV122" s="380"/>
    </row>
    <row r="123" spans="1:48" x14ac:dyDescent="0.25">
      <c r="A123" s="357" t="s">
        <v>3087</v>
      </c>
      <c r="B123" s="399" t="s">
        <v>3542</v>
      </c>
      <c r="C123" s="100" t="s">
        <v>3088</v>
      </c>
      <c r="D123" s="97">
        <v>33310</v>
      </c>
      <c r="E123" s="97">
        <f t="shared" si="21"/>
        <v>54130</v>
      </c>
      <c r="F123" s="97">
        <v>55975</v>
      </c>
      <c r="G123" s="97">
        <v>55975</v>
      </c>
      <c r="H123" s="97">
        <v>45261</v>
      </c>
      <c r="I123" s="197" t="s">
        <v>717</v>
      </c>
      <c r="J123" s="207" t="s">
        <v>287</v>
      </c>
      <c r="K123" s="118" t="s">
        <v>281</v>
      </c>
      <c r="L123" s="97">
        <v>45261</v>
      </c>
      <c r="M123" s="204"/>
      <c r="N123" s="204" t="s">
        <v>72</v>
      </c>
      <c r="O123" s="118">
        <v>1.41</v>
      </c>
      <c r="P123" s="119"/>
      <c r="Q123" s="99"/>
      <c r="R123" s="314">
        <f t="shared" si="13"/>
        <v>7487100</v>
      </c>
      <c r="S123" s="314">
        <f>+P123*4960000</f>
        <v>0</v>
      </c>
      <c r="T123" s="314">
        <f>+Q123*2340000</f>
        <v>0</v>
      </c>
      <c r="U123" s="314">
        <f>+R123+S123+T123</f>
        <v>7487100</v>
      </c>
      <c r="V123" s="314">
        <f>+VLOOKUP(A123,[2]Sheet1!$B$11:$J$400,9,0)</f>
        <v>6598800</v>
      </c>
      <c r="W123" s="315" t="s">
        <v>3217</v>
      </c>
      <c r="X123" s="99" t="s">
        <v>3430</v>
      </c>
      <c r="Y123" s="99" t="str">
        <f>+VLOOKUP(A123,[3]Sheet1!$B$11:$I$388,8,0)</f>
        <v>75 - 013</v>
      </c>
      <c r="Z123" s="99" t="s">
        <v>1787</v>
      </c>
      <c r="AA123" s="201" t="s">
        <v>3089</v>
      </c>
      <c r="AB123" s="100"/>
      <c r="AC123" s="99"/>
      <c r="AD123" s="205" t="s">
        <v>1828</v>
      </c>
      <c r="AE123" s="99" t="s">
        <v>2427</v>
      </c>
      <c r="AF123" s="99" t="s">
        <v>3090</v>
      </c>
      <c r="AG123" s="251" t="s">
        <v>3090</v>
      </c>
      <c r="AH123" s="251"/>
      <c r="AI123" s="251" t="s">
        <v>3591</v>
      </c>
      <c r="AJ123" s="251"/>
      <c r="AK123" s="251"/>
      <c r="AL123" s="251"/>
      <c r="AM123" s="247">
        <v>45261</v>
      </c>
      <c r="AN123" s="251"/>
      <c r="AO123" s="247">
        <v>45292</v>
      </c>
      <c r="AP123" s="251"/>
      <c r="AQ123" s="251"/>
      <c r="AR123" s="247">
        <v>46023</v>
      </c>
      <c r="AS123" s="321" t="s">
        <v>3091</v>
      </c>
      <c r="AT123" s="251" t="s">
        <v>3489</v>
      </c>
      <c r="AU123" s="379"/>
      <c r="AV123" s="380"/>
    </row>
    <row r="124" spans="1:48" x14ac:dyDescent="0.25">
      <c r="A124" s="355" t="s">
        <v>1819</v>
      </c>
      <c r="B124" s="399" t="s">
        <v>3542</v>
      </c>
      <c r="C124" s="100" t="s">
        <v>346</v>
      </c>
      <c r="D124" s="97">
        <v>26160</v>
      </c>
      <c r="E124" s="97">
        <f t="shared" si="21"/>
        <v>46980</v>
      </c>
      <c r="F124" s="97">
        <f t="shared" si="15"/>
        <v>46997</v>
      </c>
      <c r="G124" s="97">
        <v>46997</v>
      </c>
      <c r="H124" s="97">
        <v>34973</v>
      </c>
      <c r="I124" s="206" t="s">
        <v>718</v>
      </c>
      <c r="J124" s="198" t="s">
        <v>287</v>
      </c>
      <c r="K124" s="118" t="s">
        <v>284</v>
      </c>
      <c r="L124" s="97">
        <v>43908</v>
      </c>
      <c r="M124" s="204"/>
      <c r="N124" s="204" t="s">
        <v>74</v>
      </c>
      <c r="O124" s="118">
        <v>1.68</v>
      </c>
      <c r="P124" s="119">
        <v>0.06</v>
      </c>
      <c r="Q124" s="99"/>
      <c r="R124" s="314">
        <f t="shared" si="13"/>
        <v>8920800</v>
      </c>
      <c r="S124" s="314">
        <f t="shared" si="19"/>
        <v>297600</v>
      </c>
      <c r="T124" s="314">
        <f t="shared" si="18"/>
        <v>0</v>
      </c>
      <c r="U124" s="314">
        <f t="shared" si="12"/>
        <v>9218400</v>
      </c>
      <c r="V124" s="314">
        <f>+VLOOKUP(A124,[2]Sheet1!$B$11:$J$400,9,0)</f>
        <v>8143200</v>
      </c>
      <c r="W124" s="315" t="s">
        <v>1616</v>
      </c>
      <c r="X124" s="99" t="s">
        <v>1071</v>
      </c>
      <c r="Y124" s="99" t="str">
        <f>+VLOOKUP(A124,[3]Sheet1!$B$11:$I$388,8,0)</f>
        <v>75 - 012</v>
      </c>
      <c r="Z124" s="99" t="s">
        <v>1787</v>
      </c>
      <c r="AA124" s="99" t="s">
        <v>2809</v>
      </c>
      <c r="AB124" s="100">
        <v>272624970</v>
      </c>
      <c r="AC124" s="99">
        <f>+VALUE(AB124:AB499)</f>
        <v>272624970</v>
      </c>
      <c r="AD124" s="99" t="s">
        <v>1072</v>
      </c>
      <c r="AE124" s="99" t="s">
        <v>2427</v>
      </c>
      <c r="AF124" s="99" t="s">
        <v>1073</v>
      </c>
      <c r="AG124" s="316" t="s">
        <v>1074</v>
      </c>
      <c r="AH124" s="251"/>
      <c r="AI124" s="251"/>
      <c r="AJ124" s="251"/>
      <c r="AK124" s="251" t="s">
        <v>3585</v>
      </c>
      <c r="AL124" s="251"/>
      <c r="AM124" s="251"/>
      <c r="AN124" s="251"/>
      <c r="AO124" s="251"/>
      <c r="AP124" s="251"/>
      <c r="AQ124" s="251"/>
      <c r="AR124" s="251"/>
      <c r="AS124" s="321" t="s">
        <v>2216</v>
      </c>
      <c r="AT124" s="251" t="s">
        <v>3489</v>
      </c>
      <c r="AU124" s="379"/>
      <c r="AV124" s="380"/>
    </row>
    <row r="125" spans="1:48" x14ac:dyDescent="0.25">
      <c r="A125" s="355" t="s">
        <v>1820</v>
      </c>
      <c r="B125" s="399" t="s">
        <v>3542</v>
      </c>
      <c r="C125" s="100" t="s">
        <v>347</v>
      </c>
      <c r="D125" s="97">
        <v>26364</v>
      </c>
      <c r="E125" s="97">
        <f t="shared" si="21"/>
        <v>47183</v>
      </c>
      <c r="F125" s="97">
        <f t="shared" si="15"/>
        <v>47209</v>
      </c>
      <c r="G125" s="97">
        <v>47209</v>
      </c>
      <c r="H125" s="97">
        <v>35735</v>
      </c>
      <c r="I125" s="206" t="s">
        <v>718</v>
      </c>
      <c r="J125" s="198" t="s">
        <v>287</v>
      </c>
      <c r="K125" s="118" t="s">
        <v>281</v>
      </c>
      <c r="L125" s="97">
        <v>44078</v>
      </c>
      <c r="M125" s="204"/>
      <c r="N125" s="204" t="s">
        <v>76</v>
      </c>
      <c r="O125" s="118">
        <v>1.58</v>
      </c>
      <c r="P125" s="119"/>
      <c r="Q125" s="99"/>
      <c r="R125" s="314">
        <f t="shared" si="13"/>
        <v>8389800</v>
      </c>
      <c r="S125" s="314">
        <f t="shared" si="19"/>
        <v>0</v>
      </c>
      <c r="T125" s="314">
        <f t="shared" si="18"/>
        <v>0</v>
      </c>
      <c r="U125" s="314">
        <f t="shared" si="12"/>
        <v>8389800</v>
      </c>
      <c r="V125" s="314">
        <f>+VLOOKUP(A125,[2]Sheet1!$B$11:$J$400,9,0)</f>
        <v>6973200</v>
      </c>
      <c r="W125" s="315" t="s">
        <v>1617</v>
      </c>
      <c r="X125" s="99" t="s">
        <v>1071</v>
      </c>
      <c r="Y125" s="99" t="str">
        <f>+VLOOKUP(A125,[3]Sheet1!$B$11:$I$388,8,0)</f>
        <v>75 - 250</v>
      </c>
      <c r="Z125" s="99" t="s">
        <v>1787</v>
      </c>
      <c r="AA125" s="99" t="s">
        <v>2810</v>
      </c>
      <c r="AB125" s="100">
        <v>272445141</v>
      </c>
      <c r="AC125" s="99">
        <f>+VALUE(AB125:AB500)</f>
        <v>272445141</v>
      </c>
      <c r="AD125" s="99" t="s">
        <v>1075</v>
      </c>
      <c r="AE125" s="99" t="s">
        <v>2427</v>
      </c>
      <c r="AF125" s="99" t="s">
        <v>1076</v>
      </c>
      <c r="AG125" s="316" t="s">
        <v>1077</v>
      </c>
      <c r="AH125" s="251"/>
      <c r="AI125" s="251"/>
      <c r="AJ125" s="251"/>
      <c r="AK125" s="251" t="s">
        <v>3585</v>
      </c>
      <c r="AL125" s="251"/>
      <c r="AM125" s="251"/>
      <c r="AN125" s="251"/>
      <c r="AO125" s="251"/>
      <c r="AP125" s="251"/>
      <c r="AQ125" s="251"/>
      <c r="AR125" s="251"/>
      <c r="AS125" s="321" t="s">
        <v>2217</v>
      </c>
      <c r="AT125" s="251" t="s">
        <v>3489</v>
      </c>
      <c r="AU125" s="379"/>
      <c r="AV125" s="380"/>
    </row>
    <row r="126" spans="1:48" x14ac:dyDescent="0.25">
      <c r="A126" s="355" t="s">
        <v>1821</v>
      </c>
      <c r="B126" s="399" t="s">
        <v>3542</v>
      </c>
      <c r="C126" s="100" t="s">
        <v>348</v>
      </c>
      <c r="D126" s="97">
        <v>25849</v>
      </c>
      <c r="E126" s="97">
        <v>46575</v>
      </c>
      <c r="F126" s="97">
        <f t="shared" si="15"/>
        <v>46600</v>
      </c>
      <c r="G126" s="97">
        <v>46600</v>
      </c>
      <c r="H126" s="97">
        <v>34973</v>
      </c>
      <c r="I126" s="206" t="s">
        <v>718</v>
      </c>
      <c r="J126" s="198" t="s">
        <v>287</v>
      </c>
      <c r="K126" s="118" t="s">
        <v>281</v>
      </c>
      <c r="L126" s="97">
        <v>45261</v>
      </c>
      <c r="M126" s="204"/>
      <c r="N126" s="204" t="s">
        <v>76</v>
      </c>
      <c r="O126" s="118">
        <v>1.58</v>
      </c>
      <c r="P126" s="119"/>
      <c r="Q126" s="99"/>
      <c r="R126" s="314">
        <f t="shared" si="13"/>
        <v>8389800</v>
      </c>
      <c r="S126" s="314">
        <f t="shared" si="19"/>
        <v>0</v>
      </c>
      <c r="T126" s="314">
        <f t="shared" si="18"/>
        <v>0</v>
      </c>
      <c r="U126" s="314">
        <f t="shared" si="12"/>
        <v>8389800</v>
      </c>
      <c r="V126" s="314">
        <f>+VLOOKUP(A126,[2]Sheet1!$B$11:$J$400,9,0)</f>
        <v>7394400</v>
      </c>
      <c r="W126" s="315" t="s">
        <v>1618</v>
      </c>
      <c r="X126" s="99" t="s">
        <v>1071</v>
      </c>
      <c r="Y126" s="99" t="str">
        <f>+VLOOKUP(A126,[3]Sheet1!$B$11:$I$388,8,0)</f>
        <v>75 - 012</v>
      </c>
      <c r="Z126" s="99" t="s">
        <v>1787</v>
      </c>
      <c r="AA126" s="99" t="s">
        <v>2811</v>
      </c>
      <c r="AB126" s="100">
        <v>171790816</v>
      </c>
      <c r="AC126" s="99">
        <f>+VALUE(AB126:AB501)</f>
        <v>171790816</v>
      </c>
      <c r="AD126" s="99" t="s">
        <v>1078</v>
      </c>
      <c r="AE126" s="99" t="s">
        <v>2427</v>
      </c>
      <c r="AF126" s="99" t="s">
        <v>1073</v>
      </c>
      <c r="AG126" s="316" t="s">
        <v>1079</v>
      </c>
      <c r="AH126" s="251"/>
      <c r="AI126" s="251"/>
      <c r="AJ126" s="251"/>
      <c r="AK126" s="251" t="s">
        <v>3585</v>
      </c>
      <c r="AL126" s="251"/>
      <c r="AM126" s="251"/>
      <c r="AN126" s="251"/>
      <c r="AO126" s="251"/>
      <c r="AP126" s="251"/>
      <c r="AQ126" s="251"/>
      <c r="AR126" s="251"/>
      <c r="AS126" s="321" t="s">
        <v>2218</v>
      </c>
      <c r="AT126" s="251" t="s">
        <v>3489</v>
      </c>
      <c r="AU126" s="379"/>
      <c r="AV126" s="380"/>
    </row>
    <row r="127" spans="1:48" x14ac:dyDescent="0.25">
      <c r="A127" s="357" t="s">
        <v>136</v>
      </c>
      <c r="B127" s="399" t="s">
        <v>3542</v>
      </c>
      <c r="C127" s="100" t="s">
        <v>349</v>
      </c>
      <c r="D127" s="97">
        <v>26460</v>
      </c>
      <c r="E127" s="97">
        <f t="shared" ref="E127:E139" si="22">+DATE(YEAR(D127)+57,MONTH(D127),DAY(D127))</f>
        <v>47279</v>
      </c>
      <c r="F127" s="97">
        <f t="shared" si="15"/>
        <v>47300</v>
      </c>
      <c r="G127" s="97">
        <v>47300</v>
      </c>
      <c r="H127" s="97">
        <v>34820</v>
      </c>
      <c r="I127" s="206" t="s">
        <v>718</v>
      </c>
      <c r="J127" s="198" t="s">
        <v>287</v>
      </c>
      <c r="K127" s="118" t="s">
        <v>281</v>
      </c>
      <c r="L127" s="97">
        <v>45444</v>
      </c>
      <c r="M127" s="204"/>
      <c r="N127" s="204" t="s">
        <v>74</v>
      </c>
      <c r="O127" s="118">
        <v>1.68</v>
      </c>
      <c r="P127" s="119"/>
      <c r="Q127" s="99"/>
      <c r="R127" s="314">
        <f t="shared" si="13"/>
        <v>8920800</v>
      </c>
      <c r="S127" s="314">
        <f t="shared" si="19"/>
        <v>0</v>
      </c>
      <c r="T127" s="314">
        <f t="shared" si="18"/>
        <v>0</v>
      </c>
      <c r="U127" s="314">
        <f t="shared" si="12"/>
        <v>8920800</v>
      </c>
      <c r="V127" s="314">
        <f>+VLOOKUP(A127,[2]Sheet1!$B$11:$J$400,9,0)</f>
        <v>7862400</v>
      </c>
      <c r="W127" s="315" t="s">
        <v>1619</v>
      </c>
      <c r="X127" s="99" t="s">
        <v>1080</v>
      </c>
      <c r="Y127" s="99" t="str">
        <f>+VLOOKUP(A127,[3]Sheet1!$B$11:$I$388,8,0)</f>
        <v>75 - 012</v>
      </c>
      <c r="Z127" s="99" t="s">
        <v>1787</v>
      </c>
      <c r="AA127" s="99" t="s">
        <v>2812</v>
      </c>
      <c r="AB127" s="100">
        <v>151069785</v>
      </c>
      <c r="AC127" s="99">
        <f>+VALUE(AB127:AB502)</f>
        <v>151069785</v>
      </c>
      <c r="AD127" s="99" t="s">
        <v>1081</v>
      </c>
      <c r="AE127" s="99" t="s">
        <v>2427</v>
      </c>
      <c r="AF127" s="99" t="s">
        <v>1082</v>
      </c>
      <c r="AG127" s="316" t="s">
        <v>1079</v>
      </c>
      <c r="AH127" s="251"/>
      <c r="AI127" s="251"/>
      <c r="AJ127" s="251"/>
      <c r="AK127" s="251" t="s">
        <v>3585</v>
      </c>
      <c r="AL127" s="251"/>
      <c r="AM127" s="251"/>
      <c r="AN127" s="251"/>
      <c r="AO127" s="251"/>
      <c r="AP127" s="251"/>
      <c r="AQ127" s="251"/>
      <c r="AR127" s="251"/>
      <c r="AS127" s="321" t="s">
        <v>2219</v>
      </c>
      <c r="AT127" s="251" t="s">
        <v>3489</v>
      </c>
      <c r="AU127" s="379"/>
      <c r="AV127" s="380"/>
    </row>
    <row r="128" spans="1:48" x14ac:dyDescent="0.25">
      <c r="A128" s="355" t="s">
        <v>138</v>
      </c>
      <c r="B128" s="399" t="s">
        <v>3542</v>
      </c>
      <c r="C128" s="100" t="s">
        <v>351</v>
      </c>
      <c r="D128" s="97">
        <v>32386</v>
      </c>
      <c r="E128" s="97">
        <f t="shared" si="22"/>
        <v>53205</v>
      </c>
      <c r="F128" s="97">
        <f t="shared" si="15"/>
        <v>53206</v>
      </c>
      <c r="G128" s="97">
        <v>53206</v>
      </c>
      <c r="H128" s="97">
        <v>41671</v>
      </c>
      <c r="I128" s="206" t="s">
        <v>718</v>
      </c>
      <c r="J128" s="198" t="s">
        <v>287</v>
      </c>
      <c r="K128" s="118" t="s">
        <v>281</v>
      </c>
      <c r="L128" s="97">
        <v>45748</v>
      </c>
      <c r="M128" s="204"/>
      <c r="N128" s="204" t="s">
        <v>76</v>
      </c>
      <c r="O128" s="118">
        <v>1.58</v>
      </c>
      <c r="P128" s="119"/>
      <c r="Q128" s="99"/>
      <c r="R128" s="314">
        <f t="shared" si="13"/>
        <v>8389800</v>
      </c>
      <c r="S128" s="314">
        <f t="shared" si="19"/>
        <v>0</v>
      </c>
      <c r="T128" s="314">
        <f t="shared" si="18"/>
        <v>0</v>
      </c>
      <c r="U128" s="314">
        <f t="shared" si="12"/>
        <v>8389800</v>
      </c>
      <c r="V128" s="314">
        <f>+VLOOKUP(A128,[2]Sheet1!$B$11:$J$400,9,0)</f>
        <v>6973200</v>
      </c>
      <c r="W128" s="315" t="s">
        <v>1621</v>
      </c>
      <c r="X128" s="99" t="s">
        <v>1086</v>
      </c>
      <c r="Y128" s="99" t="str">
        <f>+VLOOKUP(A128,[3]Sheet1!$B$11:$I$388,8,0)</f>
        <v>75 - 026</v>
      </c>
      <c r="Z128" s="99" t="s">
        <v>1787</v>
      </c>
      <c r="AA128" s="99" t="s">
        <v>2813</v>
      </c>
      <c r="AB128" s="100">
        <v>271784084</v>
      </c>
      <c r="AC128" s="99">
        <f>+VALUE(AB128:AB504)</f>
        <v>271784084</v>
      </c>
      <c r="AD128" s="99" t="s">
        <v>626</v>
      </c>
      <c r="AE128" s="99" t="s">
        <v>2427</v>
      </c>
      <c r="AF128" s="99" t="s">
        <v>1087</v>
      </c>
      <c r="AG128" s="316" t="s">
        <v>1074</v>
      </c>
      <c r="AH128" s="251"/>
      <c r="AI128" s="251"/>
      <c r="AJ128" s="251"/>
      <c r="AK128" s="251"/>
      <c r="AL128" s="251" t="s">
        <v>3592</v>
      </c>
      <c r="AM128" s="251"/>
      <c r="AN128" s="251"/>
      <c r="AO128" s="251"/>
      <c r="AP128" s="251"/>
      <c r="AQ128" s="251"/>
      <c r="AR128" s="251"/>
      <c r="AS128" s="251" t="s">
        <v>2221</v>
      </c>
      <c r="AT128" s="251" t="s">
        <v>3489</v>
      </c>
      <c r="AU128" s="379"/>
      <c r="AV128" s="380"/>
    </row>
    <row r="129" spans="1:48" x14ac:dyDescent="0.25">
      <c r="A129" s="357" t="s">
        <v>140</v>
      </c>
      <c r="B129" s="399" t="s">
        <v>3542</v>
      </c>
      <c r="C129" s="100" t="s">
        <v>353</v>
      </c>
      <c r="D129" s="97">
        <v>29501</v>
      </c>
      <c r="E129" s="97">
        <f t="shared" si="22"/>
        <v>50320</v>
      </c>
      <c r="F129" s="97">
        <f t="shared" si="15"/>
        <v>50345</v>
      </c>
      <c r="G129" s="97">
        <v>50345</v>
      </c>
      <c r="H129" s="97">
        <v>37622</v>
      </c>
      <c r="I129" s="206" t="s">
        <v>718</v>
      </c>
      <c r="J129" s="198" t="s">
        <v>287</v>
      </c>
      <c r="K129" s="118" t="s">
        <v>281</v>
      </c>
      <c r="L129" s="97">
        <v>44027</v>
      </c>
      <c r="M129" s="204"/>
      <c r="N129" s="204" t="s">
        <v>76</v>
      </c>
      <c r="O129" s="118">
        <v>1.58</v>
      </c>
      <c r="P129" s="119"/>
      <c r="Q129" s="99"/>
      <c r="R129" s="314">
        <f t="shared" si="13"/>
        <v>8389800</v>
      </c>
      <c r="S129" s="314">
        <f t="shared" si="19"/>
        <v>0</v>
      </c>
      <c r="T129" s="314">
        <f t="shared" si="18"/>
        <v>0</v>
      </c>
      <c r="U129" s="314">
        <f t="shared" si="12"/>
        <v>8389800</v>
      </c>
      <c r="V129" s="314">
        <f>+VLOOKUP(A129,[2]Sheet1!$B$11:$J$400,9,0)</f>
        <v>7394400</v>
      </c>
      <c r="W129" s="315" t="s">
        <v>1623</v>
      </c>
      <c r="X129" s="99" t="s">
        <v>1092</v>
      </c>
      <c r="Y129" s="99" t="str">
        <f>+VLOOKUP(A129,[3]Sheet1!$B$11:$I$388,8,0)</f>
        <v>75 - 012</v>
      </c>
      <c r="Z129" s="99" t="s">
        <v>1787</v>
      </c>
      <c r="AA129" s="99" t="s">
        <v>2814</v>
      </c>
      <c r="AB129" s="100">
        <v>272720899</v>
      </c>
      <c r="AC129" s="99">
        <f>+VALUE(AB129:AB505)</f>
        <v>272720899</v>
      </c>
      <c r="AD129" s="99" t="s">
        <v>1093</v>
      </c>
      <c r="AE129" s="99" t="s">
        <v>2427</v>
      </c>
      <c r="AF129" s="99" t="s">
        <v>1094</v>
      </c>
      <c r="AG129" s="316" t="s">
        <v>1095</v>
      </c>
      <c r="AH129" s="251"/>
      <c r="AI129" s="251"/>
      <c r="AJ129" s="251"/>
      <c r="AK129" s="251" t="s">
        <v>3585</v>
      </c>
      <c r="AL129" s="251"/>
      <c r="AM129" s="251"/>
      <c r="AN129" s="251"/>
      <c r="AO129" s="251"/>
      <c r="AP129" s="251"/>
      <c r="AQ129" s="251"/>
      <c r="AR129" s="251"/>
      <c r="AS129" s="251" t="s">
        <v>2222</v>
      </c>
      <c r="AT129" s="251" t="s">
        <v>3489</v>
      </c>
      <c r="AU129" s="379"/>
      <c r="AV129" s="380"/>
    </row>
    <row r="130" spans="1:48" x14ac:dyDescent="0.25">
      <c r="A130" s="357" t="s">
        <v>1885</v>
      </c>
      <c r="B130" s="399" t="s">
        <v>3542</v>
      </c>
      <c r="C130" s="100" t="s">
        <v>1891</v>
      </c>
      <c r="D130" s="97">
        <v>35273</v>
      </c>
      <c r="E130" s="97">
        <f t="shared" si="22"/>
        <v>56092</v>
      </c>
      <c r="F130" s="97">
        <f t="shared" si="15"/>
        <v>56097</v>
      </c>
      <c r="G130" s="97">
        <v>56097</v>
      </c>
      <c r="H130" s="97">
        <v>43476</v>
      </c>
      <c r="I130" s="206" t="s">
        <v>718</v>
      </c>
      <c r="J130" s="207" t="s">
        <v>287</v>
      </c>
      <c r="K130" s="199" t="s">
        <v>281</v>
      </c>
      <c r="L130" s="204" t="s">
        <v>3238</v>
      </c>
      <c r="M130" s="204"/>
      <c r="N130" s="331" t="s">
        <v>71</v>
      </c>
      <c r="O130" s="118">
        <v>1.49</v>
      </c>
      <c r="P130" s="119"/>
      <c r="Q130" s="99"/>
      <c r="R130" s="314">
        <f t="shared" si="13"/>
        <v>7911900</v>
      </c>
      <c r="S130" s="314">
        <f t="shared" si="19"/>
        <v>0</v>
      </c>
      <c r="T130" s="314">
        <f t="shared" si="18"/>
        <v>0</v>
      </c>
      <c r="U130" s="314">
        <f t="shared" si="12"/>
        <v>7911900</v>
      </c>
      <c r="V130" s="314">
        <f>+VLOOKUP(A130,[2]Sheet1!$B$11:$J$400,9,0)</f>
        <v>6598800</v>
      </c>
      <c r="W130" s="315" t="s">
        <v>1970</v>
      </c>
      <c r="X130" s="99" t="s">
        <v>1971</v>
      </c>
      <c r="Y130" s="99" t="str">
        <f>+VLOOKUP(A130,[3]Sheet1!$B$11:$I$388,8,0)</f>
        <v>75 - 012</v>
      </c>
      <c r="Z130" s="99" t="s">
        <v>1787</v>
      </c>
      <c r="AA130" s="99" t="s">
        <v>2816</v>
      </c>
      <c r="AB130" s="100" t="s">
        <v>1886</v>
      </c>
      <c r="AC130" s="99">
        <f>+VALUE(AB130:AB507)</f>
        <v>194578412</v>
      </c>
      <c r="AD130" s="205" t="s">
        <v>1887</v>
      </c>
      <c r="AE130" s="99" t="s">
        <v>2427</v>
      </c>
      <c r="AF130" s="99" t="s">
        <v>1888</v>
      </c>
      <c r="AG130" s="316" t="s">
        <v>1890</v>
      </c>
      <c r="AH130" s="251"/>
      <c r="AI130" s="251"/>
      <c r="AJ130" s="251"/>
      <c r="AK130" s="251" t="s">
        <v>3619</v>
      </c>
      <c r="AL130" s="251"/>
      <c r="AM130" s="251"/>
      <c r="AN130" s="251"/>
      <c r="AO130" s="251"/>
      <c r="AP130" s="251"/>
      <c r="AQ130" s="251"/>
      <c r="AR130" s="251"/>
      <c r="AS130" s="321" t="s">
        <v>2411</v>
      </c>
      <c r="AT130" s="251" t="s">
        <v>3489</v>
      </c>
      <c r="AU130" s="379"/>
      <c r="AV130" s="380"/>
    </row>
    <row r="131" spans="1:48" x14ac:dyDescent="0.25">
      <c r="A131" s="357" t="s">
        <v>2033</v>
      </c>
      <c r="B131" s="399" t="s">
        <v>3542</v>
      </c>
      <c r="C131" s="100" t="s">
        <v>2034</v>
      </c>
      <c r="D131" s="97">
        <v>36334</v>
      </c>
      <c r="E131" s="97">
        <f t="shared" si="22"/>
        <v>57154</v>
      </c>
      <c r="F131" s="97">
        <f t="shared" si="15"/>
        <v>57162</v>
      </c>
      <c r="G131" s="97">
        <v>57162</v>
      </c>
      <c r="H131" s="97">
        <v>43908</v>
      </c>
      <c r="I131" s="206" t="s">
        <v>718</v>
      </c>
      <c r="J131" s="207" t="s">
        <v>287</v>
      </c>
      <c r="K131" s="199" t="s">
        <v>281</v>
      </c>
      <c r="L131" s="204" t="s">
        <v>3238</v>
      </c>
      <c r="M131" s="204"/>
      <c r="N131" s="329" t="s">
        <v>72</v>
      </c>
      <c r="O131" s="118">
        <v>1.41</v>
      </c>
      <c r="P131" s="119"/>
      <c r="Q131" s="99"/>
      <c r="R131" s="314">
        <f t="shared" si="13"/>
        <v>7487100</v>
      </c>
      <c r="S131" s="314">
        <f t="shared" si="19"/>
        <v>0</v>
      </c>
      <c r="T131" s="314">
        <f t="shared" si="18"/>
        <v>0</v>
      </c>
      <c r="U131" s="314">
        <f t="shared" si="12"/>
        <v>7487100</v>
      </c>
      <c r="V131" s="314">
        <f>+VLOOKUP(A131,[2]Sheet1!$B$11:$J$400,9,0)</f>
        <v>6598800</v>
      </c>
      <c r="W131" s="315" t="s">
        <v>2695</v>
      </c>
      <c r="X131" s="99"/>
      <c r="Y131" s="99" t="str">
        <f>+VLOOKUP(A131,[3]Sheet1!$B$11:$I$388,8,0)</f>
        <v>75 - 012</v>
      </c>
      <c r="Z131" s="99" t="s">
        <v>1787</v>
      </c>
      <c r="AA131" s="99" t="s">
        <v>2817</v>
      </c>
      <c r="AB131" s="100" t="s">
        <v>2035</v>
      </c>
      <c r="AC131" s="99">
        <f>+VALUE(AB131:AB508)</f>
        <v>272695181</v>
      </c>
      <c r="AD131" s="205" t="s">
        <v>2036</v>
      </c>
      <c r="AE131" s="99" t="s">
        <v>2427</v>
      </c>
      <c r="AF131" s="99" t="s">
        <v>2037</v>
      </c>
      <c r="AG131" s="316"/>
      <c r="AH131" s="251"/>
      <c r="AI131" s="251"/>
      <c r="AJ131" s="251"/>
      <c r="AK131" s="251" t="s">
        <v>3610</v>
      </c>
      <c r="AL131" s="251"/>
      <c r="AM131" s="251"/>
      <c r="AN131" s="251"/>
      <c r="AO131" s="251"/>
      <c r="AP131" s="247">
        <v>43907</v>
      </c>
      <c r="AQ131" s="251"/>
      <c r="AR131" s="247">
        <v>44638</v>
      </c>
      <c r="AS131" s="251" t="s">
        <v>2224</v>
      </c>
      <c r="AT131" s="251" t="s">
        <v>3489</v>
      </c>
      <c r="AU131" s="379"/>
      <c r="AV131" s="380"/>
    </row>
    <row r="132" spans="1:48" x14ac:dyDescent="0.25">
      <c r="A132" s="355" t="s">
        <v>2092</v>
      </c>
      <c r="B132" s="399" t="s">
        <v>3542</v>
      </c>
      <c r="C132" s="100" t="s">
        <v>2093</v>
      </c>
      <c r="D132" s="97">
        <v>34802</v>
      </c>
      <c r="E132" s="97">
        <f t="shared" si="22"/>
        <v>55622</v>
      </c>
      <c r="F132" s="97">
        <f t="shared" si="15"/>
        <v>55640</v>
      </c>
      <c r="G132" s="97">
        <v>55640</v>
      </c>
      <c r="H132" s="97">
        <v>44078</v>
      </c>
      <c r="I132" s="206" t="s">
        <v>718</v>
      </c>
      <c r="J132" s="198" t="s">
        <v>287</v>
      </c>
      <c r="K132" s="118" t="s">
        <v>281</v>
      </c>
      <c r="L132" s="97">
        <v>44078</v>
      </c>
      <c r="M132" s="204"/>
      <c r="N132" s="204" t="s">
        <v>72</v>
      </c>
      <c r="O132" s="118">
        <v>1.41</v>
      </c>
      <c r="P132" s="119"/>
      <c r="Q132" s="99"/>
      <c r="R132" s="314">
        <f t="shared" si="13"/>
        <v>7487100</v>
      </c>
      <c r="S132" s="314">
        <f t="shared" si="19"/>
        <v>0</v>
      </c>
      <c r="T132" s="314">
        <f t="shared" si="18"/>
        <v>0</v>
      </c>
      <c r="U132" s="314">
        <f t="shared" si="12"/>
        <v>7487100</v>
      </c>
      <c r="V132" s="314">
        <f>+VLOOKUP(A132,[2]Sheet1!$B$11:$J$400,9,0)</f>
        <v>6598800</v>
      </c>
      <c r="W132" s="315" t="s">
        <v>2696</v>
      </c>
      <c r="X132" s="99"/>
      <c r="Y132" s="99" t="str">
        <f>+VLOOKUP(A132,[3]Sheet1!$B$11:$I$388,8,0)</f>
        <v>75 - 012</v>
      </c>
      <c r="Z132" s="99" t="s">
        <v>1787</v>
      </c>
      <c r="AA132" s="99" t="s">
        <v>2818</v>
      </c>
      <c r="AB132" s="100" t="s">
        <v>2094</v>
      </c>
      <c r="AC132" s="99">
        <f>+VALUE(AB121:AB497)</f>
        <v>272497360</v>
      </c>
      <c r="AD132" s="205" t="s">
        <v>2095</v>
      </c>
      <c r="AE132" s="99" t="s">
        <v>2427</v>
      </c>
      <c r="AF132" s="99" t="s">
        <v>2096</v>
      </c>
      <c r="AG132" s="316">
        <v>25987</v>
      </c>
      <c r="AH132" s="251"/>
      <c r="AI132" s="251"/>
      <c r="AJ132" s="251"/>
      <c r="AK132" s="251" t="s">
        <v>3610</v>
      </c>
      <c r="AL132" s="251"/>
      <c r="AM132" s="251"/>
      <c r="AN132" s="251"/>
      <c r="AO132" s="251"/>
      <c r="AP132" s="247">
        <v>44077</v>
      </c>
      <c r="AQ132" s="251"/>
      <c r="AR132" s="247">
        <v>44808</v>
      </c>
      <c r="AS132" s="321" t="s">
        <v>2215</v>
      </c>
      <c r="AT132" s="251" t="s">
        <v>3489</v>
      </c>
      <c r="AU132" s="379"/>
      <c r="AV132" s="380"/>
    </row>
    <row r="133" spans="1:48" x14ac:dyDescent="0.25">
      <c r="A133" s="355" t="s">
        <v>2053</v>
      </c>
      <c r="B133" s="399" t="s">
        <v>3542</v>
      </c>
      <c r="C133" s="100" t="s">
        <v>2054</v>
      </c>
      <c r="D133" s="97">
        <v>33049</v>
      </c>
      <c r="E133" s="97">
        <f t="shared" si="22"/>
        <v>53868</v>
      </c>
      <c r="F133" s="97">
        <f t="shared" si="15"/>
        <v>53874</v>
      </c>
      <c r="G133" s="97">
        <v>53874</v>
      </c>
      <c r="H133" s="97">
        <v>43983</v>
      </c>
      <c r="I133" s="206" t="s">
        <v>718</v>
      </c>
      <c r="J133" s="198" t="s">
        <v>287</v>
      </c>
      <c r="K133" s="118" t="s">
        <v>285</v>
      </c>
      <c r="L133" s="204" t="s">
        <v>3238</v>
      </c>
      <c r="M133" s="204"/>
      <c r="N133" s="204" t="s">
        <v>71</v>
      </c>
      <c r="O133" s="118">
        <v>1.49</v>
      </c>
      <c r="P133" s="119">
        <v>0.04</v>
      </c>
      <c r="Q133" s="99"/>
      <c r="R133" s="314">
        <f t="shared" si="13"/>
        <v>7911900</v>
      </c>
      <c r="S133" s="314">
        <f t="shared" si="19"/>
        <v>198400</v>
      </c>
      <c r="T133" s="314">
        <f t="shared" si="18"/>
        <v>0</v>
      </c>
      <c r="U133" s="314">
        <f t="shared" ref="U133:U196" si="23">+R133+S133+T133</f>
        <v>8110300</v>
      </c>
      <c r="V133" s="314">
        <f>+VLOOKUP(A133,[2]Sheet1!$B$11:$J$400,9,0)</f>
        <v>6786000</v>
      </c>
      <c r="W133" s="315" t="s">
        <v>2062</v>
      </c>
      <c r="X133" s="99" t="s">
        <v>2063</v>
      </c>
      <c r="Y133" s="99" t="str">
        <f>+VLOOKUP(A133,[3]Sheet1!$B$11:$I$388,8,0)</f>
        <v>75 - 013</v>
      </c>
      <c r="Z133" s="99" t="s">
        <v>1787</v>
      </c>
      <c r="AA133" s="99" t="s">
        <v>2819</v>
      </c>
      <c r="AB133" s="100" t="s">
        <v>2055</v>
      </c>
      <c r="AC133" s="99">
        <f>+VALUE(AB133:AB527)</f>
        <v>186904485</v>
      </c>
      <c r="AD133" s="205" t="s">
        <v>2057</v>
      </c>
      <c r="AE133" s="99" t="s">
        <v>2427</v>
      </c>
      <c r="AF133" s="99" t="s">
        <v>2058</v>
      </c>
      <c r="AG133" s="316" t="s">
        <v>2059</v>
      </c>
      <c r="AH133" s="251"/>
      <c r="AI133" s="251"/>
      <c r="AJ133" s="251" t="s">
        <v>3620</v>
      </c>
      <c r="AK133" s="251"/>
      <c r="AL133" s="251"/>
      <c r="AM133" s="251"/>
      <c r="AN133" s="251"/>
      <c r="AO133" s="251"/>
      <c r="AP133" s="247">
        <v>43985</v>
      </c>
      <c r="AQ133" s="251"/>
      <c r="AR133" s="247">
        <v>44716</v>
      </c>
      <c r="AS133" s="321" t="s">
        <v>2410</v>
      </c>
      <c r="AT133" s="251" t="s">
        <v>3489</v>
      </c>
      <c r="AU133" s="379"/>
      <c r="AV133" s="380"/>
    </row>
    <row r="134" spans="1:48" x14ac:dyDescent="0.25">
      <c r="A134" s="355" t="s">
        <v>2654</v>
      </c>
      <c r="B134" s="399" t="s">
        <v>3542</v>
      </c>
      <c r="C134" s="100" t="s">
        <v>2655</v>
      </c>
      <c r="D134" s="97">
        <v>35647</v>
      </c>
      <c r="E134" s="97">
        <f t="shared" si="22"/>
        <v>56466</v>
      </c>
      <c r="F134" s="97">
        <f t="shared" si="15"/>
        <v>56493</v>
      </c>
      <c r="G134" s="97">
        <v>56493</v>
      </c>
      <c r="H134" s="97">
        <v>45261</v>
      </c>
      <c r="I134" s="206" t="s">
        <v>718</v>
      </c>
      <c r="J134" s="198" t="s">
        <v>287</v>
      </c>
      <c r="K134" s="118" t="s">
        <v>281</v>
      </c>
      <c r="L134" s="97">
        <v>45261</v>
      </c>
      <c r="M134" s="204"/>
      <c r="N134" s="204" t="s">
        <v>72</v>
      </c>
      <c r="O134" s="118">
        <v>1.41</v>
      </c>
      <c r="P134" s="119"/>
      <c r="Q134" s="99"/>
      <c r="R134" s="314">
        <f t="shared" si="13"/>
        <v>7487100</v>
      </c>
      <c r="S134" s="314">
        <f t="shared" si="19"/>
        <v>0</v>
      </c>
      <c r="T134" s="314">
        <f t="shared" si="18"/>
        <v>0</v>
      </c>
      <c r="U134" s="314">
        <f t="shared" si="23"/>
        <v>7487100</v>
      </c>
      <c r="V134" s="314">
        <f>+VLOOKUP(A134,[2]Sheet1!$B$11:$J$400,9,0)</f>
        <v>6598800</v>
      </c>
      <c r="W134" s="315" t="s">
        <v>2697</v>
      </c>
      <c r="X134" s="99"/>
      <c r="Y134" s="99" t="str">
        <f>+VLOOKUP(A134,[3]Sheet1!$B$11:$I$388,8,0)</f>
        <v>75 - 012</v>
      </c>
      <c r="Z134" s="99" t="s">
        <v>1787</v>
      </c>
      <c r="AA134" s="99" t="s">
        <v>2656</v>
      </c>
      <c r="AB134" s="100" t="s">
        <v>2656</v>
      </c>
      <c r="AC134" s="99">
        <f>+VALUE(AB134:AB528)</f>
        <v>44097007279</v>
      </c>
      <c r="AD134" s="205" t="s">
        <v>2657</v>
      </c>
      <c r="AE134" s="99" t="s">
        <v>2427</v>
      </c>
      <c r="AF134" s="99" t="s">
        <v>2658</v>
      </c>
      <c r="AG134" s="316" t="s">
        <v>2659</v>
      </c>
      <c r="AH134" s="251"/>
      <c r="AI134" s="251"/>
      <c r="AJ134" s="251"/>
      <c r="AK134" s="251"/>
      <c r="AL134" s="251" t="s">
        <v>3603</v>
      </c>
      <c r="AM134" s="247">
        <v>44896</v>
      </c>
      <c r="AN134" s="251"/>
      <c r="AO134" s="251"/>
      <c r="AP134" s="247">
        <v>44927</v>
      </c>
      <c r="AQ134" s="251"/>
      <c r="AR134" s="247"/>
      <c r="AS134" s="321" t="s">
        <v>2660</v>
      </c>
      <c r="AT134" s="251" t="s">
        <v>3489</v>
      </c>
      <c r="AU134" s="379"/>
      <c r="AV134" s="380"/>
    </row>
    <row r="135" spans="1:48" x14ac:dyDescent="0.25">
      <c r="A135" s="355" t="s">
        <v>3191</v>
      </c>
      <c r="B135" s="399" t="s">
        <v>3542</v>
      </c>
      <c r="C135" s="100" t="s">
        <v>3192</v>
      </c>
      <c r="D135" s="97">
        <v>36684</v>
      </c>
      <c r="E135" s="97">
        <f t="shared" si="22"/>
        <v>57503</v>
      </c>
      <c r="F135" s="97">
        <f t="shared" si="15"/>
        <v>57527</v>
      </c>
      <c r="G135" s="97">
        <v>56494</v>
      </c>
      <c r="H135" s="97">
        <v>45444</v>
      </c>
      <c r="I135" s="206" t="s">
        <v>718</v>
      </c>
      <c r="J135" s="198" t="s">
        <v>287</v>
      </c>
      <c r="K135" s="118" t="s">
        <v>281</v>
      </c>
      <c r="L135" s="97">
        <v>45444</v>
      </c>
      <c r="M135" s="204"/>
      <c r="N135" s="204" t="s">
        <v>72</v>
      </c>
      <c r="O135" s="118">
        <v>1.41</v>
      </c>
      <c r="P135" s="119"/>
      <c r="Q135" s="99"/>
      <c r="R135" s="314">
        <f t="shared" si="13"/>
        <v>7487100</v>
      </c>
      <c r="S135" s="314">
        <f t="shared" si="19"/>
        <v>0</v>
      </c>
      <c r="T135" s="314">
        <f t="shared" si="18"/>
        <v>0</v>
      </c>
      <c r="U135" s="314">
        <f t="shared" si="23"/>
        <v>7487100</v>
      </c>
      <c r="V135" s="314" t="e">
        <f>+VLOOKUP(A135,[2]Sheet1!$B$11:$J$400,9,0)</f>
        <v>#N/A</v>
      </c>
      <c r="W135" s="315" t="s">
        <v>3210</v>
      </c>
      <c r="X135" s="99"/>
      <c r="Y135" s="99"/>
      <c r="Z135" s="99" t="s">
        <v>1787</v>
      </c>
      <c r="AA135" s="201" t="s">
        <v>3193</v>
      </c>
      <c r="AB135" s="100"/>
      <c r="AC135" s="99"/>
      <c r="AD135" s="205" t="s">
        <v>3194</v>
      </c>
      <c r="AE135" s="99" t="s">
        <v>2427</v>
      </c>
      <c r="AF135" s="99" t="s">
        <v>3195</v>
      </c>
      <c r="AG135" s="316" t="s">
        <v>3196</v>
      </c>
      <c r="AH135" s="251"/>
      <c r="AI135" s="251"/>
      <c r="AJ135" s="251"/>
      <c r="AK135" s="251" t="s">
        <v>3621</v>
      </c>
      <c r="AL135" s="251"/>
      <c r="AM135" s="247">
        <v>45444</v>
      </c>
      <c r="AN135" s="251"/>
      <c r="AO135" s="247">
        <v>45444</v>
      </c>
      <c r="AP135" s="247"/>
      <c r="AQ135" s="251"/>
      <c r="AR135" s="247"/>
      <c r="AS135" s="321"/>
      <c r="AT135" s="251" t="s">
        <v>3489</v>
      </c>
      <c r="AU135" s="379"/>
      <c r="AV135" s="380"/>
    </row>
    <row r="136" spans="1:48" x14ac:dyDescent="0.25">
      <c r="A136" s="355" t="s">
        <v>3371</v>
      </c>
      <c r="B136" s="399" t="s">
        <v>3542</v>
      </c>
      <c r="C136" s="100" t="s">
        <v>3376</v>
      </c>
      <c r="D136" s="97">
        <v>37262</v>
      </c>
      <c r="E136" s="97">
        <f t="shared" si="22"/>
        <v>58081</v>
      </c>
      <c r="F136" s="97">
        <f t="shared" si="15"/>
        <v>58107</v>
      </c>
      <c r="G136" s="97">
        <v>58107</v>
      </c>
      <c r="H136" s="97">
        <v>45748</v>
      </c>
      <c r="I136" s="206" t="s">
        <v>718</v>
      </c>
      <c r="J136" s="198" t="s">
        <v>287</v>
      </c>
      <c r="K136" s="118" t="s">
        <v>281</v>
      </c>
      <c r="L136" s="97">
        <v>45748</v>
      </c>
      <c r="M136" s="204"/>
      <c r="N136" s="204" t="s">
        <v>72</v>
      </c>
      <c r="O136" s="118">
        <v>1.41</v>
      </c>
      <c r="P136" s="119"/>
      <c r="Q136" s="99"/>
      <c r="R136" s="314">
        <f t="shared" ref="R136:R158" si="24">+O136*5310000</f>
        <v>7487100</v>
      </c>
      <c r="S136" s="314">
        <f>+P136*4960000</f>
        <v>0</v>
      </c>
      <c r="T136" s="314">
        <f>+Q136*2340000</f>
        <v>0</v>
      </c>
      <c r="U136" s="314">
        <f t="shared" si="23"/>
        <v>7487100</v>
      </c>
      <c r="V136" s="314"/>
      <c r="W136" s="319">
        <v>7527034146</v>
      </c>
      <c r="X136" s="99" t="s">
        <v>3387</v>
      </c>
      <c r="Y136" s="99"/>
      <c r="Z136" s="99" t="s">
        <v>1787</v>
      </c>
      <c r="AA136" s="339" t="s">
        <v>3377</v>
      </c>
      <c r="AB136" s="100"/>
      <c r="AC136" s="99"/>
      <c r="AD136" s="205"/>
      <c r="AE136" s="99" t="s">
        <v>2427</v>
      </c>
      <c r="AF136" s="99" t="s">
        <v>3378</v>
      </c>
      <c r="AG136" s="316"/>
      <c r="AH136" s="251"/>
      <c r="AI136" s="251" t="s">
        <v>3622</v>
      </c>
      <c r="AJ136" s="251"/>
      <c r="AK136" s="251"/>
      <c r="AL136" s="251"/>
      <c r="AM136" s="247">
        <v>45717</v>
      </c>
      <c r="AN136" s="251"/>
      <c r="AO136" s="247">
        <v>45748</v>
      </c>
      <c r="AP136" s="247"/>
      <c r="AQ136" s="251"/>
      <c r="AR136" s="247"/>
      <c r="AS136" s="321"/>
      <c r="AT136" s="251" t="s">
        <v>3489</v>
      </c>
      <c r="AU136" s="379"/>
      <c r="AV136" s="380"/>
    </row>
    <row r="137" spans="1:48" x14ac:dyDescent="0.25">
      <c r="A137" s="355" t="s">
        <v>1822</v>
      </c>
      <c r="B137" s="399" t="s">
        <v>3542</v>
      </c>
      <c r="C137" s="100" t="s">
        <v>356</v>
      </c>
      <c r="D137" s="97">
        <v>26370</v>
      </c>
      <c r="E137" s="97">
        <f t="shared" si="22"/>
        <v>47189</v>
      </c>
      <c r="F137" s="97">
        <f t="shared" si="15"/>
        <v>47209</v>
      </c>
      <c r="G137" s="97">
        <v>47209</v>
      </c>
      <c r="H137" s="97">
        <v>33117</v>
      </c>
      <c r="I137" s="206" t="s">
        <v>719</v>
      </c>
      <c r="J137" s="198" t="s">
        <v>287</v>
      </c>
      <c r="K137" s="118" t="s">
        <v>286</v>
      </c>
      <c r="L137" s="97">
        <v>41091</v>
      </c>
      <c r="M137" s="204"/>
      <c r="N137" s="204" t="s">
        <v>74</v>
      </c>
      <c r="O137" s="118">
        <v>1.68</v>
      </c>
      <c r="P137" s="119">
        <v>0.06</v>
      </c>
      <c r="Q137" s="99"/>
      <c r="R137" s="314">
        <f t="shared" si="24"/>
        <v>8920800</v>
      </c>
      <c r="S137" s="314">
        <f t="shared" si="19"/>
        <v>297600</v>
      </c>
      <c r="T137" s="314">
        <f t="shared" si="18"/>
        <v>0</v>
      </c>
      <c r="U137" s="314">
        <f t="shared" si="23"/>
        <v>9218400</v>
      </c>
      <c r="V137" s="314">
        <f>+VLOOKUP(A137,[2]Sheet1!$B$11:$J$400,9,0)</f>
        <v>8143200</v>
      </c>
      <c r="W137" s="315" t="s">
        <v>1626</v>
      </c>
      <c r="X137" s="99" t="s">
        <v>605</v>
      </c>
      <c r="Y137" s="99" t="str">
        <f>+VLOOKUP(A137,[3]Sheet1!$B$11:$I$388,8,0)</f>
        <v>75 - 013</v>
      </c>
      <c r="Z137" s="99" t="s">
        <v>1787</v>
      </c>
      <c r="AA137" s="99" t="s">
        <v>2820</v>
      </c>
      <c r="AB137" s="100">
        <v>271148470</v>
      </c>
      <c r="AC137" s="99">
        <f>+VALUE(AB137:AB511)</f>
        <v>271148470</v>
      </c>
      <c r="AD137" s="99" t="s">
        <v>1103</v>
      </c>
      <c r="AE137" s="99" t="s">
        <v>2427</v>
      </c>
      <c r="AF137" s="99" t="s">
        <v>1104</v>
      </c>
      <c r="AG137" s="316" t="s">
        <v>1105</v>
      </c>
      <c r="AH137" s="251"/>
      <c r="AI137" s="251"/>
      <c r="AJ137" s="251"/>
      <c r="AK137" s="251"/>
      <c r="AL137" s="251" t="s">
        <v>3592</v>
      </c>
      <c r="AM137" s="251"/>
      <c r="AN137" s="251"/>
      <c r="AO137" s="251"/>
      <c r="AP137" s="251"/>
      <c r="AQ137" s="251"/>
      <c r="AR137" s="251"/>
      <c r="AS137" s="251" t="s">
        <v>2226</v>
      </c>
      <c r="AT137" s="251" t="s">
        <v>3489</v>
      </c>
      <c r="AU137" s="379"/>
      <c r="AV137" s="380"/>
    </row>
    <row r="138" spans="1:48" x14ac:dyDescent="0.25">
      <c r="A138" s="355" t="s">
        <v>143</v>
      </c>
      <c r="B138" s="399" t="s">
        <v>3542</v>
      </c>
      <c r="C138" s="100" t="s">
        <v>357</v>
      </c>
      <c r="D138" s="97">
        <v>27734</v>
      </c>
      <c r="E138" s="97">
        <f t="shared" si="22"/>
        <v>48554</v>
      </c>
      <c r="F138" s="97">
        <f t="shared" si="15"/>
        <v>48580</v>
      </c>
      <c r="G138" s="97">
        <v>48580</v>
      </c>
      <c r="H138" s="97">
        <v>36586</v>
      </c>
      <c r="I138" s="206" t="s">
        <v>719</v>
      </c>
      <c r="J138" s="198" t="s">
        <v>287</v>
      </c>
      <c r="K138" s="118" t="s">
        <v>281</v>
      </c>
      <c r="L138" s="97">
        <v>41821</v>
      </c>
      <c r="M138" s="204"/>
      <c r="N138" s="204" t="s">
        <v>71</v>
      </c>
      <c r="O138" s="118">
        <v>1.49</v>
      </c>
      <c r="P138" s="119"/>
      <c r="Q138" s="99"/>
      <c r="R138" s="314">
        <f t="shared" si="24"/>
        <v>7911900</v>
      </c>
      <c r="S138" s="314">
        <f t="shared" si="19"/>
        <v>0</v>
      </c>
      <c r="T138" s="314">
        <f t="shared" si="18"/>
        <v>0</v>
      </c>
      <c r="U138" s="314">
        <f t="shared" si="23"/>
        <v>7911900</v>
      </c>
      <c r="V138" s="314">
        <f>+VLOOKUP(A138,[2]Sheet1!$B$11:$J$400,9,0)</f>
        <v>6973200</v>
      </c>
      <c r="W138" s="315" t="s">
        <v>1627</v>
      </c>
      <c r="X138" s="99" t="s">
        <v>1106</v>
      </c>
      <c r="Y138" s="99" t="str">
        <f>+VLOOKUP(A138,[3]Sheet1!$B$11:$I$388,8,0)</f>
        <v>75 - 013</v>
      </c>
      <c r="Z138" s="99" t="s">
        <v>1787</v>
      </c>
      <c r="AA138" s="99" t="s">
        <v>2821</v>
      </c>
      <c r="AB138" s="100">
        <v>145001516</v>
      </c>
      <c r="AC138" s="99">
        <f>+VALUE(AB138:AB512)</f>
        <v>145001516</v>
      </c>
      <c r="AD138" s="99" t="s">
        <v>1107</v>
      </c>
      <c r="AE138" s="99" t="s">
        <v>2427</v>
      </c>
      <c r="AF138" s="99" t="s">
        <v>1108</v>
      </c>
      <c r="AG138" s="316" t="s">
        <v>1109</v>
      </c>
      <c r="AH138" s="251"/>
      <c r="AI138" s="251"/>
      <c r="AJ138" s="251"/>
      <c r="AK138" s="251"/>
      <c r="AL138" s="251" t="s">
        <v>3592</v>
      </c>
      <c r="AM138" s="251"/>
      <c r="AN138" s="251"/>
      <c r="AO138" s="251"/>
      <c r="AP138" s="251"/>
      <c r="AQ138" s="251"/>
      <c r="AR138" s="251"/>
      <c r="AS138" s="251" t="s">
        <v>2227</v>
      </c>
      <c r="AT138" s="251" t="s">
        <v>3489</v>
      </c>
      <c r="AU138" s="379"/>
      <c r="AV138" s="380"/>
    </row>
    <row r="139" spans="1:48" x14ac:dyDescent="0.25">
      <c r="A139" s="355" t="s">
        <v>3563</v>
      </c>
      <c r="B139" s="399" t="s">
        <v>3542</v>
      </c>
      <c r="C139" s="100" t="s">
        <v>358</v>
      </c>
      <c r="D139" s="97">
        <v>26384</v>
      </c>
      <c r="E139" s="97">
        <f t="shared" si="22"/>
        <v>47203</v>
      </c>
      <c r="F139" s="97">
        <f t="shared" si="15"/>
        <v>47209</v>
      </c>
      <c r="G139" s="97">
        <v>47209</v>
      </c>
      <c r="H139" s="97">
        <v>34608</v>
      </c>
      <c r="I139" s="206" t="s">
        <v>719</v>
      </c>
      <c r="J139" s="198" t="s">
        <v>287</v>
      </c>
      <c r="K139" s="118" t="s">
        <v>281</v>
      </c>
      <c r="L139" s="97">
        <v>42979</v>
      </c>
      <c r="M139" s="204"/>
      <c r="N139" s="204" t="s">
        <v>74</v>
      </c>
      <c r="O139" s="118">
        <v>1.68</v>
      </c>
      <c r="P139" s="119"/>
      <c r="Q139" s="99"/>
      <c r="R139" s="314">
        <f t="shared" si="24"/>
        <v>8920800</v>
      </c>
      <c r="S139" s="314">
        <f t="shared" si="19"/>
        <v>0</v>
      </c>
      <c r="T139" s="314">
        <f t="shared" si="18"/>
        <v>0</v>
      </c>
      <c r="U139" s="314">
        <f t="shared" si="23"/>
        <v>8920800</v>
      </c>
      <c r="V139" s="314">
        <v>7862400</v>
      </c>
      <c r="W139" s="315" t="s">
        <v>1628</v>
      </c>
      <c r="X139" s="99" t="s">
        <v>605</v>
      </c>
      <c r="Y139" s="99" t="str">
        <f>+VLOOKUP(A139,[3]Sheet1!$B$11:$I$388,8,0)</f>
        <v>75 - 013</v>
      </c>
      <c r="Z139" s="99" t="s">
        <v>1787</v>
      </c>
      <c r="AA139" s="99" t="s">
        <v>3003</v>
      </c>
      <c r="AB139" s="100">
        <v>271381052</v>
      </c>
      <c r="AC139" s="99">
        <f>+VALUE(AB139:AB513)</f>
        <v>271381052</v>
      </c>
      <c r="AD139" s="99" t="s">
        <v>1110</v>
      </c>
      <c r="AE139" s="99" t="s">
        <v>2427</v>
      </c>
      <c r="AF139" s="99" t="s">
        <v>1108</v>
      </c>
      <c r="AG139" s="316" t="s">
        <v>1111</v>
      </c>
      <c r="AH139" s="251"/>
      <c r="AI139" s="251"/>
      <c r="AJ139" s="251"/>
      <c r="AK139" s="251"/>
      <c r="AL139" s="251" t="s">
        <v>3592</v>
      </c>
      <c r="AM139" s="251"/>
      <c r="AN139" s="251"/>
      <c r="AO139" s="251"/>
      <c r="AP139" s="251"/>
      <c r="AQ139" s="251"/>
      <c r="AR139" s="251"/>
      <c r="AS139" s="321" t="s">
        <v>2408</v>
      </c>
      <c r="AT139" s="251" t="s">
        <v>3489</v>
      </c>
      <c r="AU139" s="379"/>
      <c r="AV139" s="380"/>
    </row>
    <row r="140" spans="1:48" x14ac:dyDescent="0.25">
      <c r="A140" s="355" t="s">
        <v>144</v>
      </c>
      <c r="B140" s="399" t="s">
        <v>3542</v>
      </c>
      <c r="C140" s="100" t="s">
        <v>359</v>
      </c>
      <c r="D140" s="97">
        <v>26009</v>
      </c>
      <c r="E140" s="97">
        <v>46738</v>
      </c>
      <c r="F140" s="97">
        <f t="shared" si="15"/>
        <v>46753</v>
      </c>
      <c r="G140" s="97">
        <v>46753</v>
      </c>
      <c r="H140" s="97">
        <v>35370</v>
      </c>
      <c r="I140" s="206" t="s">
        <v>719</v>
      </c>
      <c r="J140" s="198" t="s">
        <v>287</v>
      </c>
      <c r="K140" s="118" t="s">
        <v>281</v>
      </c>
      <c r="L140" s="97">
        <v>41456</v>
      </c>
      <c r="M140" s="204"/>
      <c r="N140" s="204" t="s">
        <v>76</v>
      </c>
      <c r="O140" s="118">
        <v>1.58</v>
      </c>
      <c r="P140" s="119"/>
      <c r="Q140" s="99"/>
      <c r="R140" s="314">
        <f t="shared" si="24"/>
        <v>8389800</v>
      </c>
      <c r="S140" s="314">
        <f t="shared" si="19"/>
        <v>0</v>
      </c>
      <c r="T140" s="314">
        <f t="shared" si="18"/>
        <v>0</v>
      </c>
      <c r="U140" s="314">
        <f t="shared" si="23"/>
        <v>8389800</v>
      </c>
      <c r="V140" s="314">
        <f>+VLOOKUP(A140,[2]Sheet1!$B$11:$J$400,9,0)</f>
        <v>7394400</v>
      </c>
      <c r="W140" s="315" t="s">
        <v>1629</v>
      </c>
      <c r="X140" s="99" t="s">
        <v>595</v>
      </c>
      <c r="Y140" s="99" t="str">
        <f>+VLOOKUP(A140,[3]Sheet1!$B$11:$I$388,8,0)</f>
        <v>75 - 013</v>
      </c>
      <c r="Z140" s="99" t="s">
        <v>1787</v>
      </c>
      <c r="AA140" s="99" t="s">
        <v>2822</v>
      </c>
      <c r="AB140" s="100" t="s">
        <v>1112</v>
      </c>
      <c r="AC140" s="99">
        <f>+VALUE(AB140:AB514)</f>
        <v>272786618</v>
      </c>
      <c r="AD140" s="99" t="s">
        <v>1113</v>
      </c>
      <c r="AE140" s="99" t="s">
        <v>2427</v>
      </c>
      <c r="AF140" s="99" t="s">
        <v>1108</v>
      </c>
      <c r="AG140" s="316" t="s">
        <v>1114</v>
      </c>
      <c r="AH140" s="251"/>
      <c r="AI140" s="251"/>
      <c r="AJ140" s="251"/>
      <c r="AK140" s="251" t="s">
        <v>3585</v>
      </c>
      <c r="AL140" s="251"/>
      <c r="AM140" s="251"/>
      <c r="AN140" s="251"/>
      <c r="AO140" s="251"/>
      <c r="AP140" s="251"/>
      <c r="AQ140" s="251"/>
      <c r="AR140" s="251"/>
      <c r="AS140" s="251" t="s">
        <v>2228</v>
      </c>
      <c r="AT140" s="251" t="s">
        <v>3489</v>
      </c>
      <c r="AU140" s="379"/>
      <c r="AV140" s="380"/>
    </row>
    <row r="141" spans="1:48" x14ac:dyDescent="0.25">
      <c r="A141" s="357" t="s">
        <v>3174</v>
      </c>
      <c r="B141" s="399" t="s">
        <v>3542</v>
      </c>
      <c r="C141" s="100" t="s">
        <v>360</v>
      </c>
      <c r="D141" s="97">
        <v>26978</v>
      </c>
      <c r="E141" s="97">
        <f t="shared" ref="E141:E155" si="25">+DATE(YEAR(D141)+57,MONTH(D141),DAY(D141))</f>
        <v>47797</v>
      </c>
      <c r="F141" s="97">
        <f t="shared" si="15"/>
        <v>47818</v>
      </c>
      <c r="G141" s="97">
        <v>47818</v>
      </c>
      <c r="H141" s="97">
        <v>34820</v>
      </c>
      <c r="I141" s="206" t="s">
        <v>719</v>
      </c>
      <c r="J141" s="198" t="s">
        <v>287</v>
      </c>
      <c r="K141" s="118" t="s">
        <v>281</v>
      </c>
      <c r="L141" s="97">
        <v>41091</v>
      </c>
      <c r="M141" s="204"/>
      <c r="N141" s="204" t="s">
        <v>71</v>
      </c>
      <c r="O141" s="118">
        <v>1.49</v>
      </c>
      <c r="P141" s="119"/>
      <c r="Q141" s="99"/>
      <c r="R141" s="314">
        <f t="shared" si="24"/>
        <v>7911900</v>
      </c>
      <c r="S141" s="314">
        <f t="shared" si="19"/>
        <v>0</v>
      </c>
      <c r="T141" s="314">
        <f t="shared" si="18"/>
        <v>0</v>
      </c>
      <c r="U141" s="314">
        <f t="shared" si="23"/>
        <v>7911900</v>
      </c>
      <c r="V141" s="314">
        <v>6973200</v>
      </c>
      <c r="W141" s="315" t="s">
        <v>1630</v>
      </c>
      <c r="X141" s="99" t="s">
        <v>1106</v>
      </c>
      <c r="Y141" s="99" t="e">
        <f>+VLOOKUP(A141,[3]Sheet1!$B$11:$I$388,8,0)</f>
        <v>#N/A</v>
      </c>
      <c r="Z141" s="99" t="s">
        <v>1787</v>
      </c>
      <c r="AA141" s="99" t="s">
        <v>2823</v>
      </c>
      <c r="AB141" s="100">
        <v>272190192</v>
      </c>
      <c r="AC141" s="99">
        <f>+VALUE(AB141:AB515)</f>
        <v>272190192</v>
      </c>
      <c r="AD141" s="99" t="s">
        <v>1115</v>
      </c>
      <c r="AE141" s="99" t="s">
        <v>2427</v>
      </c>
      <c r="AF141" s="99" t="s">
        <v>1108</v>
      </c>
      <c r="AG141" s="316" t="s">
        <v>1116</v>
      </c>
      <c r="AH141" s="251"/>
      <c r="AI141" s="251"/>
      <c r="AJ141" s="251"/>
      <c r="AK141" s="251" t="s">
        <v>3585</v>
      </c>
      <c r="AL141" s="251"/>
      <c r="AM141" s="251"/>
      <c r="AN141" s="251"/>
      <c r="AO141" s="251"/>
      <c r="AP141" s="251"/>
      <c r="AQ141" s="251"/>
      <c r="AR141" s="251"/>
      <c r="AS141" s="251" t="s">
        <v>2229</v>
      </c>
      <c r="AT141" s="251" t="s">
        <v>3489</v>
      </c>
      <c r="AU141" s="379"/>
      <c r="AV141" s="380"/>
    </row>
    <row r="142" spans="1:48" x14ac:dyDescent="0.25">
      <c r="A142" s="355" t="s">
        <v>146</v>
      </c>
      <c r="B142" s="399" t="s">
        <v>3542</v>
      </c>
      <c r="C142" s="100" t="s">
        <v>362</v>
      </c>
      <c r="D142" s="97">
        <v>28770</v>
      </c>
      <c r="E142" s="97">
        <f t="shared" si="25"/>
        <v>49589</v>
      </c>
      <c r="F142" s="97">
        <f t="shared" si="15"/>
        <v>49614</v>
      </c>
      <c r="G142" s="97">
        <v>49614</v>
      </c>
      <c r="H142" s="97">
        <v>37165</v>
      </c>
      <c r="I142" s="206" t="s">
        <v>719</v>
      </c>
      <c r="J142" s="198" t="s">
        <v>287</v>
      </c>
      <c r="K142" s="118" t="s">
        <v>281</v>
      </c>
      <c r="L142" s="97">
        <v>40360</v>
      </c>
      <c r="M142" s="204"/>
      <c r="N142" s="204" t="s">
        <v>76</v>
      </c>
      <c r="O142" s="118">
        <v>1.58</v>
      </c>
      <c r="P142" s="119"/>
      <c r="Q142" s="99"/>
      <c r="R142" s="314">
        <f t="shared" si="24"/>
        <v>8389800</v>
      </c>
      <c r="S142" s="314">
        <f t="shared" si="19"/>
        <v>0</v>
      </c>
      <c r="T142" s="314">
        <f t="shared" si="18"/>
        <v>0</v>
      </c>
      <c r="U142" s="314">
        <f t="shared" si="23"/>
        <v>8389800</v>
      </c>
      <c r="V142" s="314">
        <f>+VLOOKUP(A142,[2]Sheet1!$B$11:$J$400,9,0)</f>
        <v>7394400</v>
      </c>
      <c r="W142" s="315" t="s">
        <v>1632</v>
      </c>
      <c r="X142" s="99" t="s">
        <v>595</v>
      </c>
      <c r="Y142" s="99" t="str">
        <f>+VLOOKUP(A142,[3]Sheet1!$B$11:$I$388,8,0)</f>
        <v>75 - 013</v>
      </c>
      <c r="Z142" s="99" t="s">
        <v>1787</v>
      </c>
      <c r="AA142" s="99" t="s">
        <v>2824</v>
      </c>
      <c r="AB142" s="100">
        <v>182285819</v>
      </c>
      <c r="AC142" s="99">
        <f>+VALUE(AB142:AB517)</f>
        <v>182285819</v>
      </c>
      <c r="AD142" s="99" t="s">
        <v>1120</v>
      </c>
      <c r="AE142" s="99" t="s">
        <v>2427</v>
      </c>
      <c r="AF142" s="99" t="s">
        <v>1108</v>
      </c>
      <c r="AG142" s="316" t="s">
        <v>1121</v>
      </c>
      <c r="AH142" s="251"/>
      <c r="AI142" s="251"/>
      <c r="AJ142" s="251"/>
      <c r="AK142" s="251"/>
      <c r="AL142" s="251" t="s">
        <v>3592</v>
      </c>
      <c r="AM142" s="251"/>
      <c r="AN142" s="251"/>
      <c r="AO142" s="251"/>
      <c r="AP142" s="251"/>
      <c r="AQ142" s="251"/>
      <c r="AR142" s="251"/>
      <c r="AS142" s="251" t="s">
        <v>2231</v>
      </c>
      <c r="AT142" s="251" t="s">
        <v>3489</v>
      </c>
      <c r="AU142" s="379"/>
      <c r="AV142" s="380"/>
    </row>
    <row r="143" spans="1:48" x14ac:dyDescent="0.25">
      <c r="A143" s="357" t="s">
        <v>2066</v>
      </c>
      <c r="B143" s="399" t="s">
        <v>3542</v>
      </c>
      <c r="C143" s="100" t="s">
        <v>2067</v>
      </c>
      <c r="D143" s="205">
        <v>33571</v>
      </c>
      <c r="E143" s="97">
        <f t="shared" si="25"/>
        <v>54391</v>
      </c>
      <c r="F143" s="97">
        <f t="shared" si="15"/>
        <v>54393</v>
      </c>
      <c r="G143" s="97">
        <v>54393</v>
      </c>
      <c r="H143" s="97">
        <v>44027</v>
      </c>
      <c r="I143" s="206" t="s">
        <v>719</v>
      </c>
      <c r="J143" s="207" t="s">
        <v>287</v>
      </c>
      <c r="K143" s="199" t="s">
        <v>281</v>
      </c>
      <c r="L143" s="97">
        <v>44027</v>
      </c>
      <c r="M143" s="204"/>
      <c r="N143" s="329" t="s">
        <v>72</v>
      </c>
      <c r="O143" s="118">
        <v>1.41</v>
      </c>
      <c r="P143" s="119"/>
      <c r="Q143" s="99"/>
      <c r="R143" s="314">
        <f t="shared" si="24"/>
        <v>7487100</v>
      </c>
      <c r="S143" s="314">
        <f t="shared" si="19"/>
        <v>0</v>
      </c>
      <c r="T143" s="314">
        <f t="shared" si="18"/>
        <v>0</v>
      </c>
      <c r="U143" s="314">
        <f t="shared" si="23"/>
        <v>7487100</v>
      </c>
      <c r="V143" s="314">
        <f>+VLOOKUP(A143,[2]Sheet1!$B$11:$J$400,9,0)</f>
        <v>6598800</v>
      </c>
      <c r="W143" s="315" t="s">
        <v>2090</v>
      </c>
      <c r="X143" s="99" t="s">
        <v>2091</v>
      </c>
      <c r="Y143" s="99" t="str">
        <f>+VLOOKUP(A143,[3]Sheet1!$B$11:$I$388,8,0)</f>
        <v>60 - 013</v>
      </c>
      <c r="Z143" s="99" t="s">
        <v>1787</v>
      </c>
      <c r="AA143" s="99" t="s">
        <v>2825</v>
      </c>
      <c r="AB143" s="100" t="s">
        <v>2068</v>
      </c>
      <c r="AC143" s="99">
        <f>+VALUE(AB132:AB510)</f>
        <v>261180643</v>
      </c>
      <c r="AD143" s="205" t="s">
        <v>2069</v>
      </c>
      <c r="AE143" s="99" t="s">
        <v>2427</v>
      </c>
      <c r="AF143" s="99" t="s">
        <v>2070</v>
      </c>
      <c r="AG143" s="316">
        <v>23182</v>
      </c>
      <c r="AH143" s="251"/>
      <c r="AI143" s="251"/>
      <c r="AJ143" s="251" t="s">
        <v>3605</v>
      </c>
      <c r="AK143" s="251"/>
      <c r="AL143" s="251"/>
      <c r="AM143" s="251"/>
      <c r="AN143" s="251"/>
      <c r="AO143" s="251"/>
      <c r="AP143" s="247">
        <v>44026</v>
      </c>
      <c r="AQ143" s="251"/>
      <c r="AR143" s="247">
        <v>44757</v>
      </c>
      <c r="AS143" s="251" t="s">
        <v>2225</v>
      </c>
      <c r="AT143" s="251" t="s">
        <v>3489</v>
      </c>
      <c r="AU143" s="379"/>
      <c r="AV143" s="380"/>
    </row>
    <row r="144" spans="1:48" x14ac:dyDescent="0.25">
      <c r="A144" s="355" t="s">
        <v>148</v>
      </c>
      <c r="B144" s="399" t="s">
        <v>3542</v>
      </c>
      <c r="C144" s="100" t="s">
        <v>363</v>
      </c>
      <c r="D144" s="97">
        <v>33075</v>
      </c>
      <c r="E144" s="97">
        <f t="shared" si="25"/>
        <v>53894</v>
      </c>
      <c r="F144" s="97">
        <f t="shared" si="15"/>
        <v>53905</v>
      </c>
      <c r="G144" s="97">
        <v>53905</v>
      </c>
      <c r="H144" s="97">
        <v>41671</v>
      </c>
      <c r="I144" s="206" t="s">
        <v>719</v>
      </c>
      <c r="J144" s="207" t="s">
        <v>287</v>
      </c>
      <c r="K144" s="118" t="s">
        <v>285</v>
      </c>
      <c r="L144" s="97">
        <v>45839</v>
      </c>
      <c r="M144" s="204"/>
      <c r="N144" s="204" t="s">
        <v>76</v>
      </c>
      <c r="O144" s="118">
        <v>1.58</v>
      </c>
      <c r="P144" s="119">
        <v>0.04</v>
      </c>
      <c r="Q144" s="99"/>
      <c r="R144" s="314">
        <f t="shared" si="24"/>
        <v>8389800</v>
      </c>
      <c r="S144" s="314">
        <f t="shared" si="19"/>
        <v>198400</v>
      </c>
      <c r="T144" s="314">
        <f t="shared" si="18"/>
        <v>0</v>
      </c>
      <c r="U144" s="314">
        <f t="shared" si="23"/>
        <v>8588200</v>
      </c>
      <c r="V144" s="314">
        <f>+VLOOKUP(A144,[2]Sheet1!$B$11:$J$400,9,0)</f>
        <v>7160400</v>
      </c>
      <c r="W144" s="315" t="s">
        <v>1634</v>
      </c>
      <c r="X144" s="99" t="s">
        <v>1122</v>
      </c>
      <c r="Y144" s="99" t="str">
        <f>+VLOOKUP(A144,[3]Sheet1!$B$11:$I$388,8,0)</f>
        <v>75 - 013</v>
      </c>
      <c r="Z144" s="99" t="s">
        <v>1787</v>
      </c>
      <c r="AA144" s="99" t="s">
        <v>2826</v>
      </c>
      <c r="AB144" s="100">
        <v>271899204</v>
      </c>
      <c r="AC144" s="99">
        <f>+VALUE(AB144:AB518)</f>
        <v>271899204</v>
      </c>
      <c r="AD144" s="99" t="s">
        <v>1123</v>
      </c>
      <c r="AE144" s="99" t="s">
        <v>2427</v>
      </c>
      <c r="AF144" s="99" t="s">
        <v>1124</v>
      </c>
      <c r="AG144" s="316" t="s">
        <v>1125</v>
      </c>
      <c r="AH144" s="251"/>
      <c r="AI144" s="251"/>
      <c r="AJ144" s="251"/>
      <c r="AK144" s="251"/>
      <c r="AL144" s="251" t="s">
        <v>3592</v>
      </c>
      <c r="AM144" s="251"/>
      <c r="AN144" s="251"/>
      <c r="AO144" s="251"/>
      <c r="AP144" s="251"/>
      <c r="AQ144" s="251"/>
      <c r="AR144" s="251"/>
      <c r="AS144" s="251" t="s">
        <v>2232</v>
      </c>
      <c r="AT144" s="251" t="s">
        <v>3489</v>
      </c>
      <c r="AU144" s="379"/>
      <c r="AV144" s="380"/>
    </row>
    <row r="145" spans="1:48" x14ac:dyDescent="0.25">
      <c r="A145" s="355" t="s">
        <v>151</v>
      </c>
      <c r="B145" s="399" t="s">
        <v>3542</v>
      </c>
      <c r="C145" s="100" t="s">
        <v>366</v>
      </c>
      <c r="D145" s="97">
        <v>31600</v>
      </c>
      <c r="E145" s="97">
        <f t="shared" si="25"/>
        <v>52419</v>
      </c>
      <c r="F145" s="97">
        <f t="shared" si="15"/>
        <v>52444</v>
      </c>
      <c r="G145" s="97">
        <v>52444</v>
      </c>
      <c r="H145" s="97">
        <v>41671</v>
      </c>
      <c r="I145" s="206" t="s">
        <v>719</v>
      </c>
      <c r="J145" s="198" t="s">
        <v>287</v>
      </c>
      <c r="K145" s="118" t="s">
        <v>281</v>
      </c>
      <c r="L145" s="97">
        <v>45839</v>
      </c>
      <c r="M145" s="204"/>
      <c r="N145" s="204" t="s">
        <v>76</v>
      </c>
      <c r="O145" s="118">
        <v>1.58</v>
      </c>
      <c r="P145" s="119"/>
      <c r="Q145" s="99"/>
      <c r="R145" s="314">
        <f t="shared" si="24"/>
        <v>8389800</v>
      </c>
      <c r="S145" s="314">
        <f t="shared" si="19"/>
        <v>0</v>
      </c>
      <c r="T145" s="314">
        <f t="shared" si="18"/>
        <v>0</v>
      </c>
      <c r="U145" s="314">
        <f t="shared" si="23"/>
        <v>8389800</v>
      </c>
      <c r="V145" s="314">
        <f>+VLOOKUP(A145,[2]Sheet1!$B$11:$J$400,9,0)</f>
        <v>6973200</v>
      </c>
      <c r="W145" s="315" t="s">
        <v>1637</v>
      </c>
      <c r="X145" s="99" t="s">
        <v>1131</v>
      </c>
      <c r="Y145" s="99" t="str">
        <f>+VLOOKUP(A145,[3]Sheet1!$B$11:$I$388,8,0)</f>
        <v>75 - 281</v>
      </c>
      <c r="Z145" s="99" t="s">
        <v>1787</v>
      </c>
      <c r="AA145" s="99" t="s">
        <v>2827</v>
      </c>
      <c r="AB145" s="100">
        <v>271774820</v>
      </c>
      <c r="AC145" s="99">
        <f>+VALUE(AB145:AB519)</f>
        <v>271774820</v>
      </c>
      <c r="AD145" s="99" t="s">
        <v>1132</v>
      </c>
      <c r="AE145" s="99" t="s">
        <v>2427</v>
      </c>
      <c r="AF145" s="99" t="s">
        <v>1133</v>
      </c>
      <c r="AG145" s="316" t="s">
        <v>750</v>
      </c>
      <c r="AH145" s="251"/>
      <c r="AI145" s="251"/>
      <c r="AJ145" s="251"/>
      <c r="AK145" s="251"/>
      <c r="AL145" s="251" t="s">
        <v>3592</v>
      </c>
      <c r="AM145" s="251"/>
      <c r="AN145" s="251"/>
      <c r="AO145" s="251"/>
      <c r="AP145" s="251"/>
      <c r="AQ145" s="251"/>
      <c r="AR145" s="251"/>
      <c r="AS145" s="251" t="s">
        <v>2233</v>
      </c>
      <c r="AT145" s="251" t="s">
        <v>3489</v>
      </c>
      <c r="AU145" s="379"/>
      <c r="AV145" s="380"/>
    </row>
    <row r="146" spans="1:48" x14ac:dyDescent="0.25">
      <c r="A146" s="355" t="s">
        <v>2002</v>
      </c>
      <c r="B146" s="399" t="s">
        <v>3542</v>
      </c>
      <c r="C146" s="100" t="s">
        <v>2003</v>
      </c>
      <c r="D146" s="97">
        <v>33239</v>
      </c>
      <c r="E146" s="97">
        <f t="shared" si="25"/>
        <v>54058</v>
      </c>
      <c r="F146" s="97">
        <f t="shared" si="15"/>
        <v>54089</v>
      </c>
      <c r="G146" s="97">
        <v>54089</v>
      </c>
      <c r="H146" s="97">
        <v>43800</v>
      </c>
      <c r="I146" s="206" t="s">
        <v>719</v>
      </c>
      <c r="J146" s="198" t="s">
        <v>287</v>
      </c>
      <c r="K146" s="118" t="s">
        <v>281</v>
      </c>
      <c r="L146" s="97">
        <v>43800</v>
      </c>
      <c r="M146" s="204"/>
      <c r="N146" s="204" t="s">
        <v>72</v>
      </c>
      <c r="O146" s="118">
        <v>1.41</v>
      </c>
      <c r="P146" s="119"/>
      <c r="Q146" s="99"/>
      <c r="R146" s="314">
        <f t="shared" si="24"/>
        <v>7487100</v>
      </c>
      <c r="S146" s="314">
        <f t="shared" si="19"/>
        <v>0</v>
      </c>
      <c r="T146" s="314">
        <f t="shared" si="18"/>
        <v>0</v>
      </c>
      <c r="U146" s="314">
        <f t="shared" si="23"/>
        <v>7487100</v>
      </c>
      <c r="V146" s="314">
        <f>+VLOOKUP(A146,[2]Sheet1!$B$11:$J$400,9,0)</f>
        <v>6598800</v>
      </c>
      <c r="W146" s="315" t="s">
        <v>2699</v>
      </c>
      <c r="X146" s="99"/>
      <c r="Y146" s="99" t="str">
        <f>+VLOOKUP(A146,[3]Sheet1!$B$11:$I$388,8,0)</f>
        <v>75 - 013</v>
      </c>
      <c r="Z146" s="99" t="s">
        <v>1787</v>
      </c>
      <c r="AA146" s="201" t="s">
        <v>3084</v>
      </c>
      <c r="AB146" s="100" t="s">
        <v>2004</v>
      </c>
      <c r="AC146" s="99">
        <f>+VALUE(AB146:AB520)</f>
        <v>272152251</v>
      </c>
      <c r="AD146" s="205" t="s">
        <v>2005</v>
      </c>
      <c r="AE146" s="99" t="s">
        <v>2427</v>
      </c>
      <c r="AF146" s="99" t="s">
        <v>1124</v>
      </c>
      <c r="AG146" s="316" t="s">
        <v>2013</v>
      </c>
      <c r="AH146" s="251"/>
      <c r="AI146" s="251"/>
      <c r="AJ146" s="251" t="s">
        <v>3623</v>
      </c>
      <c r="AK146" s="251"/>
      <c r="AL146" s="251"/>
      <c r="AM146" s="251"/>
      <c r="AN146" s="251"/>
      <c r="AO146" s="251"/>
      <c r="AP146" s="247">
        <v>43800</v>
      </c>
      <c r="AQ146" s="251"/>
      <c r="AR146" s="247">
        <v>44531</v>
      </c>
      <c r="AS146" s="321" t="s">
        <v>2409</v>
      </c>
      <c r="AT146" s="251" t="s">
        <v>3489</v>
      </c>
      <c r="AU146" s="379"/>
      <c r="AV146" s="380"/>
    </row>
    <row r="147" spans="1:48" x14ac:dyDescent="0.25">
      <c r="A147" s="355" t="s">
        <v>3198</v>
      </c>
      <c r="B147" s="399" t="s">
        <v>3542</v>
      </c>
      <c r="C147" s="100" t="s">
        <v>3199</v>
      </c>
      <c r="D147" s="97">
        <v>37570</v>
      </c>
      <c r="E147" s="97">
        <f t="shared" si="25"/>
        <v>58389</v>
      </c>
      <c r="F147" s="97">
        <f t="shared" si="15"/>
        <v>58410</v>
      </c>
      <c r="G147" s="97">
        <v>54090</v>
      </c>
      <c r="H147" s="97">
        <v>45444</v>
      </c>
      <c r="I147" s="206" t="s">
        <v>719</v>
      </c>
      <c r="J147" s="198" t="s">
        <v>287</v>
      </c>
      <c r="K147" s="118" t="s">
        <v>281</v>
      </c>
      <c r="L147" s="97">
        <v>45444</v>
      </c>
      <c r="M147" s="204"/>
      <c r="N147" s="204" t="s">
        <v>72</v>
      </c>
      <c r="O147" s="118">
        <v>1.41</v>
      </c>
      <c r="P147" s="119"/>
      <c r="Q147" s="99"/>
      <c r="R147" s="314">
        <f t="shared" si="24"/>
        <v>7487100</v>
      </c>
      <c r="S147" s="314">
        <f t="shared" si="19"/>
        <v>0</v>
      </c>
      <c r="T147" s="314">
        <f t="shared" si="18"/>
        <v>0</v>
      </c>
      <c r="U147" s="314">
        <f t="shared" si="23"/>
        <v>7487100</v>
      </c>
      <c r="V147" s="314" t="e">
        <f>+VLOOKUP(A147,[2]Sheet1!$B$11:$J$400,9,0)</f>
        <v>#N/A</v>
      </c>
      <c r="W147" s="315" t="s">
        <v>3211</v>
      </c>
      <c r="X147" s="99"/>
      <c r="Y147" s="99"/>
      <c r="Z147" s="99" t="s">
        <v>1787</v>
      </c>
      <c r="AA147" s="201" t="s">
        <v>3200</v>
      </c>
      <c r="AB147" s="100"/>
      <c r="AC147" s="99"/>
      <c r="AD147" s="205" t="s">
        <v>3201</v>
      </c>
      <c r="AE147" s="99" t="s">
        <v>2427</v>
      </c>
      <c r="AF147" s="99" t="s">
        <v>3202</v>
      </c>
      <c r="AG147" s="316" t="s">
        <v>3203</v>
      </c>
      <c r="AH147" s="251"/>
      <c r="AI147" s="251"/>
      <c r="AJ147" s="251" t="s">
        <v>3624</v>
      </c>
      <c r="AK147" s="251"/>
      <c r="AL147" s="251"/>
      <c r="AM147" s="247">
        <v>45444</v>
      </c>
      <c r="AN147" s="251"/>
      <c r="AO147" s="247">
        <v>45474</v>
      </c>
      <c r="AP147" s="247"/>
      <c r="AQ147" s="251"/>
      <c r="AR147" s="247"/>
      <c r="AS147" s="321" t="s">
        <v>3209</v>
      </c>
      <c r="AT147" s="251" t="s">
        <v>3489</v>
      </c>
      <c r="AU147" s="379"/>
      <c r="AV147" s="380"/>
    </row>
    <row r="148" spans="1:48" x14ac:dyDescent="0.25">
      <c r="A148" s="355" t="s">
        <v>149</v>
      </c>
      <c r="B148" s="399" t="s">
        <v>3542</v>
      </c>
      <c r="C148" s="100" t="s">
        <v>364</v>
      </c>
      <c r="D148" s="97">
        <v>26092</v>
      </c>
      <c r="E148" s="97">
        <f t="shared" si="25"/>
        <v>46912</v>
      </c>
      <c r="F148" s="97">
        <f t="shared" si="15"/>
        <v>46935</v>
      </c>
      <c r="G148" s="97">
        <v>46935</v>
      </c>
      <c r="H148" s="97">
        <v>34820</v>
      </c>
      <c r="I148" s="197" t="s">
        <v>720</v>
      </c>
      <c r="J148" s="198" t="s">
        <v>287</v>
      </c>
      <c r="K148" s="118" t="s">
        <v>284</v>
      </c>
      <c r="L148" s="97">
        <v>42979</v>
      </c>
      <c r="M148" s="204"/>
      <c r="N148" s="204" t="s">
        <v>74</v>
      </c>
      <c r="O148" s="118">
        <v>1.68</v>
      </c>
      <c r="P148" s="119">
        <v>0.06</v>
      </c>
      <c r="Q148" s="99"/>
      <c r="R148" s="314">
        <f t="shared" si="24"/>
        <v>8920800</v>
      </c>
      <c r="S148" s="314">
        <f t="shared" si="19"/>
        <v>297600</v>
      </c>
      <c r="T148" s="314">
        <f t="shared" si="18"/>
        <v>0</v>
      </c>
      <c r="U148" s="314">
        <f t="shared" si="23"/>
        <v>9218400</v>
      </c>
      <c r="V148" s="314">
        <f>+VLOOKUP(A148,[2]Sheet1!$B$11:$J$400,9,0)</f>
        <v>8143200</v>
      </c>
      <c r="W148" s="315" t="s">
        <v>1635</v>
      </c>
      <c r="X148" s="99" t="s">
        <v>1126</v>
      </c>
      <c r="Y148" s="99" t="str">
        <f>+VLOOKUP(A148,[3]Sheet1!$B$11:$I$388,8,0)</f>
        <v>75 - 281</v>
      </c>
      <c r="Z148" s="99" t="s">
        <v>1787</v>
      </c>
      <c r="AA148" s="99" t="s">
        <v>2828</v>
      </c>
      <c r="AB148" s="100">
        <v>272790024</v>
      </c>
      <c r="AC148" s="99">
        <f>+VALUE(AB148:AB521)</f>
        <v>272790024</v>
      </c>
      <c r="AD148" s="99" t="s">
        <v>923</v>
      </c>
      <c r="AE148" s="99" t="s">
        <v>2427</v>
      </c>
      <c r="AF148" s="99" t="s">
        <v>1127</v>
      </c>
      <c r="AG148" s="316" t="s">
        <v>1128</v>
      </c>
      <c r="AH148" s="251"/>
      <c r="AI148" s="251"/>
      <c r="AJ148" s="251"/>
      <c r="AK148" s="251"/>
      <c r="AL148" s="251" t="s">
        <v>3592</v>
      </c>
      <c r="AM148" s="251"/>
      <c r="AN148" s="251"/>
      <c r="AO148" s="251"/>
      <c r="AP148" s="251"/>
      <c r="AQ148" s="251"/>
      <c r="AR148" s="251"/>
      <c r="AS148" s="251" t="s">
        <v>2234</v>
      </c>
      <c r="AT148" s="251" t="s">
        <v>3489</v>
      </c>
      <c r="AU148" s="379"/>
      <c r="AV148" s="380"/>
    </row>
    <row r="149" spans="1:48" x14ac:dyDescent="0.25">
      <c r="A149" s="355" t="s">
        <v>150</v>
      </c>
      <c r="B149" s="399" t="s">
        <v>3542</v>
      </c>
      <c r="C149" s="100" t="s">
        <v>365</v>
      </c>
      <c r="D149" s="97">
        <v>31248</v>
      </c>
      <c r="E149" s="97">
        <f t="shared" si="25"/>
        <v>52067</v>
      </c>
      <c r="F149" s="97">
        <f t="shared" si="15"/>
        <v>52079</v>
      </c>
      <c r="G149" s="97">
        <v>52079</v>
      </c>
      <c r="H149" s="97">
        <v>41671</v>
      </c>
      <c r="I149" s="197" t="s">
        <v>720</v>
      </c>
      <c r="J149" s="207" t="s">
        <v>287</v>
      </c>
      <c r="K149" s="118" t="s">
        <v>281</v>
      </c>
      <c r="L149" s="97">
        <v>42370</v>
      </c>
      <c r="M149" s="204"/>
      <c r="N149" s="331" t="s">
        <v>71</v>
      </c>
      <c r="O149" s="118">
        <v>1.49</v>
      </c>
      <c r="P149" s="119"/>
      <c r="Q149" s="99"/>
      <c r="R149" s="314">
        <f t="shared" si="24"/>
        <v>7911900</v>
      </c>
      <c r="S149" s="314">
        <f t="shared" si="19"/>
        <v>0</v>
      </c>
      <c r="T149" s="314">
        <f t="shared" si="18"/>
        <v>0</v>
      </c>
      <c r="U149" s="314">
        <f t="shared" si="23"/>
        <v>7911900</v>
      </c>
      <c r="V149" s="314">
        <f>+VLOOKUP(A149,[2]Sheet1!$B$11:$J$400,9,0)</f>
        <v>6973200</v>
      </c>
      <c r="W149" s="315" t="s">
        <v>1636</v>
      </c>
      <c r="X149" s="99" t="s">
        <v>1122</v>
      </c>
      <c r="Y149" s="99" t="str">
        <f>+VLOOKUP(A149,[3]Sheet1!$B$11:$I$388,8,0)</f>
        <v>75 - 281</v>
      </c>
      <c r="Z149" s="99" t="s">
        <v>1787</v>
      </c>
      <c r="AA149" s="99" t="s">
        <v>2829</v>
      </c>
      <c r="AB149" s="100">
        <v>271717015</v>
      </c>
      <c r="AC149" s="99">
        <f>+VALUE(AB149:AB524)</f>
        <v>271717015</v>
      </c>
      <c r="AD149" s="99" t="s">
        <v>1129</v>
      </c>
      <c r="AE149" s="99" t="s">
        <v>2427</v>
      </c>
      <c r="AF149" s="99" t="s">
        <v>1130</v>
      </c>
      <c r="AG149" s="316" t="s">
        <v>1840</v>
      </c>
      <c r="AH149" s="251"/>
      <c r="AI149" s="251"/>
      <c r="AJ149" s="251" t="s">
        <v>3625</v>
      </c>
      <c r="AK149" s="251"/>
      <c r="AL149" s="251"/>
      <c r="AM149" s="251"/>
      <c r="AN149" s="251"/>
      <c r="AO149" s="251"/>
      <c r="AP149" s="251"/>
      <c r="AQ149" s="251"/>
      <c r="AR149" s="251"/>
      <c r="AS149" s="251" t="s">
        <v>2235</v>
      </c>
      <c r="AT149" s="251" t="s">
        <v>3489</v>
      </c>
      <c r="AU149" s="379"/>
      <c r="AV149" s="380"/>
    </row>
    <row r="150" spans="1:48" x14ac:dyDescent="0.25">
      <c r="A150" s="355" t="s">
        <v>147</v>
      </c>
      <c r="B150" s="399" t="s">
        <v>3542</v>
      </c>
      <c r="C150" s="100" t="s">
        <v>600</v>
      </c>
      <c r="D150" s="97">
        <v>35410</v>
      </c>
      <c r="E150" s="97">
        <f t="shared" si="25"/>
        <v>56229</v>
      </c>
      <c r="F150" s="97">
        <f t="shared" ref="F150:F156" si="26">+EOMONTH(E150,0)+1</f>
        <v>56250</v>
      </c>
      <c r="G150" s="97">
        <v>56250</v>
      </c>
      <c r="H150" s="97">
        <v>43191</v>
      </c>
      <c r="I150" s="197" t="s">
        <v>720</v>
      </c>
      <c r="J150" s="198" t="s">
        <v>287</v>
      </c>
      <c r="K150" s="118" t="s">
        <v>281</v>
      </c>
      <c r="L150" s="97">
        <v>43160</v>
      </c>
      <c r="M150" s="204"/>
      <c r="N150" s="331" t="s">
        <v>71</v>
      </c>
      <c r="O150" s="118">
        <v>1.49</v>
      </c>
      <c r="P150" s="119"/>
      <c r="Q150" s="99"/>
      <c r="R150" s="314">
        <f t="shared" si="24"/>
        <v>7911900</v>
      </c>
      <c r="S150" s="314">
        <f t="shared" si="19"/>
        <v>0</v>
      </c>
      <c r="T150" s="314">
        <f t="shared" si="18"/>
        <v>0</v>
      </c>
      <c r="U150" s="314">
        <f t="shared" si="23"/>
        <v>7911900</v>
      </c>
      <c r="V150" s="314">
        <f>+VLOOKUP(A150,[2]Sheet1!$B$11:$J$400,9,0)</f>
        <v>6973200</v>
      </c>
      <c r="W150" s="315" t="s">
        <v>1633</v>
      </c>
      <c r="X150" s="99" t="s">
        <v>605</v>
      </c>
      <c r="Y150" s="99" t="str">
        <f>+VLOOKUP(A150,[3]Sheet1!$B$11:$I$388,8,0)</f>
        <v>75 - 013</v>
      </c>
      <c r="Z150" s="99" t="s">
        <v>1787</v>
      </c>
      <c r="AA150" s="99" t="s">
        <v>2830</v>
      </c>
      <c r="AB150" s="100" t="s">
        <v>602</v>
      </c>
      <c r="AC150" s="99">
        <f>+VALUE(AB150:AB525)</f>
        <v>272558065</v>
      </c>
      <c r="AD150" s="205" t="s">
        <v>1969</v>
      </c>
      <c r="AE150" s="99" t="s">
        <v>2427</v>
      </c>
      <c r="AF150" s="99" t="s">
        <v>601</v>
      </c>
      <c r="AG150" s="316" t="e">
        <v>#N/A</v>
      </c>
      <c r="AH150" s="251"/>
      <c r="AI150" s="251"/>
      <c r="AJ150" s="251" t="s">
        <v>3605</v>
      </c>
      <c r="AK150" s="251"/>
      <c r="AL150" s="251"/>
      <c r="AM150" s="251"/>
      <c r="AN150" s="251"/>
      <c r="AO150" s="251"/>
      <c r="AP150" s="251"/>
      <c r="AQ150" s="251"/>
      <c r="AR150" s="251"/>
      <c r="AS150" s="251" t="s">
        <v>2236</v>
      </c>
      <c r="AT150" s="251" t="s">
        <v>3489</v>
      </c>
      <c r="AU150" s="379"/>
      <c r="AV150" s="380"/>
    </row>
    <row r="151" spans="1:48" x14ac:dyDescent="0.25">
      <c r="A151" s="355" t="s">
        <v>586</v>
      </c>
      <c r="B151" s="399" t="s">
        <v>3542</v>
      </c>
      <c r="C151" s="100" t="s">
        <v>594</v>
      </c>
      <c r="D151" s="97">
        <v>33963</v>
      </c>
      <c r="E151" s="97">
        <f t="shared" si="25"/>
        <v>54782</v>
      </c>
      <c r="F151" s="97">
        <f t="shared" si="26"/>
        <v>54789</v>
      </c>
      <c r="G151" s="97">
        <v>54789</v>
      </c>
      <c r="H151" s="97">
        <v>43221</v>
      </c>
      <c r="I151" s="197" t="s">
        <v>720</v>
      </c>
      <c r="J151" s="198" t="s">
        <v>287</v>
      </c>
      <c r="K151" s="118" t="s">
        <v>285</v>
      </c>
      <c r="L151" s="97">
        <v>43221</v>
      </c>
      <c r="M151" s="204"/>
      <c r="N151" s="331" t="s">
        <v>71</v>
      </c>
      <c r="O151" s="118">
        <v>1.49</v>
      </c>
      <c r="P151" s="119">
        <v>0.04</v>
      </c>
      <c r="Q151" s="99"/>
      <c r="R151" s="314">
        <f t="shared" si="24"/>
        <v>7911900</v>
      </c>
      <c r="S151" s="314">
        <f t="shared" si="19"/>
        <v>198400</v>
      </c>
      <c r="T151" s="314">
        <f t="shared" si="18"/>
        <v>0</v>
      </c>
      <c r="U151" s="314">
        <f t="shared" si="23"/>
        <v>8110300</v>
      </c>
      <c r="V151" s="314">
        <f>+VLOOKUP(A151,[2]Sheet1!$B$11:$J$400,9,0)</f>
        <v>7160400</v>
      </c>
      <c r="W151" s="315" t="s">
        <v>1782</v>
      </c>
      <c r="X151" s="99" t="s">
        <v>595</v>
      </c>
      <c r="Y151" s="99" t="str">
        <f>+VLOOKUP(A151,[3]Sheet1!$B$11:$I$388,8,0)</f>
        <v>75 - 281</v>
      </c>
      <c r="Z151" s="99" t="s">
        <v>1787</v>
      </c>
      <c r="AA151" s="99" t="s">
        <v>2831</v>
      </c>
      <c r="AB151" s="100" t="s">
        <v>596</v>
      </c>
      <c r="AC151" s="99">
        <f>+VALUE(AB151:AB526)</f>
        <v>272152207</v>
      </c>
      <c r="AD151" s="205" t="s">
        <v>2056</v>
      </c>
      <c r="AE151" s="99" t="s">
        <v>2427</v>
      </c>
      <c r="AF151" s="99" t="s">
        <v>597</v>
      </c>
      <c r="AG151" s="316"/>
      <c r="AH151" s="251"/>
      <c r="AI151" s="251"/>
      <c r="AJ151" s="251" t="s">
        <v>3626</v>
      </c>
      <c r="AK151" s="251"/>
      <c r="AL151" s="251"/>
      <c r="AM151" s="251"/>
      <c r="AN151" s="251"/>
      <c r="AO151" s="251"/>
      <c r="AP151" s="251"/>
      <c r="AQ151" s="251"/>
      <c r="AR151" s="251"/>
      <c r="AS151" s="251" t="s">
        <v>2237</v>
      </c>
      <c r="AT151" s="251" t="s">
        <v>3489</v>
      </c>
      <c r="AU151" s="379"/>
      <c r="AV151" s="380"/>
    </row>
    <row r="152" spans="1:48" x14ac:dyDescent="0.25">
      <c r="A152" s="354" t="s">
        <v>137</v>
      </c>
      <c r="B152" s="399" t="s">
        <v>3542</v>
      </c>
      <c r="C152" s="100" t="s">
        <v>350</v>
      </c>
      <c r="D152" s="97">
        <v>30947</v>
      </c>
      <c r="E152" s="97">
        <f t="shared" si="25"/>
        <v>51766</v>
      </c>
      <c r="F152" s="97">
        <f t="shared" si="26"/>
        <v>51775</v>
      </c>
      <c r="G152" s="97">
        <v>51775</v>
      </c>
      <c r="H152" s="97">
        <v>39479</v>
      </c>
      <c r="I152" s="197" t="s">
        <v>720</v>
      </c>
      <c r="J152" s="198" t="s">
        <v>287</v>
      </c>
      <c r="K152" s="118" t="s">
        <v>281</v>
      </c>
      <c r="L152" s="97">
        <v>41640</v>
      </c>
      <c r="M152" s="117"/>
      <c r="N152" s="117" t="s">
        <v>71</v>
      </c>
      <c r="O152" s="118">
        <v>1.49</v>
      </c>
      <c r="P152" s="119"/>
      <c r="Q152" s="99"/>
      <c r="R152" s="314">
        <f t="shared" si="24"/>
        <v>7911900</v>
      </c>
      <c r="S152" s="314">
        <f t="shared" si="19"/>
        <v>0</v>
      </c>
      <c r="T152" s="314">
        <f t="shared" si="18"/>
        <v>0</v>
      </c>
      <c r="U152" s="314">
        <f t="shared" si="23"/>
        <v>7911900</v>
      </c>
      <c r="V152" s="314">
        <f>+VLOOKUP(A152,[2]Sheet1!$B$11:$J$400,9,0)</f>
        <v>6973200</v>
      </c>
      <c r="W152" s="315" t="s">
        <v>1620</v>
      </c>
      <c r="X152" s="99" t="s">
        <v>1083</v>
      </c>
      <c r="Y152" s="99" t="str">
        <f>+VLOOKUP(A152,[3]Sheet1!$B$11:$I$388,8,0)</f>
        <v>75 - 281</v>
      </c>
      <c r="Z152" s="99" t="s">
        <v>1787</v>
      </c>
      <c r="AA152" s="99" t="s">
        <v>2832</v>
      </c>
      <c r="AB152" s="100">
        <v>271600964</v>
      </c>
      <c r="AC152" s="99">
        <f>+VALUE(AB128:AB503)</f>
        <v>271600964</v>
      </c>
      <c r="AD152" s="99" t="s">
        <v>1084</v>
      </c>
      <c r="AE152" s="99" t="s">
        <v>2427</v>
      </c>
      <c r="AF152" s="99" t="s">
        <v>1085</v>
      </c>
      <c r="AG152" s="316" t="s">
        <v>750</v>
      </c>
      <c r="AH152" s="251"/>
      <c r="AI152" s="251"/>
      <c r="AJ152" s="251"/>
      <c r="AK152" s="251" t="s">
        <v>3585</v>
      </c>
      <c r="AL152" s="251"/>
      <c r="AM152" s="251"/>
      <c r="AN152" s="251"/>
      <c r="AO152" s="251"/>
      <c r="AP152" s="251"/>
      <c r="AQ152" s="251"/>
      <c r="AR152" s="251"/>
      <c r="AS152" s="321" t="s">
        <v>2220</v>
      </c>
      <c r="AT152" s="251" t="s">
        <v>3489</v>
      </c>
      <c r="AU152" s="379"/>
      <c r="AV152" s="380"/>
    </row>
    <row r="153" spans="1:48" x14ac:dyDescent="0.25">
      <c r="A153" s="355" t="s">
        <v>2647</v>
      </c>
      <c r="B153" s="399" t="s">
        <v>3542</v>
      </c>
      <c r="C153" s="100" t="s">
        <v>2648</v>
      </c>
      <c r="D153" s="97">
        <v>37559</v>
      </c>
      <c r="E153" s="97">
        <f t="shared" si="25"/>
        <v>58378</v>
      </c>
      <c r="F153" s="97">
        <f t="shared" si="26"/>
        <v>58380</v>
      </c>
      <c r="G153" s="97">
        <v>58380</v>
      </c>
      <c r="H153" s="97">
        <v>44896</v>
      </c>
      <c r="I153" s="197" t="s">
        <v>720</v>
      </c>
      <c r="J153" s="198" t="s">
        <v>287</v>
      </c>
      <c r="K153" s="118" t="s">
        <v>281</v>
      </c>
      <c r="L153" s="97">
        <v>44896</v>
      </c>
      <c r="M153" s="204"/>
      <c r="N153" s="204" t="s">
        <v>72</v>
      </c>
      <c r="O153" s="118">
        <v>1.41</v>
      </c>
      <c r="P153" s="119"/>
      <c r="Q153" s="99"/>
      <c r="R153" s="314">
        <f t="shared" si="24"/>
        <v>7487100</v>
      </c>
      <c r="S153" s="314">
        <f t="shared" si="19"/>
        <v>0</v>
      </c>
      <c r="T153" s="314">
        <f t="shared" si="18"/>
        <v>0</v>
      </c>
      <c r="U153" s="314">
        <f t="shared" si="23"/>
        <v>7487100</v>
      </c>
      <c r="V153" s="314">
        <f>+VLOOKUP(A153,[2]Sheet1!$B$11:$J$400,9,0)</f>
        <v>6598800</v>
      </c>
      <c r="W153" s="315" t="s">
        <v>2700</v>
      </c>
      <c r="X153" s="99"/>
      <c r="Y153" s="99" t="str">
        <f>+VLOOKUP(A153,[3]Sheet1!$B$11:$I$388,8,0)</f>
        <v>75 - 013</v>
      </c>
      <c r="Z153" s="99" t="s">
        <v>1787</v>
      </c>
      <c r="AA153" s="99" t="s">
        <v>2649</v>
      </c>
      <c r="AB153" s="100" t="s">
        <v>2649</v>
      </c>
      <c r="AC153" s="99">
        <f>+VALUE(AB153:AB530)</f>
        <v>42202007388</v>
      </c>
      <c r="AD153" s="205" t="s">
        <v>2650</v>
      </c>
      <c r="AE153" s="99" t="s">
        <v>2427</v>
      </c>
      <c r="AF153" s="99" t="s">
        <v>2651</v>
      </c>
      <c r="AG153" s="316" t="s">
        <v>2652</v>
      </c>
      <c r="AH153" s="251"/>
      <c r="AI153" s="251"/>
      <c r="AJ153" s="251"/>
      <c r="AK153" s="251"/>
      <c r="AL153" s="251" t="s">
        <v>3603</v>
      </c>
      <c r="AM153" s="247">
        <v>44896</v>
      </c>
      <c r="AN153" s="251"/>
      <c r="AO153" s="251"/>
      <c r="AP153" s="247">
        <v>44927</v>
      </c>
      <c r="AQ153" s="251"/>
      <c r="AR153" s="247">
        <v>45658</v>
      </c>
      <c r="AS153" s="321" t="s">
        <v>2653</v>
      </c>
      <c r="AT153" s="251" t="s">
        <v>3489</v>
      </c>
      <c r="AU153" s="379"/>
      <c r="AV153" s="380"/>
    </row>
    <row r="154" spans="1:48" ht="24" x14ac:dyDescent="0.25">
      <c r="A154" s="355" t="s">
        <v>2682</v>
      </c>
      <c r="B154" s="399" t="s">
        <v>3542</v>
      </c>
      <c r="C154" s="100" t="s">
        <v>2683</v>
      </c>
      <c r="D154" s="97">
        <v>33098</v>
      </c>
      <c r="E154" s="97">
        <f t="shared" si="25"/>
        <v>53917</v>
      </c>
      <c r="F154" s="97">
        <f t="shared" si="26"/>
        <v>53936</v>
      </c>
      <c r="G154" s="97">
        <v>53936</v>
      </c>
      <c r="H154" s="97">
        <v>44896</v>
      </c>
      <c r="I154" s="197" t="s">
        <v>720</v>
      </c>
      <c r="J154" s="198" t="s">
        <v>287</v>
      </c>
      <c r="K154" s="118" t="s">
        <v>281</v>
      </c>
      <c r="L154" s="97">
        <v>44896</v>
      </c>
      <c r="M154" s="204"/>
      <c r="N154" s="204" t="s">
        <v>72</v>
      </c>
      <c r="O154" s="118">
        <v>1.41</v>
      </c>
      <c r="P154" s="119"/>
      <c r="Q154" s="99"/>
      <c r="R154" s="314">
        <f t="shared" si="24"/>
        <v>7487100</v>
      </c>
      <c r="S154" s="314">
        <f t="shared" si="19"/>
        <v>0</v>
      </c>
      <c r="T154" s="314">
        <f t="shared" si="18"/>
        <v>0</v>
      </c>
      <c r="U154" s="314">
        <f t="shared" si="23"/>
        <v>7487100</v>
      </c>
      <c r="V154" s="314">
        <f>+VLOOKUP(A154,[2]Sheet1!$B$11:$J$400,9,0)</f>
        <v>6598800</v>
      </c>
      <c r="W154" s="315" t="s">
        <v>2701</v>
      </c>
      <c r="X154" s="99"/>
      <c r="Y154" s="99" t="str">
        <f>+VLOOKUP(A154,[3]Sheet1!$B$11:$I$388,8,0)</f>
        <v>75 - 281</v>
      </c>
      <c r="Z154" s="99" t="s">
        <v>1787</v>
      </c>
      <c r="AA154" s="99" t="s">
        <v>2833</v>
      </c>
      <c r="AB154" s="100" t="s">
        <v>2684</v>
      </c>
      <c r="AC154" s="99">
        <f>+VALUE(AB154:AB531)</f>
        <v>312163809</v>
      </c>
      <c r="AD154" s="205" t="s">
        <v>3075</v>
      </c>
      <c r="AE154" s="99" t="s">
        <v>2427</v>
      </c>
      <c r="AF154" s="99" t="s">
        <v>2685</v>
      </c>
      <c r="AG154" s="316" t="s">
        <v>2686</v>
      </c>
      <c r="AH154" s="251"/>
      <c r="AI154" s="251"/>
      <c r="AJ154" s="251"/>
      <c r="AK154" s="251"/>
      <c r="AL154" s="318" t="s">
        <v>3627</v>
      </c>
      <c r="AM154" s="247">
        <v>44927</v>
      </c>
      <c r="AN154" s="251"/>
      <c r="AO154" s="251"/>
      <c r="AP154" s="247">
        <v>44958</v>
      </c>
      <c r="AQ154" s="251"/>
      <c r="AR154" s="247">
        <v>45689</v>
      </c>
      <c r="AS154" s="321" t="s">
        <v>2687</v>
      </c>
      <c r="AT154" s="251" t="s">
        <v>3489</v>
      </c>
      <c r="AU154" s="379"/>
      <c r="AV154" s="380"/>
    </row>
    <row r="155" spans="1:48" x14ac:dyDescent="0.25">
      <c r="A155" s="357" t="s">
        <v>211</v>
      </c>
      <c r="B155" s="399" t="s">
        <v>3542</v>
      </c>
      <c r="C155" s="100" t="s">
        <v>418</v>
      </c>
      <c r="D155" s="97">
        <v>26602</v>
      </c>
      <c r="E155" s="97">
        <f t="shared" si="25"/>
        <v>47421</v>
      </c>
      <c r="F155" s="97">
        <f t="shared" si="26"/>
        <v>47423</v>
      </c>
      <c r="G155" s="97">
        <v>47423</v>
      </c>
      <c r="H155" s="97">
        <v>35370</v>
      </c>
      <c r="I155" s="197" t="s">
        <v>720</v>
      </c>
      <c r="J155" s="207" t="s">
        <v>287</v>
      </c>
      <c r="K155" s="118" t="s">
        <v>281</v>
      </c>
      <c r="L155" s="97">
        <v>42979</v>
      </c>
      <c r="M155" s="204"/>
      <c r="N155" s="329" t="s">
        <v>74</v>
      </c>
      <c r="O155" s="118">
        <v>1.68</v>
      </c>
      <c r="P155" s="119"/>
      <c r="Q155" s="99"/>
      <c r="R155" s="314">
        <f t="shared" si="24"/>
        <v>8920800</v>
      </c>
      <c r="S155" s="314">
        <f t="shared" si="19"/>
        <v>0</v>
      </c>
      <c r="T155" s="314">
        <f t="shared" si="18"/>
        <v>0</v>
      </c>
      <c r="U155" s="314">
        <f t="shared" si="23"/>
        <v>8920800</v>
      </c>
      <c r="V155" s="314">
        <f>+VLOOKUP(A155,[2]Sheet1!$B$11:$J$400,9,0)</f>
        <v>7862400</v>
      </c>
      <c r="W155" s="315" t="s">
        <v>1693</v>
      </c>
      <c r="X155" s="99" t="s">
        <v>1257</v>
      </c>
      <c r="Y155" s="99" t="str">
        <f>+VLOOKUP(A155,[3]Sheet1!$B$11:$I$388,8,0)</f>
        <v>75 - 281</v>
      </c>
      <c r="Z155" s="99" t="s">
        <v>1787</v>
      </c>
      <c r="AA155" s="201" t="s">
        <v>2888</v>
      </c>
      <c r="AB155" s="100" t="s">
        <v>2476</v>
      </c>
      <c r="AC155" s="99">
        <f>+VALUE(AB155:AB600)</f>
        <v>260757960</v>
      </c>
      <c r="AD155" s="99" t="s">
        <v>1259</v>
      </c>
      <c r="AE155" s="99" t="s">
        <v>2427</v>
      </c>
      <c r="AF155" s="99" t="s">
        <v>1188</v>
      </c>
      <c r="AG155" s="316" t="s">
        <v>1260</v>
      </c>
      <c r="AH155" s="251"/>
      <c r="AI155" s="251"/>
      <c r="AJ155" s="251"/>
      <c r="AK155" s="251"/>
      <c r="AL155" s="251" t="s">
        <v>3613</v>
      </c>
      <c r="AM155" s="251"/>
      <c r="AN155" s="251"/>
      <c r="AO155" s="251"/>
      <c r="AP155" s="251"/>
      <c r="AQ155" s="251"/>
      <c r="AR155" s="251"/>
      <c r="AS155" s="251" t="s">
        <v>2297</v>
      </c>
      <c r="AT155" s="251" t="s">
        <v>3489</v>
      </c>
      <c r="AU155" s="379"/>
      <c r="AV155" s="380"/>
    </row>
    <row r="156" spans="1:48" x14ac:dyDescent="0.25">
      <c r="A156" s="357" t="s">
        <v>141</v>
      </c>
      <c r="B156" s="399" t="s">
        <v>3542</v>
      </c>
      <c r="C156" s="100" t="s">
        <v>354</v>
      </c>
      <c r="D156" s="97">
        <v>25805</v>
      </c>
      <c r="E156" s="97">
        <v>46532</v>
      </c>
      <c r="F156" s="97">
        <f t="shared" si="26"/>
        <v>46539</v>
      </c>
      <c r="G156" s="97">
        <v>46539</v>
      </c>
      <c r="H156" s="97">
        <v>34973</v>
      </c>
      <c r="I156" s="197" t="s">
        <v>720</v>
      </c>
      <c r="J156" s="198" t="s">
        <v>287</v>
      </c>
      <c r="K156" s="118" t="s">
        <v>281</v>
      </c>
      <c r="L156" s="97">
        <v>41091</v>
      </c>
      <c r="M156" s="204"/>
      <c r="N156" s="204" t="s">
        <v>71</v>
      </c>
      <c r="O156" s="118">
        <v>1.49</v>
      </c>
      <c r="P156" s="119"/>
      <c r="Q156" s="99"/>
      <c r="R156" s="314">
        <f t="shared" si="24"/>
        <v>7911900</v>
      </c>
      <c r="S156" s="314">
        <f t="shared" si="19"/>
        <v>0</v>
      </c>
      <c r="T156" s="314">
        <f t="shared" si="18"/>
        <v>0</v>
      </c>
      <c r="U156" s="314">
        <f t="shared" si="23"/>
        <v>7911900</v>
      </c>
      <c r="V156" s="314">
        <f>+VLOOKUP(A156,[2]Sheet1!$B$11:$J$400,9,0)</f>
        <v>6973200</v>
      </c>
      <c r="W156" s="315" t="s">
        <v>1624</v>
      </c>
      <c r="X156" s="99" t="s">
        <v>1096</v>
      </c>
      <c r="Y156" s="99" t="str">
        <f>+VLOOKUP(A156,[3]Sheet1!$B$11:$I$388,8,0)</f>
        <v>75 - 026</v>
      </c>
      <c r="Z156" s="99" t="s">
        <v>1787</v>
      </c>
      <c r="AA156" s="99" t="s">
        <v>2815</v>
      </c>
      <c r="AB156" s="100">
        <v>271718115</v>
      </c>
      <c r="AC156" s="99">
        <f>+VALUE(AB130:AB506)</f>
        <v>271718115</v>
      </c>
      <c r="AD156" s="99" t="s">
        <v>1097</v>
      </c>
      <c r="AE156" s="99" t="s">
        <v>2427</v>
      </c>
      <c r="AF156" s="99" t="s">
        <v>1098</v>
      </c>
      <c r="AG156" s="316" t="s">
        <v>1099</v>
      </c>
      <c r="AH156" s="251"/>
      <c r="AI156" s="251"/>
      <c r="AJ156" s="251"/>
      <c r="AK156" s="251" t="s">
        <v>3585</v>
      </c>
      <c r="AL156" s="251"/>
      <c r="AM156" s="251"/>
      <c r="AN156" s="251"/>
      <c r="AO156" s="251"/>
      <c r="AP156" s="251"/>
      <c r="AQ156" s="251"/>
      <c r="AR156" s="251"/>
      <c r="AS156" s="251" t="s">
        <v>2223</v>
      </c>
      <c r="AT156" s="251" t="s">
        <v>3489</v>
      </c>
      <c r="AU156" s="379"/>
      <c r="AV156" s="380"/>
    </row>
    <row r="157" spans="1:48" x14ac:dyDescent="0.25">
      <c r="A157" s="357" t="s">
        <v>3267</v>
      </c>
      <c r="B157" s="399" t="s">
        <v>3542</v>
      </c>
      <c r="C157" s="100" t="s">
        <v>3268</v>
      </c>
      <c r="D157" s="97">
        <v>37617</v>
      </c>
      <c r="E157" s="97">
        <f>+DATE(YEAR(D157)+57,MONTH(D157),DAY(D157))</f>
        <v>58436</v>
      </c>
      <c r="F157" s="97">
        <v>58436</v>
      </c>
      <c r="G157" s="97">
        <v>58436</v>
      </c>
      <c r="H157" s="97">
        <v>45597</v>
      </c>
      <c r="I157" s="197" t="s">
        <v>720</v>
      </c>
      <c r="J157" s="207" t="s">
        <v>287</v>
      </c>
      <c r="K157" s="118" t="s">
        <v>281</v>
      </c>
      <c r="L157" s="97">
        <v>45597</v>
      </c>
      <c r="M157" s="204"/>
      <c r="N157" s="204" t="s">
        <v>72</v>
      </c>
      <c r="O157" s="118">
        <v>1.41</v>
      </c>
      <c r="P157" s="119"/>
      <c r="Q157" s="99"/>
      <c r="R157" s="314">
        <f t="shared" si="24"/>
        <v>7487100</v>
      </c>
      <c r="S157" s="314">
        <f t="shared" si="19"/>
        <v>0</v>
      </c>
      <c r="T157" s="314">
        <f t="shared" si="18"/>
        <v>0</v>
      </c>
      <c r="U157" s="314">
        <f t="shared" si="23"/>
        <v>7487100</v>
      </c>
      <c r="V157" s="314"/>
      <c r="W157" s="319">
        <v>7523859437</v>
      </c>
      <c r="X157" s="99" t="s">
        <v>3271</v>
      </c>
      <c r="Y157" s="99"/>
      <c r="Z157" s="99" t="s">
        <v>1787</v>
      </c>
      <c r="AA157" s="223" t="s">
        <v>3275</v>
      </c>
      <c r="AB157" s="100"/>
      <c r="AC157" s="99"/>
      <c r="AD157" s="205"/>
      <c r="AE157" s="99" t="s">
        <v>2427</v>
      </c>
      <c r="AF157" s="99" t="s">
        <v>3269</v>
      </c>
      <c r="AG157" s="251"/>
      <c r="AH157" s="251"/>
      <c r="AI157" s="251" t="s">
        <v>3628</v>
      </c>
      <c r="AJ157" s="251"/>
      <c r="AK157" s="251"/>
      <c r="AL157" s="251"/>
      <c r="AM157" s="247"/>
      <c r="AN157" s="251"/>
      <c r="AO157" s="247">
        <v>45597</v>
      </c>
      <c r="AP157" s="251"/>
      <c r="AQ157" s="251"/>
      <c r="AR157" s="247"/>
      <c r="AS157" s="340" t="s">
        <v>3276</v>
      </c>
      <c r="AT157" s="251" t="s">
        <v>3489</v>
      </c>
      <c r="AU157" s="379"/>
      <c r="AV157" s="380"/>
    </row>
    <row r="158" spans="1:48" x14ac:dyDescent="0.25">
      <c r="A158" s="357" t="s">
        <v>3320</v>
      </c>
      <c r="B158" s="399" t="s">
        <v>3542</v>
      </c>
      <c r="C158" s="100" t="s">
        <v>3321</v>
      </c>
      <c r="D158" s="97">
        <v>32345</v>
      </c>
      <c r="E158" s="97">
        <f>+DATE(YEAR(D158)+57,MONTH(D158),DAY(D158))</f>
        <v>53164</v>
      </c>
      <c r="F158" s="97">
        <v>58437</v>
      </c>
      <c r="G158" s="97">
        <v>58437</v>
      </c>
      <c r="H158" s="97">
        <v>45689</v>
      </c>
      <c r="I158" s="197" t="s">
        <v>720</v>
      </c>
      <c r="J158" s="207" t="s">
        <v>287</v>
      </c>
      <c r="K158" s="118" t="s">
        <v>281</v>
      </c>
      <c r="L158" s="97">
        <v>45689</v>
      </c>
      <c r="M158" s="204"/>
      <c r="N158" s="204" t="s">
        <v>72</v>
      </c>
      <c r="O158" s="118">
        <v>1.41</v>
      </c>
      <c r="P158" s="119"/>
      <c r="Q158" s="99"/>
      <c r="R158" s="314">
        <f t="shared" si="24"/>
        <v>7487100</v>
      </c>
      <c r="S158" s="314">
        <f t="shared" si="19"/>
        <v>0</v>
      </c>
      <c r="T158" s="314">
        <f t="shared" si="18"/>
        <v>0</v>
      </c>
      <c r="U158" s="314">
        <f t="shared" si="23"/>
        <v>7487100</v>
      </c>
      <c r="V158" s="314"/>
      <c r="W158" s="319">
        <v>7524032353</v>
      </c>
      <c r="X158" s="99" t="s">
        <v>3332</v>
      </c>
      <c r="Y158" s="99"/>
      <c r="Z158" s="99" t="s">
        <v>1787</v>
      </c>
      <c r="AA158" s="223" t="s">
        <v>3322</v>
      </c>
      <c r="AB158" s="100"/>
      <c r="AC158" s="99"/>
      <c r="AD158" s="261">
        <v>44420</v>
      </c>
      <c r="AE158" s="99" t="s">
        <v>2427</v>
      </c>
      <c r="AF158" s="99" t="s">
        <v>3323</v>
      </c>
      <c r="AG158" s="251"/>
      <c r="AH158" s="251"/>
      <c r="AI158" s="251"/>
      <c r="AJ158" s="251"/>
      <c r="AK158" s="251" t="s">
        <v>3629</v>
      </c>
      <c r="AL158" s="251"/>
      <c r="AM158" s="247">
        <v>45658</v>
      </c>
      <c r="AN158" s="251"/>
      <c r="AO158" s="247">
        <v>45689</v>
      </c>
      <c r="AP158" s="251"/>
      <c r="AQ158" s="251"/>
      <c r="AR158" s="247"/>
      <c r="AS158" s="340"/>
      <c r="AT158" s="251" t="s">
        <v>3489</v>
      </c>
      <c r="AU158" s="379"/>
      <c r="AV158" s="380"/>
    </row>
    <row r="159" spans="1:48" x14ac:dyDescent="0.25">
      <c r="A159" s="357" t="s">
        <v>161</v>
      </c>
      <c r="B159" s="399" t="s">
        <v>3542</v>
      </c>
      <c r="C159" s="100" t="s">
        <v>368</v>
      </c>
      <c r="D159" s="97">
        <v>29709</v>
      </c>
      <c r="E159" s="97">
        <f>+DATE(YEAR(D159)+62,MONTH(D159),DAY(D159))</f>
        <v>52354</v>
      </c>
      <c r="F159" s="97">
        <f t="shared" ref="F159:F216" si="27">+EOMONTH(E159,0)+1</f>
        <v>52383</v>
      </c>
      <c r="G159" s="97">
        <f>+VLOOKUP(A159,'[1]DATA 06.2023'!$E$2:$J$390,6,0)</f>
        <v>52383</v>
      </c>
      <c r="H159" s="97">
        <v>38200</v>
      </c>
      <c r="I159" s="206" t="s">
        <v>730</v>
      </c>
      <c r="J159" s="207" t="s">
        <v>41</v>
      </c>
      <c r="K159" s="118" t="s">
        <v>3183</v>
      </c>
      <c r="L159" s="97">
        <v>44378</v>
      </c>
      <c r="M159" s="204" t="s">
        <v>2412</v>
      </c>
      <c r="N159" s="238" t="s">
        <v>74</v>
      </c>
      <c r="O159" s="119">
        <v>1.89</v>
      </c>
      <c r="P159" s="119">
        <v>0.35</v>
      </c>
      <c r="Q159" s="99"/>
      <c r="R159" s="314">
        <f>+O159*4730000</f>
        <v>8939700</v>
      </c>
      <c r="S159" s="314">
        <f t="shared" ref="S159:S167" si="28">+P159*4410000</f>
        <v>1543500</v>
      </c>
      <c r="T159" s="314">
        <f t="shared" si="18"/>
        <v>0</v>
      </c>
      <c r="U159" s="314">
        <f t="shared" si="23"/>
        <v>10483200</v>
      </c>
      <c r="V159" s="314">
        <f>+VLOOKUP(A159,[2]Sheet1!$B$11:$J$400,9,0)</f>
        <v>8902400</v>
      </c>
      <c r="W159" s="315" t="s">
        <v>1639</v>
      </c>
      <c r="X159" s="99" t="s">
        <v>899</v>
      </c>
      <c r="Y159" s="99" t="str">
        <f>+VLOOKUP(A159,[3]Sheet1!$B$11:$I$388,8,0)</f>
        <v>58 - 114</v>
      </c>
      <c r="Z159" s="99" t="s">
        <v>1798</v>
      </c>
      <c r="AA159" s="99" t="s">
        <v>2435</v>
      </c>
      <c r="AB159" s="100" t="s">
        <v>2435</v>
      </c>
      <c r="AC159" s="99">
        <f>+VALUE(AB159:AB530)</f>
        <v>58081000194</v>
      </c>
      <c r="AD159" s="99" t="s">
        <v>650</v>
      </c>
      <c r="AE159" s="99" t="s">
        <v>2427</v>
      </c>
      <c r="AF159" s="99" t="s">
        <v>1137</v>
      </c>
      <c r="AG159" s="316" t="s">
        <v>1138</v>
      </c>
      <c r="AH159" s="251"/>
      <c r="AI159" s="251" t="s">
        <v>3597</v>
      </c>
      <c r="AJ159" s="251"/>
      <c r="AK159" s="251"/>
      <c r="AL159" s="251"/>
      <c r="AM159" s="251"/>
      <c r="AN159" s="251"/>
      <c r="AO159" s="251"/>
      <c r="AP159" s="251"/>
      <c r="AQ159" s="251"/>
      <c r="AR159" s="251"/>
      <c r="AS159" s="251" t="s">
        <v>2239</v>
      </c>
      <c r="AT159" s="251" t="s">
        <v>3490</v>
      </c>
      <c r="AU159" s="379"/>
      <c r="AV159" s="380"/>
    </row>
    <row r="160" spans="1:48" x14ac:dyDescent="0.25">
      <c r="A160" s="357" t="s">
        <v>168</v>
      </c>
      <c r="B160" s="399" t="s">
        <v>3542</v>
      </c>
      <c r="C160" s="100" t="s">
        <v>375</v>
      </c>
      <c r="D160" s="97">
        <v>31648</v>
      </c>
      <c r="E160" s="97">
        <f>+DATE(YEAR(D160)+62,MONTH(D160),DAY(D160))</f>
        <v>54294</v>
      </c>
      <c r="F160" s="97">
        <f t="shared" si="27"/>
        <v>54302</v>
      </c>
      <c r="G160" s="97">
        <v>52475</v>
      </c>
      <c r="H160" s="97">
        <v>39234</v>
      </c>
      <c r="I160" s="206" t="s">
        <v>730</v>
      </c>
      <c r="J160" s="207" t="s">
        <v>43</v>
      </c>
      <c r="K160" s="118" t="s">
        <v>279</v>
      </c>
      <c r="L160" s="97">
        <v>41456</v>
      </c>
      <c r="M160" s="204"/>
      <c r="N160" s="204" t="s">
        <v>72</v>
      </c>
      <c r="O160" s="118">
        <v>1.59</v>
      </c>
      <c r="P160" s="119"/>
      <c r="Q160" s="99"/>
      <c r="R160" s="314">
        <f t="shared" ref="R160:R223" si="29">+O160*4730000</f>
        <v>7520700</v>
      </c>
      <c r="S160" s="314">
        <f t="shared" si="28"/>
        <v>0</v>
      </c>
      <c r="T160" s="314">
        <f t="shared" si="18"/>
        <v>0</v>
      </c>
      <c r="U160" s="314">
        <f t="shared" si="23"/>
        <v>7520700</v>
      </c>
      <c r="V160" s="314">
        <f>+VLOOKUP(A160,[2]Sheet1!$B$11:$J$400,9,0)</f>
        <v>6614400</v>
      </c>
      <c r="W160" s="315" t="s">
        <v>1646</v>
      </c>
      <c r="X160" s="99" t="s">
        <v>899</v>
      </c>
      <c r="Y160" s="99" t="str">
        <f>+VLOOKUP(A160,[3]Sheet1!$B$11:$I$388,8,0)</f>
        <v>58 - 114</v>
      </c>
      <c r="Z160" s="99" t="s">
        <v>1793</v>
      </c>
      <c r="AA160" s="99" t="s">
        <v>2838</v>
      </c>
      <c r="AB160" s="100" t="s">
        <v>2440</v>
      </c>
      <c r="AC160" s="99">
        <f>+VALUE(AB160:AB536)</f>
        <v>264276166</v>
      </c>
      <c r="AD160" s="99" t="s">
        <v>1150</v>
      </c>
      <c r="AE160" s="99" t="s">
        <v>2427</v>
      </c>
      <c r="AF160" s="99" t="s">
        <v>1151</v>
      </c>
      <c r="AG160" s="316" t="s">
        <v>1152</v>
      </c>
      <c r="AH160" s="251"/>
      <c r="AI160" s="251" t="s">
        <v>3597</v>
      </c>
      <c r="AJ160" s="251"/>
      <c r="AK160" s="251"/>
      <c r="AL160" s="251"/>
      <c r="AM160" s="251"/>
      <c r="AN160" s="251"/>
      <c r="AO160" s="251"/>
      <c r="AP160" s="251"/>
      <c r="AQ160" s="251"/>
      <c r="AR160" s="251"/>
      <c r="AS160" s="251" t="s">
        <v>2245</v>
      </c>
      <c r="AT160" s="251" t="s">
        <v>3490</v>
      </c>
      <c r="AU160" s="379"/>
      <c r="AV160" s="380"/>
    </row>
    <row r="161" spans="1:56" x14ac:dyDescent="0.25">
      <c r="A161" s="357" t="s">
        <v>181</v>
      </c>
      <c r="B161" s="399" t="s">
        <v>3542</v>
      </c>
      <c r="C161" s="100" t="s">
        <v>390</v>
      </c>
      <c r="D161" s="97">
        <v>28419</v>
      </c>
      <c r="E161" s="97">
        <f>+DATE(YEAR(D161)+62,MONTH(D161),DAY(D161))</f>
        <v>51064</v>
      </c>
      <c r="F161" s="97">
        <f t="shared" si="27"/>
        <v>51075</v>
      </c>
      <c r="G161" s="97">
        <f>+VLOOKUP(A161,'[1]DATA 06.2023'!$E$2:$J$390,6,0)</f>
        <v>49249</v>
      </c>
      <c r="H161" s="97">
        <v>35735</v>
      </c>
      <c r="I161" s="206" t="s">
        <v>730</v>
      </c>
      <c r="J161" s="207" t="s">
        <v>41</v>
      </c>
      <c r="K161" s="118" t="s">
        <v>278</v>
      </c>
      <c r="L161" s="97">
        <v>40725</v>
      </c>
      <c r="M161" s="204"/>
      <c r="N161" s="329" t="s">
        <v>71</v>
      </c>
      <c r="O161" s="118">
        <v>1.69</v>
      </c>
      <c r="P161" s="119">
        <v>0.25</v>
      </c>
      <c r="Q161" s="99"/>
      <c r="R161" s="314">
        <f t="shared" si="29"/>
        <v>7993700</v>
      </c>
      <c r="S161" s="314">
        <f t="shared" si="28"/>
        <v>1102500</v>
      </c>
      <c r="T161" s="314">
        <f t="shared" si="18"/>
        <v>0</v>
      </c>
      <c r="U161" s="314">
        <f t="shared" si="23"/>
        <v>9096200</v>
      </c>
      <c r="V161" s="314">
        <f>+VLOOKUP(A161,[2]Sheet1!$B$11:$J$400,9,0)</f>
        <v>8070400</v>
      </c>
      <c r="W161" s="315" t="s">
        <v>1660</v>
      </c>
      <c r="X161" s="99" t="s">
        <v>899</v>
      </c>
      <c r="Y161" s="99" t="str">
        <f>+VLOOKUP(A161,[3]Sheet1!$B$11:$I$388,8,0)</f>
        <v>58 - 114</v>
      </c>
      <c r="Z161" s="99" t="s">
        <v>3308</v>
      </c>
      <c r="AA161" s="99" t="s">
        <v>2852</v>
      </c>
      <c r="AB161" s="100" t="s">
        <v>2452</v>
      </c>
      <c r="AC161" s="99">
        <f>+VALUE(AB161:AB555)</f>
        <v>264396344</v>
      </c>
      <c r="AD161" s="99" t="s">
        <v>1191</v>
      </c>
      <c r="AE161" s="99" t="s">
        <v>2427</v>
      </c>
      <c r="AF161" s="99" t="s">
        <v>1140</v>
      </c>
      <c r="AG161" s="316" t="s">
        <v>1192</v>
      </c>
      <c r="AH161" s="251"/>
      <c r="AI161" s="251" t="s">
        <v>3591</v>
      </c>
      <c r="AJ161" s="251"/>
      <c r="AK161" s="251" t="s">
        <v>3629</v>
      </c>
      <c r="AL161" s="251"/>
      <c r="AM161" s="251"/>
      <c r="AN161" s="251"/>
      <c r="AO161" s="251"/>
      <c r="AP161" s="251"/>
      <c r="AQ161" s="251"/>
      <c r="AR161" s="251"/>
      <c r="AS161" s="251" t="s">
        <v>2258</v>
      </c>
      <c r="AT161" s="251" t="s">
        <v>3490</v>
      </c>
      <c r="AU161" s="379"/>
      <c r="AV161" s="380"/>
    </row>
    <row r="162" spans="1:56" x14ac:dyDescent="0.25">
      <c r="A162" s="357" t="s">
        <v>163</v>
      </c>
      <c r="B162" s="399" t="s">
        <v>3542</v>
      </c>
      <c r="C162" s="100" t="s">
        <v>370</v>
      </c>
      <c r="D162" s="97">
        <v>30168</v>
      </c>
      <c r="E162" s="97">
        <f>+DATE(YEAR(D162)+62,MONTH(D162),DAY(D162))</f>
        <v>52814</v>
      </c>
      <c r="F162" s="97">
        <f t="shared" si="27"/>
        <v>52841</v>
      </c>
      <c r="G162" s="97">
        <f>+VLOOKUP(A162,'[1]DATA 06.2023'!$E$2:$J$390,6,0)</f>
        <v>52841</v>
      </c>
      <c r="H162" s="97">
        <v>38261</v>
      </c>
      <c r="I162" s="206" t="s">
        <v>730</v>
      </c>
      <c r="J162" s="207" t="s">
        <v>43</v>
      </c>
      <c r="K162" s="118" t="s">
        <v>280</v>
      </c>
      <c r="L162" s="97">
        <v>42370</v>
      </c>
      <c r="M162" s="204" t="s">
        <v>1514</v>
      </c>
      <c r="N162" s="341" t="s">
        <v>74</v>
      </c>
      <c r="O162" s="118">
        <v>1.89</v>
      </c>
      <c r="P162" s="119"/>
      <c r="Q162" s="99"/>
      <c r="R162" s="314">
        <f t="shared" si="29"/>
        <v>8939700</v>
      </c>
      <c r="S162" s="314">
        <f t="shared" si="28"/>
        <v>0</v>
      </c>
      <c r="T162" s="314">
        <f t="shared" si="18"/>
        <v>0</v>
      </c>
      <c r="U162" s="314">
        <f t="shared" si="23"/>
        <v>8939700</v>
      </c>
      <c r="V162" s="314">
        <f>+VLOOKUP(A162,[2]Sheet1!$B$11:$J$400,9,0)</f>
        <v>7446400</v>
      </c>
      <c r="W162" s="315" t="s">
        <v>1641</v>
      </c>
      <c r="X162" s="99" t="s">
        <v>899</v>
      </c>
      <c r="Y162" s="99" t="str">
        <f>+VLOOKUP(A162,[3]Sheet1!$B$11:$I$388,8,0)</f>
        <v>58 - 114</v>
      </c>
      <c r="Z162" s="99" t="s">
        <v>40</v>
      </c>
      <c r="AA162" s="99" t="s">
        <v>2835</v>
      </c>
      <c r="AB162" s="100" t="s">
        <v>2437</v>
      </c>
      <c r="AC162" s="99">
        <f>+VALUE(AB162:AB532)</f>
        <v>264191981</v>
      </c>
      <c r="AD162" s="99" t="s">
        <v>1072</v>
      </c>
      <c r="AE162" s="99" t="s">
        <v>2427</v>
      </c>
      <c r="AF162" s="99" t="s">
        <v>1141</v>
      </c>
      <c r="AG162" s="316" t="s">
        <v>917</v>
      </c>
      <c r="AH162" s="251"/>
      <c r="AI162" s="251" t="s">
        <v>3579</v>
      </c>
      <c r="AJ162" s="251"/>
      <c r="AK162" s="251"/>
      <c r="AL162" s="251"/>
      <c r="AM162" s="251"/>
      <c r="AN162" s="251"/>
      <c r="AO162" s="251"/>
      <c r="AP162" s="251"/>
      <c r="AQ162" s="251"/>
      <c r="AR162" s="251"/>
      <c r="AS162" s="251" t="s">
        <v>2241</v>
      </c>
      <c r="AT162" s="251" t="s">
        <v>3490</v>
      </c>
      <c r="AU162" s="379"/>
      <c r="AV162" s="380"/>
    </row>
    <row r="163" spans="1:56" x14ac:dyDescent="0.25">
      <c r="A163" s="357" t="s">
        <v>165</v>
      </c>
      <c r="B163" s="399" t="s">
        <v>3542</v>
      </c>
      <c r="C163" s="100" t="s">
        <v>372</v>
      </c>
      <c r="D163" s="97">
        <v>26654</v>
      </c>
      <c r="E163" s="97">
        <f>+DATE(YEAR(D163)+62,MONTH(D163),DAY(D163))</f>
        <v>49299</v>
      </c>
      <c r="F163" s="97">
        <f t="shared" si="27"/>
        <v>49310</v>
      </c>
      <c r="G163" s="97">
        <f>+VLOOKUP(A163,'[1]DATA 06.2023'!$E$2:$J$390,6,0)</f>
        <v>49310</v>
      </c>
      <c r="H163" s="97">
        <v>34851</v>
      </c>
      <c r="I163" s="206" t="s">
        <v>730</v>
      </c>
      <c r="J163" s="207" t="s">
        <v>43</v>
      </c>
      <c r="K163" s="118" t="s">
        <v>36</v>
      </c>
      <c r="L163" s="97">
        <v>43101</v>
      </c>
      <c r="M163" s="204" t="s">
        <v>1515</v>
      </c>
      <c r="N163" s="327" t="s">
        <v>75</v>
      </c>
      <c r="O163" s="118">
        <v>1.58</v>
      </c>
      <c r="P163" s="119"/>
      <c r="Q163" s="99"/>
      <c r="R163" s="314">
        <f t="shared" si="29"/>
        <v>7473400</v>
      </c>
      <c r="S163" s="314">
        <f t="shared" si="28"/>
        <v>0</v>
      </c>
      <c r="T163" s="314">
        <f t="shared" si="18"/>
        <v>0</v>
      </c>
      <c r="U163" s="314">
        <f t="shared" si="23"/>
        <v>7473400</v>
      </c>
      <c r="V163" s="314">
        <f>+VLOOKUP(A163,[2]Sheet1!$B$11:$J$400,9,0)</f>
        <v>6572800</v>
      </c>
      <c r="W163" s="315" t="s">
        <v>1643</v>
      </c>
      <c r="X163" s="99" t="s">
        <v>899</v>
      </c>
      <c r="Y163" s="99" t="str">
        <f>+VLOOKUP(A163,[3]Sheet1!$B$11:$I$388,8,0)</f>
        <v>58 - 114</v>
      </c>
      <c r="Z163" s="99" t="s">
        <v>36</v>
      </c>
      <c r="AA163" s="99" t="s">
        <v>2836</v>
      </c>
      <c r="AB163" s="100">
        <v>264499078</v>
      </c>
      <c r="AC163" s="99">
        <f>+VALUE(AB163:AB534)</f>
        <v>264499078</v>
      </c>
      <c r="AD163" s="99" t="s">
        <v>1145</v>
      </c>
      <c r="AE163" s="99" t="s">
        <v>2427</v>
      </c>
      <c r="AF163" s="99" t="s">
        <v>1143</v>
      </c>
      <c r="AG163" s="316" t="s">
        <v>1146</v>
      </c>
      <c r="AH163" s="251"/>
      <c r="AI163" s="251"/>
      <c r="AJ163" s="251"/>
      <c r="AK163" s="251" t="s">
        <v>3585</v>
      </c>
      <c r="AL163" s="251"/>
      <c r="AM163" s="251"/>
      <c r="AN163" s="251"/>
      <c r="AO163" s="251"/>
      <c r="AP163" s="251"/>
      <c r="AQ163" s="251"/>
      <c r="AR163" s="251"/>
      <c r="AS163" s="251" t="s">
        <v>2243</v>
      </c>
      <c r="AT163" s="251" t="s">
        <v>3490</v>
      </c>
      <c r="AU163" s="379"/>
      <c r="AV163" s="380"/>
    </row>
    <row r="164" spans="1:56" s="170" customFormat="1" x14ac:dyDescent="0.25">
      <c r="A164" s="358" t="s">
        <v>192</v>
      </c>
      <c r="B164" s="399" t="s">
        <v>3542</v>
      </c>
      <c r="C164" s="214" t="s">
        <v>400</v>
      </c>
      <c r="D164" s="211">
        <v>27952</v>
      </c>
      <c r="E164" s="97">
        <f>+DATE(YEAR(D164)+57,MONTH(D164),DAY(D164))</f>
        <v>48771</v>
      </c>
      <c r="F164" s="97">
        <f t="shared" si="27"/>
        <v>48792</v>
      </c>
      <c r="G164" s="97">
        <v>51806</v>
      </c>
      <c r="H164" s="211">
        <v>34851</v>
      </c>
      <c r="I164" s="206" t="s">
        <v>730</v>
      </c>
      <c r="J164" s="207" t="s">
        <v>43</v>
      </c>
      <c r="K164" s="118" t="s">
        <v>279</v>
      </c>
      <c r="L164" s="211">
        <v>41821</v>
      </c>
      <c r="M164" s="333" t="s">
        <v>3239</v>
      </c>
      <c r="N164" s="330" t="s">
        <v>74</v>
      </c>
      <c r="O164" s="207">
        <v>1.69</v>
      </c>
      <c r="P164" s="218"/>
      <c r="Q164" s="213"/>
      <c r="R164" s="314">
        <f t="shared" si="29"/>
        <v>7993700</v>
      </c>
      <c r="S164" s="314">
        <f t="shared" si="28"/>
        <v>0</v>
      </c>
      <c r="T164" s="314">
        <f t="shared" ref="T164:T171" si="30">+Q164*2340000</f>
        <v>0</v>
      </c>
      <c r="U164" s="314">
        <f t="shared" si="23"/>
        <v>7993700</v>
      </c>
      <c r="V164" s="314">
        <f>+VLOOKUP(A164,[2]Sheet1!$B$11:$J$400,9,0)</f>
        <v>7418400</v>
      </c>
      <c r="W164" s="315" t="s">
        <v>1671</v>
      </c>
      <c r="X164" s="213" t="s">
        <v>899</v>
      </c>
      <c r="Y164" s="99" t="str">
        <f>+VLOOKUP(A164,[3]Sheet1!$B$11:$I$388,8,0)</f>
        <v>58 - 007</v>
      </c>
      <c r="Z164" s="213" t="s">
        <v>1787</v>
      </c>
      <c r="AA164" s="99" t="s">
        <v>2863</v>
      </c>
      <c r="AB164" s="214" t="s">
        <v>2464</v>
      </c>
      <c r="AC164" s="99">
        <f>+VALUE(AB164:AB550)</f>
        <v>264038773</v>
      </c>
      <c r="AD164" s="213" t="s">
        <v>1209</v>
      </c>
      <c r="AE164" s="213" t="s">
        <v>2427</v>
      </c>
      <c r="AF164" s="213" t="s">
        <v>1210</v>
      </c>
      <c r="AG164" s="334" t="s">
        <v>548</v>
      </c>
      <c r="AH164" s="335"/>
      <c r="AI164" s="335" t="s">
        <v>3630</v>
      </c>
      <c r="AJ164" s="335"/>
      <c r="AK164" s="335"/>
      <c r="AL164" s="335"/>
      <c r="AM164" s="335"/>
      <c r="AN164" s="335"/>
      <c r="AO164" s="335"/>
      <c r="AP164" s="335"/>
      <c r="AQ164" s="335"/>
      <c r="AR164" s="335"/>
      <c r="AS164" s="251" t="s">
        <v>2270</v>
      </c>
      <c r="AT164" s="251" t="s">
        <v>3490</v>
      </c>
      <c r="AU164" s="381"/>
      <c r="AV164" s="382"/>
    </row>
    <row r="165" spans="1:56" x14ac:dyDescent="0.25">
      <c r="A165" s="357" t="s">
        <v>167</v>
      </c>
      <c r="B165" s="399" t="s">
        <v>3542</v>
      </c>
      <c r="C165" s="100" t="s">
        <v>374</v>
      </c>
      <c r="D165" s="97">
        <v>30991</v>
      </c>
      <c r="E165" s="97">
        <f>+DATE(YEAR(D165)+57,MONTH(D165),DAY(D165))</f>
        <v>51810</v>
      </c>
      <c r="F165" s="97">
        <f t="shared" si="27"/>
        <v>51836</v>
      </c>
      <c r="G165" s="97">
        <v>51836</v>
      </c>
      <c r="H165" s="97">
        <v>40756</v>
      </c>
      <c r="I165" s="206" t="s">
        <v>731</v>
      </c>
      <c r="J165" s="207" t="s">
        <v>287</v>
      </c>
      <c r="K165" s="118" t="s">
        <v>282</v>
      </c>
      <c r="L165" s="97">
        <v>42186</v>
      </c>
      <c r="M165" s="117"/>
      <c r="N165" s="238" t="s">
        <v>76</v>
      </c>
      <c r="O165" s="118">
        <v>1.58</v>
      </c>
      <c r="P165" s="119">
        <v>0.06</v>
      </c>
      <c r="Q165" s="99"/>
      <c r="R165" s="314">
        <f t="shared" si="29"/>
        <v>7473400</v>
      </c>
      <c r="S165" s="314">
        <f t="shared" si="28"/>
        <v>264600</v>
      </c>
      <c r="T165" s="314">
        <f t="shared" si="30"/>
        <v>0</v>
      </c>
      <c r="U165" s="314">
        <f t="shared" si="23"/>
        <v>7738000</v>
      </c>
      <c r="V165" s="314">
        <f>+VLOOKUP(A165,[2]Sheet1!$B$11:$J$400,9,0)</f>
        <v>6822400</v>
      </c>
      <c r="W165" s="315" t="s">
        <v>1645</v>
      </c>
      <c r="X165" s="99" t="s">
        <v>899</v>
      </c>
      <c r="Y165" s="99" t="str">
        <f>+VLOOKUP(A165,[3]Sheet1!$B$11:$I$388,8,0)</f>
        <v>58 - 114</v>
      </c>
      <c r="Z165" s="99" t="s">
        <v>1795</v>
      </c>
      <c r="AA165" s="99" t="s">
        <v>2837</v>
      </c>
      <c r="AB165" s="100" t="s">
        <v>2439</v>
      </c>
      <c r="AC165" s="99">
        <f>+VALUE(AB165:AB535)</f>
        <v>264250420</v>
      </c>
      <c r="AD165" s="205" t="s">
        <v>508</v>
      </c>
      <c r="AE165" s="99" t="s">
        <v>2427</v>
      </c>
      <c r="AF165" s="99" t="s">
        <v>1149</v>
      </c>
      <c r="AG165" s="316" t="s">
        <v>917</v>
      </c>
      <c r="AH165" s="251"/>
      <c r="AI165" s="251" t="s">
        <v>3631</v>
      </c>
      <c r="AJ165" s="251"/>
      <c r="AK165" s="251"/>
      <c r="AL165" s="251"/>
      <c r="AM165" s="251"/>
      <c r="AN165" s="251"/>
      <c r="AO165" s="251"/>
      <c r="AP165" s="251"/>
      <c r="AQ165" s="251"/>
      <c r="AR165" s="251"/>
      <c r="AS165" s="251" t="s">
        <v>2244</v>
      </c>
      <c r="AT165" s="251" t="s">
        <v>3490</v>
      </c>
      <c r="AU165" s="379"/>
      <c r="AV165" s="380"/>
    </row>
    <row r="166" spans="1:56" x14ac:dyDescent="0.25">
      <c r="A166" s="361" t="s">
        <v>169</v>
      </c>
      <c r="B166" s="399" t="s">
        <v>3542</v>
      </c>
      <c r="C166" s="100" t="s">
        <v>376</v>
      </c>
      <c r="D166" s="97">
        <v>32426</v>
      </c>
      <c r="E166" s="97">
        <f>+DATE(YEAR(D166)+57,MONTH(D166),DAY(D166))</f>
        <v>53245</v>
      </c>
      <c r="F166" s="97">
        <f t="shared" si="27"/>
        <v>53267</v>
      </c>
      <c r="G166" s="97">
        <v>53267</v>
      </c>
      <c r="H166" s="97">
        <v>40787</v>
      </c>
      <c r="I166" s="206" t="s">
        <v>731</v>
      </c>
      <c r="J166" s="207" t="s">
        <v>287</v>
      </c>
      <c r="K166" s="118" t="s">
        <v>281</v>
      </c>
      <c r="L166" s="97">
        <v>42370</v>
      </c>
      <c r="M166" s="204" t="s">
        <v>3238</v>
      </c>
      <c r="N166" s="238" t="s">
        <v>76</v>
      </c>
      <c r="O166" s="118">
        <v>1.58</v>
      </c>
      <c r="P166" s="119"/>
      <c r="Q166" s="99"/>
      <c r="R166" s="314">
        <f t="shared" si="29"/>
        <v>7473400</v>
      </c>
      <c r="S166" s="314">
        <f t="shared" si="28"/>
        <v>0</v>
      </c>
      <c r="T166" s="314">
        <f t="shared" si="30"/>
        <v>0</v>
      </c>
      <c r="U166" s="314">
        <f t="shared" si="23"/>
        <v>7473400</v>
      </c>
      <c r="V166" s="314">
        <f>+VLOOKUP(A166,[2]Sheet1!$B$11:$J$400,9,0)</f>
        <v>6198400</v>
      </c>
      <c r="W166" s="315" t="s">
        <v>1647</v>
      </c>
      <c r="X166" s="99" t="s">
        <v>1153</v>
      </c>
      <c r="Y166" s="99" t="str">
        <f>+VLOOKUP(A166,[3]Sheet1!$B$11:$I$388,8,0)</f>
        <v>58 - 114</v>
      </c>
      <c r="Z166" s="99" t="s">
        <v>1795</v>
      </c>
      <c r="AA166" s="99" t="s">
        <v>2839</v>
      </c>
      <c r="AB166" s="100" t="s">
        <v>2441</v>
      </c>
      <c r="AC166" s="99">
        <f>+VALUE(AB166:AB537)</f>
        <v>264276046</v>
      </c>
      <c r="AD166" s="205" t="s">
        <v>509</v>
      </c>
      <c r="AE166" s="99" t="s">
        <v>2427</v>
      </c>
      <c r="AF166" s="99" t="s">
        <v>1154</v>
      </c>
      <c r="AG166" s="316" t="s">
        <v>548</v>
      </c>
      <c r="AH166" s="251"/>
      <c r="AI166" s="251" t="s">
        <v>3632</v>
      </c>
      <c r="AJ166" s="251"/>
      <c r="AK166" s="251"/>
      <c r="AL166" s="251"/>
      <c r="AM166" s="251"/>
      <c r="AN166" s="251"/>
      <c r="AO166" s="251"/>
      <c r="AP166" s="251"/>
      <c r="AQ166" s="251"/>
      <c r="AR166" s="251"/>
      <c r="AS166" s="251" t="s">
        <v>2246</v>
      </c>
      <c r="AT166" s="251" t="s">
        <v>3490</v>
      </c>
      <c r="AU166" s="379"/>
      <c r="AV166" s="380"/>
    </row>
    <row r="167" spans="1:56" x14ac:dyDescent="0.25">
      <c r="A167" s="361" t="s">
        <v>3006</v>
      </c>
      <c r="B167" s="399" t="s">
        <v>3542</v>
      </c>
      <c r="C167" s="100" t="s">
        <v>3010</v>
      </c>
      <c r="D167" s="205">
        <v>35653</v>
      </c>
      <c r="E167" s="97">
        <f>+DATE(YEAR(D167)+57,MONTH(D167),DAY(D167))</f>
        <v>56472</v>
      </c>
      <c r="F167" s="97">
        <f t="shared" si="27"/>
        <v>56493</v>
      </c>
      <c r="G167" s="97">
        <v>56493</v>
      </c>
      <c r="H167" s="97">
        <v>45020</v>
      </c>
      <c r="I167" s="206" t="s">
        <v>731</v>
      </c>
      <c r="J167" s="207" t="s">
        <v>287</v>
      </c>
      <c r="K167" s="118" t="s">
        <v>281</v>
      </c>
      <c r="L167" s="97">
        <v>45020</v>
      </c>
      <c r="M167" s="204"/>
      <c r="N167" s="204" t="s">
        <v>72</v>
      </c>
      <c r="O167" s="118">
        <v>1.41</v>
      </c>
      <c r="P167" s="119"/>
      <c r="Q167" s="99"/>
      <c r="R167" s="314">
        <f t="shared" si="29"/>
        <v>6669300</v>
      </c>
      <c r="S167" s="314">
        <f t="shared" si="28"/>
        <v>0</v>
      </c>
      <c r="T167" s="314">
        <f t="shared" si="30"/>
        <v>0</v>
      </c>
      <c r="U167" s="314">
        <f t="shared" si="23"/>
        <v>6669300</v>
      </c>
      <c r="V167" s="314">
        <f>+VLOOKUP(A167,[2]Sheet1!$B$11:$J$400,9,0)</f>
        <v>5865600</v>
      </c>
      <c r="W167" s="315" t="s">
        <v>3218</v>
      </c>
      <c r="X167" s="99"/>
      <c r="Y167" s="99" t="str">
        <f>+VLOOKUP(A167,[3]Sheet1!$B$11:$I$388,8,0)</f>
        <v>58 - 114</v>
      </c>
      <c r="Z167" s="99" t="s">
        <v>1795</v>
      </c>
      <c r="AA167" s="201" t="s">
        <v>3007</v>
      </c>
      <c r="AB167" s="100"/>
      <c r="AC167" s="99"/>
      <c r="AD167" s="205" t="s">
        <v>3008</v>
      </c>
      <c r="AE167" s="99" t="s">
        <v>2427</v>
      </c>
      <c r="AF167" s="101" t="s">
        <v>3009</v>
      </c>
      <c r="AG167" s="316" t="s">
        <v>3009</v>
      </c>
      <c r="AH167" s="251"/>
      <c r="AI167" s="251" t="s">
        <v>3633</v>
      </c>
      <c r="AJ167" s="251"/>
      <c r="AK167" s="251"/>
      <c r="AL167" s="251"/>
      <c r="AM167" s="247">
        <v>45020</v>
      </c>
      <c r="AN167" s="251"/>
      <c r="AO167" s="251"/>
      <c r="AP167" s="247">
        <v>45050</v>
      </c>
      <c r="AQ167" s="251"/>
      <c r="AR167" s="247">
        <v>45781</v>
      </c>
      <c r="AS167" s="251"/>
      <c r="AT167" s="251" t="s">
        <v>3490</v>
      </c>
      <c r="AU167" s="379"/>
      <c r="AV167" s="380"/>
    </row>
    <row r="168" spans="1:56" x14ac:dyDescent="0.25">
      <c r="A168" s="361" t="s">
        <v>3249</v>
      </c>
      <c r="B168" s="399" t="s">
        <v>3542</v>
      </c>
      <c r="C168" s="100" t="s">
        <v>3250</v>
      </c>
      <c r="D168" s="262" t="s">
        <v>3250</v>
      </c>
      <c r="E168" s="97">
        <f>+DATE(YEAR(D168)+57,MONTH(D168),DAY(D168))</f>
        <v>58291</v>
      </c>
      <c r="F168" s="97">
        <f t="shared" si="27"/>
        <v>58319</v>
      </c>
      <c r="G168" s="97">
        <v>56493</v>
      </c>
      <c r="H168" s="97">
        <v>45566</v>
      </c>
      <c r="I168" s="206" t="s">
        <v>731</v>
      </c>
      <c r="J168" s="207" t="s">
        <v>287</v>
      </c>
      <c r="K168" s="118" t="s">
        <v>281</v>
      </c>
      <c r="L168" s="97">
        <v>45566</v>
      </c>
      <c r="M168" s="204"/>
      <c r="N168" s="204" t="s">
        <v>72</v>
      </c>
      <c r="O168" s="118">
        <v>1.41</v>
      </c>
      <c r="P168" s="119"/>
      <c r="Q168" s="99"/>
      <c r="R168" s="314">
        <f t="shared" si="29"/>
        <v>6669300</v>
      </c>
      <c r="S168" s="314">
        <f>+P168*4410000</f>
        <v>0</v>
      </c>
      <c r="T168" s="314">
        <f t="shared" si="30"/>
        <v>0</v>
      </c>
      <c r="U168" s="314">
        <f t="shared" si="23"/>
        <v>6669300</v>
      </c>
      <c r="V168" s="314"/>
      <c r="W168" s="319">
        <v>5820144452</v>
      </c>
      <c r="X168" s="99" t="s">
        <v>3257</v>
      </c>
      <c r="Y168" s="99"/>
      <c r="Z168" s="99" t="s">
        <v>1795</v>
      </c>
      <c r="AA168" s="339" t="s">
        <v>3315</v>
      </c>
      <c r="AB168" s="100"/>
      <c r="AC168" s="99"/>
      <c r="AD168" s="205">
        <v>44280</v>
      </c>
      <c r="AE168" s="99" t="s">
        <v>2427</v>
      </c>
      <c r="AF168" s="101" t="s">
        <v>3251</v>
      </c>
      <c r="AG168" s="316"/>
      <c r="AH168" s="251"/>
      <c r="AI168" s="251" t="s">
        <v>3591</v>
      </c>
      <c r="AJ168" s="251"/>
      <c r="AK168" s="251"/>
      <c r="AL168" s="251"/>
      <c r="AM168" s="247"/>
      <c r="AN168" s="251"/>
      <c r="AO168" s="251"/>
      <c r="AP168" s="247"/>
      <c r="AQ168" s="251"/>
      <c r="AR168" s="247"/>
      <c r="AS168" s="251"/>
      <c r="AT168" s="251" t="s">
        <v>3490</v>
      </c>
      <c r="AU168" s="379"/>
      <c r="AV168" s="380"/>
    </row>
    <row r="169" spans="1:56" x14ac:dyDescent="0.25">
      <c r="A169" s="359" t="s">
        <v>170</v>
      </c>
      <c r="B169" s="394" t="s">
        <v>3543</v>
      </c>
      <c r="C169" s="209" t="s">
        <v>377</v>
      </c>
      <c r="D169" s="97">
        <v>27283</v>
      </c>
      <c r="E169" s="97">
        <v>46276</v>
      </c>
      <c r="F169" s="97">
        <f t="shared" si="27"/>
        <v>46296</v>
      </c>
      <c r="G169" s="97">
        <v>46296</v>
      </c>
      <c r="H169" s="97">
        <v>35674</v>
      </c>
      <c r="I169" s="206" t="s">
        <v>731</v>
      </c>
      <c r="J169" s="207" t="s">
        <v>287</v>
      </c>
      <c r="K169" s="118" t="s">
        <v>281</v>
      </c>
      <c r="L169" s="97">
        <v>39995</v>
      </c>
      <c r="M169" s="204"/>
      <c r="N169" s="329" t="s">
        <v>74</v>
      </c>
      <c r="O169" s="118">
        <v>1.5</v>
      </c>
      <c r="P169" s="119"/>
      <c r="Q169" s="99"/>
      <c r="R169" s="314">
        <f t="shared" si="29"/>
        <v>7095000</v>
      </c>
      <c r="S169" s="314">
        <f>+P169*4410000</f>
        <v>0</v>
      </c>
      <c r="T169" s="314">
        <f t="shared" si="30"/>
        <v>0</v>
      </c>
      <c r="U169" s="314">
        <f t="shared" si="23"/>
        <v>7095000</v>
      </c>
      <c r="V169" s="314">
        <f>+VLOOKUP(A169,[2]Sheet1!$B$11:$J$400,9,0)</f>
        <v>6240000</v>
      </c>
      <c r="W169" s="315" t="s">
        <v>1648</v>
      </c>
      <c r="X169" s="99" t="s">
        <v>899</v>
      </c>
      <c r="Y169" s="99" t="str">
        <f>+VLOOKUP(A169,[3]Sheet1!$B$11:$I$388,8,0)</f>
        <v>58 - 114</v>
      </c>
      <c r="Z169" s="99" t="s">
        <v>1796</v>
      </c>
      <c r="AA169" s="99" t="s">
        <v>2841</v>
      </c>
      <c r="AB169" s="100" t="s">
        <v>2443</v>
      </c>
      <c r="AC169" s="99">
        <f>+VALUE(AB169:AB539)</f>
        <v>264044686</v>
      </c>
      <c r="AD169" s="99" t="s">
        <v>1155</v>
      </c>
      <c r="AE169" s="99" t="s">
        <v>2427</v>
      </c>
      <c r="AF169" s="99" t="s">
        <v>1156</v>
      </c>
      <c r="AG169" s="316" t="s">
        <v>548</v>
      </c>
      <c r="AH169" s="251"/>
      <c r="AI169" s="251" t="s">
        <v>3579</v>
      </c>
      <c r="AJ169" s="251"/>
      <c r="AK169" s="251"/>
      <c r="AL169" s="251"/>
      <c r="AM169" s="251"/>
      <c r="AN169" s="251"/>
      <c r="AO169" s="251"/>
      <c r="AP169" s="251"/>
      <c r="AQ169" s="251"/>
      <c r="AR169" s="251"/>
      <c r="AS169" s="251" t="s">
        <v>2248</v>
      </c>
      <c r="AT169" s="251" t="s">
        <v>3490</v>
      </c>
      <c r="AU169" s="379"/>
      <c r="AV169" s="380"/>
    </row>
    <row r="170" spans="1:56" x14ac:dyDescent="0.25">
      <c r="A170" s="359" t="s">
        <v>3310</v>
      </c>
      <c r="B170" s="394" t="s">
        <v>3543</v>
      </c>
      <c r="C170" s="209" t="s">
        <v>3311</v>
      </c>
      <c r="D170" s="97">
        <v>28549</v>
      </c>
      <c r="E170" s="97">
        <f t="shared" ref="E170:E181" si="31">+DATE(YEAR(D170)+57,MONTH(D170),DAY(D170))</f>
        <v>49368</v>
      </c>
      <c r="F170" s="97">
        <f t="shared" si="27"/>
        <v>49369</v>
      </c>
      <c r="G170" s="262" t="s">
        <v>3341</v>
      </c>
      <c r="H170" s="97">
        <v>45689</v>
      </c>
      <c r="I170" s="206" t="s">
        <v>731</v>
      </c>
      <c r="J170" s="207" t="s">
        <v>287</v>
      </c>
      <c r="K170" s="118" t="s">
        <v>281</v>
      </c>
      <c r="L170" s="97">
        <v>45689</v>
      </c>
      <c r="M170" s="97"/>
      <c r="N170" s="329" t="s">
        <v>71</v>
      </c>
      <c r="O170" s="118">
        <v>1.34</v>
      </c>
      <c r="P170" s="119"/>
      <c r="Q170" s="99"/>
      <c r="R170" s="314">
        <f t="shared" si="29"/>
        <v>6338200</v>
      </c>
      <c r="S170" s="314">
        <f>+P170*4410000</f>
        <v>0</v>
      </c>
      <c r="T170" s="314">
        <f t="shared" si="30"/>
        <v>0</v>
      </c>
      <c r="U170" s="314">
        <f t="shared" si="23"/>
        <v>6338200</v>
      </c>
      <c r="V170" s="314"/>
      <c r="W170" s="319">
        <v>4401000698</v>
      </c>
      <c r="X170" s="99" t="s">
        <v>3336</v>
      </c>
      <c r="Y170" s="99"/>
      <c r="Z170" s="99" t="s">
        <v>1796</v>
      </c>
      <c r="AA170" s="320" t="s">
        <v>3314</v>
      </c>
      <c r="AB170" s="100"/>
      <c r="AC170" s="99"/>
      <c r="AD170" s="99"/>
      <c r="AE170" s="213" t="s">
        <v>2427</v>
      </c>
      <c r="AF170" s="99" t="s">
        <v>1135</v>
      </c>
      <c r="AG170" s="316"/>
      <c r="AH170" s="251"/>
      <c r="AI170" s="251" t="s">
        <v>3634</v>
      </c>
      <c r="AJ170" s="251"/>
      <c r="AK170" s="251"/>
      <c r="AL170" s="251"/>
      <c r="AM170" s="247">
        <v>45627</v>
      </c>
      <c r="AN170" s="251"/>
      <c r="AO170" s="247">
        <v>45689</v>
      </c>
      <c r="AP170" s="251"/>
      <c r="AQ170" s="251"/>
      <c r="AR170" s="251"/>
      <c r="AS170" s="251"/>
      <c r="AT170" s="251" t="s">
        <v>3490</v>
      </c>
      <c r="AU170" s="379"/>
      <c r="AV170" s="380"/>
    </row>
    <row r="171" spans="1:56" x14ac:dyDescent="0.25">
      <c r="A171" s="359" t="s">
        <v>3340</v>
      </c>
      <c r="B171" s="394" t="s">
        <v>3543</v>
      </c>
      <c r="C171" s="342">
        <v>30175</v>
      </c>
      <c r="D171" s="97">
        <v>30175</v>
      </c>
      <c r="E171" s="97">
        <f t="shared" si="31"/>
        <v>50994</v>
      </c>
      <c r="F171" s="97">
        <f t="shared" si="27"/>
        <v>51014</v>
      </c>
      <c r="G171" s="262">
        <v>51014</v>
      </c>
      <c r="H171" s="97">
        <v>45717</v>
      </c>
      <c r="I171" s="206" t="s">
        <v>731</v>
      </c>
      <c r="J171" s="207" t="s">
        <v>287</v>
      </c>
      <c r="K171" s="118" t="s">
        <v>281</v>
      </c>
      <c r="L171" s="97">
        <v>45717</v>
      </c>
      <c r="M171" s="211">
        <v>43191</v>
      </c>
      <c r="N171" s="204" t="s">
        <v>72</v>
      </c>
      <c r="O171" s="118">
        <v>1.26</v>
      </c>
      <c r="P171" s="119"/>
      <c r="Q171" s="99"/>
      <c r="R171" s="314">
        <f t="shared" si="29"/>
        <v>5959800</v>
      </c>
      <c r="S171" s="314">
        <f>+P171*4410000</f>
        <v>0</v>
      </c>
      <c r="T171" s="314">
        <f t="shared" si="30"/>
        <v>0</v>
      </c>
      <c r="U171" s="314">
        <f t="shared" si="23"/>
        <v>5959800</v>
      </c>
      <c r="V171" s="314"/>
      <c r="W171" s="319">
        <v>4403001364</v>
      </c>
      <c r="X171" s="99" t="s">
        <v>3359</v>
      </c>
      <c r="Y171" s="99"/>
      <c r="Z171" s="99" t="s">
        <v>1796</v>
      </c>
      <c r="AA171" s="320" t="s">
        <v>3342</v>
      </c>
      <c r="AB171" s="100"/>
      <c r="AC171" s="99"/>
      <c r="AD171" s="99"/>
      <c r="AE171" s="213" t="s">
        <v>2427</v>
      </c>
      <c r="AF171" s="99" t="s">
        <v>3343</v>
      </c>
      <c r="AG171" s="316"/>
      <c r="AH171" s="251"/>
      <c r="AI171" s="251" t="s">
        <v>3579</v>
      </c>
      <c r="AJ171" s="251"/>
      <c r="AK171" s="251"/>
      <c r="AL171" s="251"/>
      <c r="AM171" s="247"/>
      <c r="AN171" s="251"/>
      <c r="AO171" s="247">
        <v>45717</v>
      </c>
      <c r="AP171" s="251"/>
      <c r="AQ171" s="251"/>
      <c r="AR171" s="251"/>
      <c r="AS171" s="343" t="s">
        <v>3344</v>
      </c>
      <c r="AT171" s="251" t="s">
        <v>3490</v>
      </c>
      <c r="AU171" s="379"/>
      <c r="AV171" s="380"/>
    </row>
    <row r="172" spans="1:56" s="170" customFormat="1" x14ac:dyDescent="0.25">
      <c r="A172" s="357" t="s">
        <v>171</v>
      </c>
      <c r="B172" s="393" t="s">
        <v>3542</v>
      </c>
      <c r="C172" s="100" t="s">
        <v>378</v>
      </c>
      <c r="D172" s="97">
        <v>26590</v>
      </c>
      <c r="E172" s="97">
        <f t="shared" si="31"/>
        <v>47409</v>
      </c>
      <c r="F172" s="97">
        <f t="shared" si="27"/>
        <v>47423</v>
      </c>
      <c r="G172" s="97">
        <v>50406</v>
      </c>
      <c r="H172" s="97">
        <v>35370</v>
      </c>
      <c r="I172" s="206" t="s">
        <v>731</v>
      </c>
      <c r="J172" s="207" t="s">
        <v>287</v>
      </c>
      <c r="K172" s="118" t="s">
        <v>283</v>
      </c>
      <c r="L172" s="97">
        <v>41456</v>
      </c>
      <c r="M172" s="211">
        <v>39569</v>
      </c>
      <c r="N172" s="329" t="s">
        <v>74</v>
      </c>
      <c r="O172" s="118">
        <v>1.68</v>
      </c>
      <c r="P172" s="119">
        <v>0.04</v>
      </c>
      <c r="Q172" s="99"/>
      <c r="R172" s="314">
        <f t="shared" si="29"/>
        <v>7946400</v>
      </c>
      <c r="S172" s="314">
        <f t="shared" ref="S172:S235" si="32">+P172*4410000</f>
        <v>176400</v>
      </c>
      <c r="T172" s="314">
        <f t="shared" ref="T172:T203" si="33">+Q172*2340000</f>
        <v>0</v>
      </c>
      <c r="U172" s="314">
        <f t="shared" si="23"/>
        <v>8122800</v>
      </c>
      <c r="V172" s="314">
        <f>+VLOOKUP(A172,[2]Sheet1!$B$11:$J$400,9,0)</f>
        <v>7155200</v>
      </c>
      <c r="W172" s="315" t="s">
        <v>1649</v>
      </c>
      <c r="X172" s="99" t="s">
        <v>899</v>
      </c>
      <c r="Y172" s="99" t="str">
        <f>+VLOOKUP(A172,[3]Sheet1!$B$11:$I$388,8,0)</f>
        <v>58 - 114</v>
      </c>
      <c r="Z172" s="99" t="s">
        <v>1797</v>
      </c>
      <c r="AA172" s="99" t="s">
        <v>2842</v>
      </c>
      <c r="AB172" s="100" t="s">
        <v>2444</v>
      </c>
      <c r="AC172" s="99">
        <f>+VALUE(AB172:AB542)</f>
        <v>264140143</v>
      </c>
      <c r="AD172" s="99" t="s">
        <v>1157</v>
      </c>
      <c r="AE172" s="99" t="s">
        <v>2427</v>
      </c>
      <c r="AF172" s="99" t="s">
        <v>1159</v>
      </c>
      <c r="AG172" s="316" t="s">
        <v>1160</v>
      </c>
      <c r="AH172" s="251"/>
      <c r="AI172" s="251"/>
      <c r="AJ172" s="251"/>
      <c r="AK172" s="251" t="s">
        <v>3585</v>
      </c>
      <c r="AL172" s="251"/>
      <c r="AM172" s="251"/>
      <c r="AN172" s="251"/>
      <c r="AO172" s="251"/>
      <c r="AP172" s="251"/>
      <c r="AQ172" s="251"/>
      <c r="AR172" s="251"/>
      <c r="AS172" s="251" t="s">
        <v>2249</v>
      </c>
      <c r="AT172" s="251" t="s">
        <v>3490</v>
      </c>
      <c r="AU172" s="379"/>
      <c r="AV172" s="380"/>
      <c r="AW172" s="55"/>
      <c r="AX172" s="55"/>
      <c r="AY172" s="55"/>
      <c r="AZ172" s="55"/>
      <c r="BA172" s="55"/>
      <c r="BB172" s="55"/>
      <c r="BC172" s="55"/>
      <c r="BD172" s="55"/>
    </row>
    <row r="173" spans="1:56" x14ac:dyDescent="0.25">
      <c r="A173" s="357" t="s">
        <v>1823</v>
      </c>
      <c r="B173" s="393" t="s">
        <v>3542</v>
      </c>
      <c r="C173" s="100" t="s">
        <v>379</v>
      </c>
      <c r="D173" s="97">
        <v>26547</v>
      </c>
      <c r="E173" s="97">
        <f t="shared" si="31"/>
        <v>47366</v>
      </c>
      <c r="F173" s="97">
        <f t="shared" si="27"/>
        <v>47392</v>
      </c>
      <c r="G173" s="97">
        <v>51044</v>
      </c>
      <c r="H173" s="97">
        <v>36220</v>
      </c>
      <c r="I173" s="206" t="s">
        <v>731</v>
      </c>
      <c r="J173" s="207" t="s">
        <v>287</v>
      </c>
      <c r="K173" s="118" t="s">
        <v>281</v>
      </c>
      <c r="L173" s="97">
        <v>41821</v>
      </c>
      <c r="M173" s="211">
        <v>42309</v>
      </c>
      <c r="N173" s="329" t="s">
        <v>74</v>
      </c>
      <c r="O173" s="118">
        <v>1.68</v>
      </c>
      <c r="P173" s="119"/>
      <c r="Q173" s="99"/>
      <c r="R173" s="314">
        <f t="shared" si="29"/>
        <v>7946400</v>
      </c>
      <c r="S173" s="314">
        <f t="shared" si="32"/>
        <v>0</v>
      </c>
      <c r="T173" s="314">
        <f t="shared" si="33"/>
        <v>0</v>
      </c>
      <c r="U173" s="314">
        <f t="shared" si="23"/>
        <v>7946400</v>
      </c>
      <c r="V173" s="314">
        <f>+VLOOKUP(A173,[2]Sheet1!$B$11:$J$400,9,0)</f>
        <v>6988800</v>
      </c>
      <c r="W173" s="315" t="s">
        <v>1650</v>
      </c>
      <c r="X173" s="99" t="s">
        <v>899</v>
      </c>
      <c r="Y173" s="99" t="str">
        <f>+VLOOKUP(A173,[3]Sheet1!$B$11:$I$388,8,0)</f>
        <v>58 - 114</v>
      </c>
      <c r="Z173" s="99" t="s">
        <v>1797</v>
      </c>
      <c r="AA173" s="99" t="s">
        <v>2843</v>
      </c>
      <c r="AB173" s="100" t="s">
        <v>2445</v>
      </c>
      <c r="AC173" s="99">
        <f>+VALUE(AB173:AB544)</f>
        <v>264482488</v>
      </c>
      <c r="AD173" s="99" t="s">
        <v>1162</v>
      </c>
      <c r="AE173" s="99" t="s">
        <v>2427</v>
      </c>
      <c r="AF173" s="99" t="s">
        <v>1163</v>
      </c>
      <c r="AG173" s="316" t="s">
        <v>1164</v>
      </c>
      <c r="AH173" s="251"/>
      <c r="AI173" s="251"/>
      <c r="AJ173" s="251"/>
      <c r="AK173" s="251" t="s">
        <v>3585</v>
      </c>
      <c r="AL173" s="251"/>
      <c r="AM173" s="251"/>
      <c r="AN173" s="251"/>
      <c r="AO173" s="251"/>
      <c r="AP173" s="251"/>
      <c r="AQ173" s="251"/>
      <c r="AR173" s="251"/>
      <c r="AS173" s="251" t="s">
        <v>2250</v>
      </c>
      <c r="AT173" s="251" t="s">
        <v>3490</v>
      </c>
      <c r="AU173" s="379"/>
      <c r="AV173" s="380"/>
    </row>
    <row r="174" spans="1:56" x14ac:dyDescent="0.25">
      <c r="A174" s="365" t="s">
        <v>185</v>
      </c>
      <c r="B174" s="393" t="s">
        <v>3542</v>
      </c>
      <c r="C174" s="214" t="s">
        <v>394</v>
      </c>
      <c r="D174" s="211">
        <v>31977</v>
      </c>
      <c r="E174" s="97">
        <f t="shared" si="31"/>
        <v>52797</v>
      </c>
      <c r="F174" s="97">
        <f t="shared" si="27"/>
        <v>52810</v>
      </c>
      <c r="G174" s="97">
        <v>52263</v>
      </c>
      <c r="H174" s="211">
        <v>39479</v>
      </c>
      <c r="I174" s="206" t="s">
        <v>731</v>
      </c>
      <c r="J174" s="207" t="s">
        <v>287</v>
      </c>
      <c r="K174" s="118" t="s">
        <v>281</v>
      </c>
      <c r="L174" s="211">
        <v>42309</v>
      </c>
      <c r="M174" s="217"/>
      <c r="N174" s="330" t="s">
        <v>76</v>
      </c>
      <c r="O174" s="207">
        <v>1.58</v>
      </c>
      <c r="P174" s="218"/>
      <c r="Q174" s="213"/>
      <c r="R174" s="314">
        <f t="shared" si="29"/>
        <v>7473400</v>
      </c>
      <c r="S174" s="314">
        <f t="shared" si="32"/>
        <v>0</v>
      </c>
      <c r="T174" s="314">
        <f t="shared" si="33"/>
        <v>0</v>
      </c>
      <c r="U174" s="314">
        <f t="shared" si="23"/>
        <v>7473400</v>
      </c>
      <c r="V174" s="314">
        <f>+VLOOKUP(A174,[2]Sheet1!$B$11:$J$400,9,0)</f>
        <v>6572800</v>
      </c>
      <c r="W174" s="315" t="s">
        <v>1664</v>
      </c>
      <c r="X174" s="213" t="s">
        <v>899</v>
      </c>
      <c r="Y174" s="99" t="str">
        <f>+VLOOKUP(A174,[3]Sheet1!$B$11:$I$388,8,0)</f>
        <v>58 - 114</v>
      </c>
      <c r="Z174" s="99" t="s">
        <v>1797</v>
      </c>
      <c r="AA174" s="99" t="s">
        <v>2856</v>
      </c>
      <c r="AB174" s="214" t="s">
        <v>2456</v>
      </c>
      <c r="AC174" s="99">
        <f>+VALUE(AB174:AB559)</f>
        <v>264264794</v>
      </c>
      <c r="AD174" s="213" t="s">
        <v>1196</v>
      </c>
      <c r="AE174" s="213" t="s">
        <v>2427</v>
      </c>
      <c r="AF174" s="213" t="s">
        <v>1197</v>
      </c>
      <c r="AG174" s="334" t="s">
        <v>1198</v>
      </c>
      <c r="AH174" s="335"/>
      <c r="AI174" s="335"/>
      <c r="AJ174" s="335"/>
      <c r="AK174" s="251" t="s">
        <v>3585</v>
      </c>
      <c r="AL174" s="335"/>
      <c r="AM174" s="335"/>
      <c r="AN174" s="335"/>
      <c r="AO174" s="335"/>
      <c r="AP174" s="335"/>
      <c r="AQ174" s="335"/>
      <c r="AR174" s="335"/>
      <c r="AS174" s="251" t="s">
        <v>2262</v>
      </c>
      <c r="AT174" s="251" t="s">
        <v>3490</v>
      </c>
      <c r="AU174" s="381"/>
      <c r="AV174" s="382"/>
      <c r="AW174" s="170"/>
      <c r="AX174" s="170"/>
      <c r="AY174" s="170"/>
      <c r="AZ174" s="170"/>
      <c r="BA174" s="170"/>
      <c r="BB174" s="170"/>
      <c r="BC174" s="170"/>
      <c r="BD174" s="170"/>
    </row>
    <row r="175" spans="1:56" x14ac:dyDescent="0.25">
      <c r="A175" s="358" t="s">
        <v>191</v>
      </c>
      <c r="B175" s="393" t="s">
        <v>3542</v>
      </c>
      <c r="C175" s="214" t="s">
        <v>603</v>
      </c>
      <c r="D175" s="211">
        <v>32114</v>
      </c>
      <c r="E175" s="97">
        <f t="shared" si="31"/>
        <v>52934</v>
      </c>
      <c r="F175" s="97">
        <f t="shared" si="27"/>
        <v>52963</v>
      </c>
      <c r="G175" s="97">
        <v>52963</v>
      </c>
      <c r="H175" s="211">
        <v>43191</v>
      </c>
      <c r="I175" s="206" t="s">
        <v>731</v>
      </c>
      <c r="J175" s="207" t="s">
        <v>287</v>
      </c>
      <c r="K175" s="118" t="s">
        <v>281</v>
      </c>
      <c r="L175" s="211">
        <v>43191</v>
      </c>
      <c r="M175" s="333"/>
      <c r="N175" s="330" t="s">
        <v>71</v>
      </c>
      <c r="O175" s="207">
        <v>1.49</v>
      </c>
      <c r="P175" s="218"/>
      <c r="Q175" s="213"/>
      <c r="R175" s="314">
        <f t="shared" si="29"/>
        <v>7047700</v>
      </c>
      <c r="S175" s="314">
        <f t="shared" si="32"/>
        <v>0</v>
      </c>
      <c r="T175" s="314">
        <f t="shared" si="33"/>
        <v>0</v>
      </c>
      <c r="U175" s="314">
        <f t="shared" si="23"/>
        <v>7047700</v>
      </c>
      <c r="V175" s="314">
        <f>+VLOOKUP(A175,[2]Sheet1!$B$11:$J$400,9,0)</f>
        <v>6378400</v>
      </c>
      <c r="W175" s="315" t="s">
        <v>1670</v>
      </c>
      <c r="X175" s="213" t="s">
        <v>604</v>
      </c>
      <c r="Y175" s="99" t="str">
        <f>+VLOOKUP(A175,[3]Sheet1!$B$11:$I$388,8,0)</f>
        <v>58 - 007</v>
      </c>
      <c r="Z175" s="213" t="s">
        <v>1787</v>
      </c>
      <c r="AA175" s="99" t="s">
        <v>2860</v>
      </c>
      <c r="AB175" s="214" t="s">
        <v>2461</v>
      </c>
      <c r="AC175" s="99">
        <f>+VALUE(AB175:AB564)</f>
        <v>151606865</v>
      </c>
      <c r="AD175" s="214" t="s">
        <v>1852</v>
      </c>
      <c r="AE175" s="213" t="s">
        <v>2427</v>
      </c>
      <c r="AF175" s="213" t="s">
        <v>607</v>
      </c>
      <c r="AG175" s="334" t="e">
        <v>#N/A</v>
      </c>
      <c r="AH175" s="335"/>
      <c r="AI175" s="335"/>
      <c r="AJ175" s="335"/>
      <c r="AK175" s="251" t="s">
        <v>3585</v>
      </c>
      <c r="AL175" s="335"/>
      <c r="AM175" s="335"/>
      <c r="AN175" s="335"/>
      <c r="AO175" s="335"/>
      <c r="AP175" s="335"/>
      <c r="AQ175" s="335"/>
      <c r="AR175" s="335"/>
      <c r="AS175" s="251" t="s">
        <v>2267</v>
      </c>
      <c r="AT175" s="251" t="s">
        <v>3490</v>
      </c>
      <c r="AU175" s="381"/>
      <c r="AV175" s="382"/>
      <c r="AW175" s="170"/>
      <c r="AX175" s="170"/>
      <c r="AY175" s="170"/>
      <c r="AZ175" s="170"/>
      <c r="BA175" s="170"/>
      <c r="BB175" s="170"/>
      <c r="BC175" s="170"/>
      <c r="BD175" s="170"/>
    </row>
    <row r="176" spans="1:56" x14ac:dyDescent="0.25">
      <c r="A176" s="357" t="s">
        <v>173</v>
      </c>
      <c r="B176" s="393" t="s">
        <v>3542</v>
      </c>
      <c r="C176" s="100" t="s">
        <v>381</v>
      </c>
      <c r="D176" s="97">
        <v>28537</v>
      </c>
      <c r="E176" s="97">
        <f t="shared" si="31"/>
        <v>49356</v>
      </c>
      <c r="F176" s="97">
        <f t="shared" si="27"/>
        <v>49369</v>
      </c>
      <c r="G176" s="97">
        <v>45292</v>
      </c>
      <c r="H176" s="97">
        <v>36586</v>
      </c>
      <c r="I176" s="206" t="s">
        <v>2537</v>
      </c>
      <c r="J176" s="207" t="s">
        <v>287</v>
      </c>
      <c r="K176" s="118" t="s">
        <v>282</v>
      </c>
      <c r="L176" s="97">
        <v>41091</v>
      </c>
      <c r="M176" s="204"/>
      <c r="N176" s="329" t="s">
        <v>74</v>
      </c>
      <c r="O176" s="118">
        <v>1.68</v>
      </c>
      <c r="P176" s="119">
        <v>0.06</v>
      </c>
      <c r="Q176" s="99"/>
      <c r="R176" s="314">
        <f t="shared" si="29"/>
        <v>7946400</v>
      </c>
      <c r="S176" s="314">
        <f t="shared" si="32"/>
        <v>264600</v>
      </c>
      <c r="T176" s="314">
        <f t="shared" si="33"/>
        <v>0</v>
      </c>
      <c r="U176" s="314">
        <f t="shared" si="23"/>
        <v>8211000</v>
      </c>
      <c r="V176" s="314">
        <f>+VLOOKUP(A176,[2]Sheet1!$B$11:$J$400,9,0)</f>
        <v>7238400</v>
      </c>
      <c r="W176" s="315" t="s">
        <v>1652</v>
      </c>
      <c r="X176" s="99" t="s">
        <v>1168</v>
      </c>
      <c r="Y176" s="99" t="str">
        <f>+VLOOKUP(A176,[3]Sheet1!$B$11:$I$388,8,0)</f>
        <v>60 - 040</v>
      </c>
      <c r="Z176" s="99" t="s">
        <v>1795</v>
      </c>
      <c r="AA176" s="99" t="s">
        <v>2844</v>
      </c>
      <c r="AB176" s="100">
        <v>42078000777</v>
      </c>
      <c r="AC176" s="99">
        <f>+VALUE(AB176:AB545)</f>
        <v>42078000777</v>
      </c>
      <c r="AD176" s="99" t="s">
        <v>1169</v>
      </c>
      <c r="AE176" s="99" t="s">
        <v>2427</v>
      </c>
      <c r="AF176" s="99" t="s">
        <v>1170</v>
      </c>
      <c r="AG176" s="316" t="s">
        <v>1171</v>
      </c>
      <c r="AH176" s="251"/>
      <c r="AI176" s="251" t="s">
        <v>3584</v>
      </c>
      <c r="AJ176" s="251"/>
      <c r="AK176" s="251"/>
      <c r="AL176" s="251"/>
      <c r="AM176" s="251"/>
      <c r="AN176" s="251"/>
      <c r="AO176" s="251"/>
      <c r="AP176" s="251"/>
      <c r="AQ176" s="251"/>
      <c r="AR176" s="251"/>
      <c r="AS176" s="251" t="s">
        <v>2251</v>
      </c>
      <c r="AT176" s="251" t="s">
        <v>3490</v>
      </c>
      <c r="AU176" s="379"/>
      <c r="AV176" s="380"/>
    </row>
    <row r="177" spans="1:56" x14ac:dyDescent="0.25">
      <c r="A177" s="355" t="s">
        <v>174</v>
      </c>
      <c r="B177" s="393" t="s">
        <v>3542</v>
      </c>
      <c r="C177" s="100" t="s">
        <v>382</v>
      </c>
      <c r="D177" s="97">
        <v>26659</v>
      </c>
      <c r="E177" s="97">
        <f t="shared" si="31"/>
        <v>47478</v>
      </c>
      <c r="F177" s="97">
        <f t="shared" si="27"/>
        <v>47484</v>
      </c>
      <c r="G177" s="97">
        <v>50100</v>
      </c>
      <c r="H177" s="97">
        <v>35582</v>
      </c>
      <c r="I177" s="206" t="s">
        <v>2537</v>
      </c>
      <c r="J177" s="207" t="s">
        <v>287</v>
      </c>
      <c r="K177" s="118" t="s">
        <v>281</v>
      </c>
      <c r="L177" s="97">
        <v>43405</v>
      </c>
      <c r="M177" s="204"/>
      <c r="N177" s="327" t="s">
        <v>74</v>
      </c>
      <c r="O177" s="118">
        <v>1.68</v>
      </c>
      <c r="P177" s="119"/>
      <c r="Q177" s="99"/>
      <c r="R177" s="314">
        <f t="shared" si="29"/>
        <v>7946400</v>
      </c>
      <c r="S177" s="314">
        <f t="shared" si="32"/>
        <v>0</v>
      </c>
      <c r="T177" s="314">
        <f t="shared" si="33"/>
        <v>0</v>
      </c>
      <c r="U177" s="314">
        <f t="shared" si="23"/>
        <v>7946400</v>
      </c>
      <c r="V177" s="314">
        <f>+VLOOKUP(A177,[2]Sheet1!$B$11:$J$400,9,0)</f>
        <v>6988800</v>
      </c>
      <c r="W177" s="315" t="s">
        <v>1653</v>
      </c>
      <c r="X177" s="99" t="s">
        <v>1168</v>
      </c>
      <c r="Y177" s="99" t="str">
        <f>+VLOOKUP(A177,[3]Sheet1!$B$11:$I$388,8,0)</f>
        <v>60 - 040</v>
      </c>
      <c r="Z177" s="99" t="s">
        <v>1795</v>
      </c>
      <c r="AA177" s="99" t="s">
        <v>2845</v>
      </c>
      <c r="AB177" s="100">
        <v>2641522174</v>
      </c>
      <c r="AC177" s="99">
        <f>+VALUE(AB177:AB546)</f>
        <v>2641522174</v>
      </c>
      <c r="AD177" s="201" t="s">
        <v>513</v>
      </c>
      <c r="AE177" s="99" t="s">
        <v>2427</v>
      </c>
      <c r="AF177" s="99" t="s">
        <v>1173</v>
      </c>
      <c r="AG177" s="316" t="s">
        <v>1174</v>
      </c>
      <c r="AH177" s="251"/>
      <c r="AI177" s="251"/>
      <c r="AJ177" s="251" t="s">
        <v>3635</v>
      </c>
      <c r="AK177" s="251"/>
      <c r="AL177" s="251"/>
      <c r="AM177" s="251"/>
      <c r="AN177" s="251"/>
      <c r="AO177" s="251"/>
      <c r="AP177" s="251"/>
      <c r="AQ177" s="251"/>
      <c r="AR177" s="251"/>
      <c r="AS177" s="251" t="s">
        <v>2252</v>
      </c>
      <c r="AT177" s="251" t="s">
        <v>3490</v>
      </c>
      <c r="AU177" s="379"/>
      <c r="AV177" s="380"/>
    </row>
    <row r="178" spans="1:56" x14ac:dyDescent="0.25">
      <c r="A178" s="355" t="s">
        <v>175</v>
      </c>
      <c r="B178" s="393" t="s">
        <v>3542</v>
      </c>
      <c r="C178" s="100" t="s">
        <v>383</v>
      </c>
      <c r="D178" s="97">
        <v>32281</v>
      </c>
      <c r="E178" s="97">
        <f t="shared" si="31"/>
        <v>53100</v>
      </c>
      <c r="F178" s="97">
        <f t="shared" si="27"/>
        <v>53114</v>
      </c>
      <c r="G178" s="97">
        <v>51349</v>
      </c>
      <c r="H178" s="97">
        <v>41214</v>
      </c>
      <c r="I178" s="206" t="s">
        <v>2537</v>
      </c>
      <c r="J178" s="207" t="s">
        <v>287</v>
      </c>
      <c r="K178" s="118" t="s">
        <v>281</v>
      </c>
      <c r="L178" s="97">
        <v>42309</v>
      </c>
      <c r="M178" s="204"/>
      <c r="N178" s="341" t="s">
        <v>76</v>
      </c>
      <c r="O178" s="118">
        <v>1.58</v>
      </c>
      <c r="P178" s="119"/>
      <c r="Q178" s="99"/>
      <c r="R178" s="314">
        <f t="shared" si="29"/>
        <v>7473400</v>
      </c>
      <c r="S178" s="314">
        <f t="shared" si="32"/>
        <v>0</v>
      </c>
      <c r="T178" s="314">
        <f t="shared" si="33"/>
        <v>0</v>
      </c>
      <c r="U178" s="314">
        <f t="shared" si="23"/>
        <v>7473400</v>
      </c>
      <c r="V178" s="314">
        <f>+VLOOKUP(A178,[2]Sheet1!$B$11:$J$400,9,0)</f>
        <v>6572800</v>
      </c>
      <c r="W178" s="315" t="s">
        <v>1654</v>
      </c>
      <c r="X178" s="99" t="s">
        <v>1175</v>
      </c>
      <c r="Y178" s="99" t="str">
        <f>+VLOOKUP(A178,[3]Sheet1!$B$11:$I$388,8,0)</f>
        <v>60 - 040</v>
      </c>
      <c r="Z178" s="99" t="s">
        <v>1795</v>
      </c>
      <c r="AA178" s="99" t="s">
        <v>2846</v>
      </c>
      <c r="AB178" s="100" t="s">
        <v>2446</v>
      </c>
      <c r="AC178" s="99">
        <f t="shared" ref="AC178:AC183" si="34">+VALUE(AB178:AB548)</f>
        <v>261110988</v>
      </c>
      <c r="AD178" s="99" t="s">
        <v>800</v>
      </c>
      <c r="AE178" s="99" t="s">
        <v>2427</v>
      </c>
      <c r="AF178" s="99" t="s">
        <v>1176</v>
      </c>
      <c r="AG178" s="316" t="s">
        <v>945</v>
      </c>
      <c r="AH178" s="251"/>
      <c r="AI178" s="251" t="s">
        <v>3577</v>
      </c>
      <c r="AJ178" s="251"/>
      <c r="AK178" s="251"/>
      <c r="AL178" s="251"/>
      <c r="AM178" s="251"/>
      <c r="AN178" s="251"/>
      <c r="AO178" s="251"/>
      <c r="AP178" s="251"/>
      <c r="AQ178" s="251"/>
      <c r="AR178" s="251"/>
      <c r="AS178" s="251" t="s">
        <v>2253</v>
      </c>
      <c r="AT178" s="251" t="s">
        <v>3490</v>
      </c>
      <c r="AU178" s="379"/>
      <c r="AV178" s="380"/>
    </row>
    <row r="179" spans="1:56" x14ac:dyDescent="0.25">
      <c r="A179" s="357" t="s">
        <v>176</v>
      </c>
      <c r="B179" s="393" t="s">
        <v>3542</v>
      </c>
      <c r="C179" s="100" t="s">
        <v>384</v>
      </c>
      <c r="D179" s="97">
        <v>26305</v>
      </c>
      <c r="E179" s="97">
        <f t="shared" si="31"/>
        <v>47125</v>
      </c>
      <c r="F179" s="97">
        <f t="shared" si="27"/>
        <v>47150</v>
      </c>
      <c r="G179" s="97">
        <v>46357</v>
      </c>
      <c r="H179" s="97">
        <v>34213</v>
      </c>
      <c r="I179" s="206" t="s">
        <v>2537</v>
      </c>
      <c r="J179" s="207" t="s">
        <v>287</v>
      </c>
      <c r="K179" s="118" t="s">
        <v>283</v>
      </c>
      <c r="L179" s="97">
        <v>39264</v>
      </c>
      <c r="M179" s="204"/>
      <c r="N179" s="238" t="s">
        <v>74</v>
      </c>
      <c r="O179" s="118">
        <v>1.68</v>
      </c>
      <c r="P179" s="119">
        <v>0.04</v>
      </c>
      <c r="Q179" s="99"/>
      <c r="R179" s="314">
        <f t="shared" si="29"/>
        <v>7946400</v>
      </c>
      <c r="S179" s="314">
        <f t="shared" si="32"/>
        <v>176400</v>
      </c>
      <c r="T179" s="314">
        <f t="shared" si="33"/>
        <v>0</v>
      </c>
      <c r="U179" s="314">
        <f t="shared" si="23"/>
        <v>8122800</v>
      </c>
      <c r="V179" s="314">
        <f>+VLOOKUP(A179,[2]Sheet1!$B$11:$J$400,9,0)</f>
        <v>7155200</v>
      </c>
      <c r="W179" s="315" t="s">
        <v>1655</v>
      </c>
      <c r="X179" s="99" t="s">
        <v>1177</v>
      </c>
      <c r="Y179" s="99" t="str">
        <f>+VLOOKUP(A179,[3]Sheet1!$B$11:$I$388,8,0)</f>
        <v>60 - 099</v>
      </c>
      <c r="Z179" s="99" t="s">
        <v>1797</v>
      </c>
      <c r="AA179" s="99" t="s">
        <v>2847</v>
      </c>
      <c r="AB179" s="100" t="s">
        <v>2447</v>
      </c>
      <c r="AC179" s="99">
        <f t="shared" si="34"/>
        <v>261330800</v>
      </c>
      <c r="AD179" s="201" t="s">
        <v>516</v>
      </c>
      <c r="AE179" s="99" t="s">
        <v>2427</v>
      </c>
      <c r="AF179" s="99" t="s">
        <v>1178</v>
      </c>
      <c r="AG179" s="316" t="s">
        <v>1179</v>
      </c>
      <c r="AH179" s="251"/>
      <c r="AI179" s="251"/>
      <c r="AJ179" s="251"/>
      <c r="AK179" s="251" t="s">
        <v>3610</v>
      </c>
      <c r="AL179" s="251"/>
      <c r="AM179" s="251"/>
      <c r="AN179" s="251"/>
      <c r="AO179" s="251"/>
      <c r="AP179" s="251"/>
      <c r="AQ179" s="251"/>
      <c r="AR179" s="251"/>
      <c r="AS179" s="251" t="s">
        <v>2254</v>
      </c>
      <c r="AT179" s="251" t="s">
        <v>3490</v>
      </c>
      <c r="AU179" s="379"/>
      <c r="AV179" s="380"/>
    </row>
    <row r="180" spans="1:56" x14ac:dyDescent="0.25">
      <c r="A180" s="357" t="s">
        <v>177</v>
      </c>
      <c r="B180" s="393" t="s">
        <v>3542</v>
      </c>
      <c r="C180" s="100" t="s">
        <v>385</v>
      </c>
      <c r="D180" s="97">
        <v>27479</v>
      </c>
      <c r="E180" s="97">
        <f t="shared" si="31"/>
        <v>48299</v>
      </c>
      <c r="F180" s="97">
        <f t="shared" si="27"/>
        <v>48305</v>
      </c>
      <c r="G180" s="97">
        <v>50041</v>
      </c>
      <c r="H180" s="97">
        <v>34608</v>
      </c>
      <c r="I180" s="206" t="s">
        <v>2537</v>
      </c>
      <c r="J180" s="207" t="s">
        <v>287</v>
      </c>
      <c r="K180" s="118" t="s">
        <v>281</v>
      </c>
      <c r="L180" s="97">
        <v>41091</v>
      </c>
      <c r="M180" s="204"/>
      <c r="N180" s="238" t="s">
        <v>74</v>
      </c>
      <c r="O180" s="118">
        <v>1.68</v>
      </c>
      <c r="P180" s="119"/>
      <c r="Q180" s="99"/>
      <c r="R180" s="314">
        <f t="shared" si="29"/>
        <v>7946400</v>
      </c>
      <c r="S180" s="314">
        <f t="shared" si="32"/>
        <v>0</v>
      </c>
      <c r="T180" s="314">
        <f t="shared" si="33"/>
        <v>0</v>
      </c>
      <c r="U180" s="314">
        <f t="shared" si="23"/>
        <v>7946400</v>
      </c>
      <c r="V180" s="314">
        <f>+VLOOKUP(A180,[2]Sheet1!$B$11:$J$400,9,0)</f>
        <v>6988800</v>
      </c>
      <c r="W180" s="315" t="s">
        <v>1656</v>
      </c>
      <c r="X180" s="99" t="s">
        <v>1175</v>
      </c>
      <c r="Y180" s="99" t="str">
        <f>+VLOOKUP(A180,[3]Sheet1!$B$11:$I$388,8,0)</f>
        <v>60 - 040</v>
      </c>
      <c r="Z180" s="99" t="s">
        <v>1797</v>
      </c>
      <c r="AA180" s="99" t="s">
        <v>2848</v>
      </c>
      <c r="AB180" s="100" t="s">
        <v>2448</v>
      </c>
      <c r="AC180" s="99">
        <f t="shared" si="34"/>
        <v>272033073</v>
      </c>
      <c r="AD180" s="99" t="s">
        <v>1181</v>
      </c>
      <c r="AE180" s="99" t="s">
        <v>2427</v>
      </c>
      <c r="AF180" s="99" t="s">
        <v>1182</v>
      </c>
      <c r="AG180" s="316" t="s">
        <v>1849</v>
      </c>
      <c r="AH180" s="251"/>
      <c r="AI180" s="251"/>
      <c r="AJ180" s="251"/>
      <c r="AK180" s="251" t="s">
        <v>3585</v>
      </c>
      <c r="AL180" s="251"/>
      <c r="AM180" s="251"/>
      <c r="AN180" s="251"/>
      <c r="AO180" s="251"/>
      <c r="AP180" s="251"/>
      <c r="AQ180" s="251"/>
      <c r="AR180" s="251"/>
      <c r="AS180" s="251" t="s">
        <v>2255</v>
      </c>
      <c r="AT180" s="251" t="s">
        <v>3490</v>
      </c>
      <c r="AU180" s="379"/>
      <c r="AV180" s="380"/>
    </row>
    <row r="181" spans="1:56" x14ac:dyDescent="0.25">
      <c r="A181" s="355" t="s">
        <v>178</v>
      </c>
      <c r="B181" s="393" t="s">
        <v>3542</v>
      </c>
      <c r="C181" s="100" t="s">
        <v>386</v>
      </c>
      <c r="D181" s="97">
        <v>26237</v>
      </c>
      <c r="E181" s="97">
        <f t="shared" si="31"/>
        <v>47057</v>
      </c>
      <c r="F181" s="97">
        <f t="shared" si="27"/>
        <v>47058</v>
      </c>
      <c r="G181" s="97">
        <v>51622</v>
      </c>
      <c r="H181" s="97">
        <v>36220</v>
      </c>
      <c r="I181" s="206" t="s">
        <v>2537</v>
      </c>
      <c r="J181" s="207" t="s">
        <v>287</v>
      </c>
      <c r="K181" s="118" t="s">
        <v>281</v>
      </c>
      <c r="L181" s="97">
        <v>41821</v>
      </c>
      <c r="M181" s="204"/>
      <c r="N181" s="329" t="s">
        <v>74</v>
      </c>
      <c r="O181" s="118">
        <v>1.68</v>
      </c>
      <c r="P181" s="119"/>
      <c r="Q181" s="99"/>
      <c r="R181" s="314">
        <f t="shared" si="29"/>
        <v>7946400</v>
      </c>
      <c r="S181" s="314">
        <f t="shared" si="32"/>
        <v>0</v>
      </c>
      <c r="T181" s="314">
        <f t="shared" si="33"/>
        <v>0</v>
      </c>
      <c r="U181" s="314">
        <f t="shared" si="23"/>
        <v>7946400</v>
      </c>
      <c r="V181" s="314">
        <f>+VLOOKUP(A181,[2]Sheet1!$B$11:$J$400,9,0)</f>
        <v>6988800</v>
      </c>
      <c r="W181" s="315" t="s">
        <v>1657</v>
      </c>
      <c r="X181" s="99" t="s">
        <v>1177</v>
      </c>
      <c r="Y181" s="99" t="str">
        <f>+VLOOKUP(A181,[3]Sheet1!$B$11:$I$388,8,0)</f>
        <v>60 - 099</v>
      </c>
      <c r="Z181" s="99" t="s">
        <v>1797</v>
      </c>
      <c r="AA181" s="99" t="s">
        <v>2849</v>
      </c>
      <c r="AB181" s="100" t="s">
        <v>2449</v>
      </c>
      <c r="AC181" s="99">
        <f t="shared" si="34"/>
        <v>261139916</v>
      </c>
      <c r="AD181" s="99" t="s">
        <v>1183</v>
      </c>
      <c r="AE181" s="99" t="s">
        <v>2427</v>
      </c>
      <c r="AF181" s="99" t="s">
        <v>1178</v>
      </c>
      <c r="AG181" s="316" t="s">
        <v>1184</v>
      </c>
      <c r="AH181" s="251"/>
      <c r="AI181" s="251"/>
      <c r="AJ181" s="251"/>
      <c r="AK181" s="251" t="s">
        <v>3585</v>
      </c>
      <c r="AL181" s="251"/>
      <c r="AM181" s="251"/>
      <c r="AN181" s="251"/>
      <c r="AO181" s="251"/>
      <c r="AP181" s="251"/>
      <c r="AQ181" s="251"/>
      <c r="AR181" s="251"/>
      <c r="AS181" s="251" t="s">
        <v>2256</v>
      </c>
      <c r="AT181" s="251" t="s">
        <v>3490</v>
      </c>
      <c r="AU181" s="379"/>
      <c r="AV181" s="380"/>
    </row>
    <row r="182" spans="1:56" s="170" customFormat="1" x14ac:dyDescent="0.25">
      <c r="A182" s="359" t="s">
        <v>179</v>
      </c>
      <c r="B182" s="394" t="s">
        <v>3543</v>
      </c>
      <c r="C182" s="209" t="s">
        <v>387</v>
      </c>
      <c r="D182" s="97">
        <v>30307</v>
      </c>
      <c r="E182" s="97">
        <f>+DATE(YEAR(D182)+55,MONTH(D182),DAY(D182))</f>
        <v>50396</v>
      </c>
      <c r="F182" s="97">
        <f t="shared" si="27"/>
        <v>50406</v>
      </c>
      <c r="G182" s="97">
        <v>50952</v>
      </c>
      <c r="H182" s="97">
        <v>39142</v>
      </c>
      <c r="I182" s="206" t="s">
        <v>2537</v>
      </c>
      <c r="J182" s="207" t="s">
        <v>287</v>
      </c>
      <c r="K182" s="118" t="s">
        <v>281</v>
      </c>
      <c r="L182" s="97">
        <v>42309</v>
      </c>
      <c r="M182" s="204"/>
      <c r="N182" s="329" t="s">
        <v>74</v>
      </c>
      <c r="O182" s="118">
        <v>1.5</v>
      </c>
      <c r="P182" s="119"/>
      <c r="Q182" s="99"/>
      <c r="R182" s="314">
        <f t="shared" si="29"/>
        <v>7095000</v>
      </c>
      <c r="S182" s="314">
        <f t="shared" si="32"/>
        <v>0</v>
      </c>
      <c r="T182" s="314">
        <f t="shared" si="33"/>
        <v>0</v>
      </c>
      <c r="U182" s="314">
        <f t="shared" si="23"/>
        <v>7095000</v>
      </c>
      <c r="V182" s="314">
        <f>+VLOOKUP(A182,[2]Sheet1!$B$11:$J$400,9,0)</f>
        <v>6406400</v>
      </c>
      <c r="W182" s="315" t="s">
        <v>1658</v>
      </c>
      <c r="X182" s="99" t="s">
        <v>1185</v>
      </c>
      <c r="Y182" s="99" t="str">
        <f>+VLOOKUP(A182,[3]Sheet1!$B$11:$I$388,8,0)</f>
        <v>79 - 025</v>
      </c>
      <c r="Z182" s="99" t="s">
        <v>1796</v>
      </c>
      <c r="AA182" s="99" t="s">
        <v>2850</v>
      </c>
      <c r="AB182" s="100" t="s">
        <v>2450</v>
      </c>
      <c r="AC182" s="99">
        <f t="shared" si="34"/>
        <v>260919390</v>
      </c>
      <c r="AD182" s="99" t="s">
        <v>1186</v>
      </c>
      <c r="AE182" s="99" t="s">
        <v>2427</v>
      </c>
      <c r="AF182" s="99" t="s">
        <v>1187</v>
      </c>
      <c r="AG182" s="316" t="s">
        <v>1188</v>
      </c>
      <c r="AH182" s="251"/>
      <c r="AI182" s="251"/>
      <c r="AJ182" s="251"/>
      <c r="AK182" s="251" t="s">
        <v>3629</v>
      </c>
      <c r="AL182" s="251"/>
      <c r="AM182" s="251"/>
      <c r="AN182" s="251"/>
      <c r="AO182" s="251"/>
      <c r="AP182" s="251"/>
      <c r="AQ182" s="251"/>
      <c r="AR182" s="251"/>
      <c r="AS182" s="251" t="s">
        <v>2255</v>
      </c>
      <c r="AT182" s="251" t="s">
        <v>3490</v>
      </c>
      <c r="AU182" s="379"/>
      <c r="AV182" s="380"/>
      <c r="AW182" s="55"/>
      <c r="AX182" s="55"/>
      <c r="AY182" s="55"/>
      <c r="AZ182" s="55"/>
      <c r="BA182" s="55"/>
      <c r="BB182" s="55"/>
      <c r="BC182" s="55"/>
      <c r="BD182" s="55"/>
    </row>
    <row r="183" spans="1:56" s="170" customFormat="1" x14ac:dyDescent="0.25">
      <c r="A183" s="359" t="s">
        <v>180</v>
      </c>
      <c r="B183" s="394" t="s">
        <v>3543</v>
      </c>
      <c r="C183" s="209" t="s">
        <v>388</v>
      </c>
      <c r="D183" s="97">
        <v>30955</v>
      </c>
      <c r="E183" s="97">
        <f>+DATE(YEAR(D183)+55,MONTH(D183),DAY(D183))</f>
        <v>51043</v>
      </c>
      <c r="F183" s="97">
        <f t="shared" si="27"/>
        <v>51044</v>
      </c>
      <c r="G183" s="97">
        <v>48122</v>
      </c>
      <c r="H183" s="97">
        <v>39661</v>
      </c>
      <c r="I183" s="206" t="s">
        <v>2537</v>
      </c>
      <c r="J183" s="207" t="s">
        <v>287</v>
      </c>
      <c r="K183" s="118" t="s">
        <v>281</v>
      </c>
      <c r="L183" s="97">
        <v>43405</v>
      </c>
      <c r="M183" s="204"/>
      <c r="N183" s="329" t="s">
        <v>74</v>
      </c>
      <c r="O183" s="118">
        <v>1.5</v>
      </c>
      <c r="P183" s="119"/>
      <c r="Q183" s="99"/>
      <c r="R183" s="314">
        <f t="shared" si="29"/>
        <v>7095000</v>
      </c>
      <c r="S183" s="314">
        <f t="shared" si="32"/>
        <v>0</v>
      </c>
      <c r="T183" s="314">
        <f t="shared" si="33"/>
        <v>0</v>
      </c>
      <c r="U183" s="314">
        <f t="shared" si="23"/>
        <v>7095000</v>
      </c>
      <c r="V183" s="314">
        <f>+VLOOKUP(A183,[2]Sheet1!$B$11:$J$400,9,0)</f>
        <v>6240000</v>
      </c>
      <c r="W183" s="315" t="s">
        <v>1659</v>
      </c>
      <c r="X183" s="99" t="s">
        <v>1180</v>
      </c>
      <c r="Y183" s="99" t="str">
        <f>+VLOOKUP(A183,[3]Sheet1!$B$11:$I$388,8,0)</f>
        <v>60 - 040</v>
      </c>
      <c r="Z183" s="99" t="s">
        <v>1796</v>
      </c>
      <c r="AA183" s="99" t="s">
        <v>2851</v>
      </c>
      <c r="AB183" s="100" t="s">
        <v>2451</v>
      </c>
      <c r="AC183" s="99">
        <f t="shared" si="34"/>
        <v>260924315</v>
      </c>
      <c r="AD183" s="99" t="s">
        <v>791</v>
      </c>
      <c r="AE183" s="99" t="s">
        <v>2427</v>
      </c>
      <c r="AF183" s="99" t="s">
        <v>1189</v>
      </c>
      <c r="AG183" s="316" t="s">
        <v>901</v>
      </c>
      <c r="AH183" s="251"/>
      <c r="AI183" s="251"/>
      <c r="AJ183" s="251"/>
      <c r="AK183" s="251"/>
      <c r="AL183" s="251" t="s">
        <v>3636</v>
      </c>
      <c r="AM183" s="251"/>
      <c r="AN183" s="251"/>
      <c r="AO183" s="251"/>
      <c r="AP183" s="251"/>
      <c r="AQ183" s="251"/>
      <c r="AR183" s="251"/>
      <c r="AS183" s="251" t="s">
        <v>2257</v>
      </c>
      <c r="AT183" s="251" t="s">
        <v>3490</v>
      </c>
      <c r="AU183" s="379"/>
      <c r="AV183" s="380"/>
      <c r="AW183" s="55"/>
      <c r="AX183" s="55"/>
      <c r="AY183" s="55"/>
      <c r="AZ183" s="55"/>
      <c r="BA183" s="55"/>
      <c r="BB183" s="55"/>
      <c r="BC183" s="55"/>
      <c r="BD183" s="55"/>
    </row>
    <row r="184" spans="1:56" s="170" customFormat="1" x14ac:dyDescent="0.25">
      <c r="A184" s="358" t="s">
        <v>182</v>
      </c>
      <c r="B184" s="400" t="s">
        <v>3542</v>
      </c>
      <c r="C184" s="214" t="s">
        <v>391</v>
      </c>
      <c r="D184" s="211">
        <v>26587</v>
      </c>
      <c r="E184" s="97">
        <f>+DATE(YEAR(D184)+57,MONTH(D184),DAY(D184))</f>
        <v>47406</v>
      </c>
      <c r="F184" s="97">
        <f t="shared" si="27"/>
        <v>47423</v>
      </c>
      <c r="G184" s="97">
        <v>50618</v>
      </c>
      <c r="H184" s="211">
        <v>34274</v>
      </c>
      <c r="I184" s="216" t="s">
        <v>732</v>
      </c>
      <c r="J184" s="207" t="s">
        <v>287</v>
      </c>
      <c r="K184" s="118" t="s">
        <v>285</v>
      </c>
      <c r="L184" s="211">
        <v>41456</v>
      </c>
      <c r="M184" s="333"/>
      <c r="N184" s="330" t="s">
        <v>74</v>
      </c>
      <c r="O184" s="207">
        <v>1.68</v>
      </c>
      <c r="P184" s="218"/>
      <c r="Q184" s="213">
        <v>0.1</v>
      </c>
      <c r="R184" s="314">
        <f t="shared" si="29"/>
        <v>7946400</v>
      </c>
      <c r="S184" s="314">
        <f t="shared" si="32"/>
        <v>0</v>
      </c>
      <c r="T184" s="314">
        <f t="shared" si="33"/>
        <v>234000</v>
      </c>
      <c r="U184" s="314">
        <f t="shared" si="23"/>
        <v>8180400</v>
      </c>
      <c r="V184" s="314">
        <f>+VLOOKUP(A184,[2]Sheet1!$B$11:$J$400,9,0)</f>
        <v>7168800</v>
      </c>
      <c r="W184" s="315" t="s">
        <v>1661</v>
      </c>
      <c r="X184" s="213" t="s">
        <v>899</v>
      </c>
      <c r="Y184" s="99" t="str">
        <f>+VLOOKUP(A184,[3]Sheet1!$B$11:$I$388,8,0)</f>
        <v>58 - 001</v>
      </c>
      <c r="Z184" s="213" t="s">
        <v>1787</v>
      </c>
      <c r="AA184" s="99" t="s">
        <v>2853</v>
      </c>
      <c r="AB184" s="214" t="s">
        <v>2453</v>
      </c>
      <c r="AC184" s="99">
        <f>+VALUE(AB184:AB556)</f>
        <v>264044978</v>
      </c>
      <c r="AD184" s="215" t="s">
        <v>523</v>
      </c>
      <c r="AE184" s="213" t="s">
        <v>2427</v>
      </c>
      <c r="AF184" s="213" t="s">
        <v>547</v>
      </c>
      <c r="AG184" s="334" t="s">
        <v>548</v>
      </c>
      <c r="AH184" s="335"/>
      <c r="AI184" s="335"/>
      <c r="AJ184" s="335"/>
      <c r="AK184" s="251" t="s">
        <v>3585</v>
      </c>
      <c r="AL184" s="335"/>
      <c r="AM184" s="335"/>
      <c r="AN184" s="335"/>
      <c r="AO184" s="335"/>
      <c r="AP184" s="335"/>
      <c r="AQ184" s="335"/>
      <c r="AR184" s="335"/>
      <c r="AS184" s="251" t="s">
        <v>2259</v>
      </c>
      <c r="AT184" s="251" t="s">
        <v>3490</v>
      </c>
      <c r="AU184" s="381"/>
      <c r="AV184" s="382"/>
    </row>
    <row r="185" spans="1:56" s="170" customFormat="1" x14ac:dyDescent="0.25">
      <c r="A185" s="358" t="s">
        <v>183</v>
      </c>
      <c r="B185" s="400" t="s">
        <v>3542</v>
      </c>
      <c r="C185" s="214" t="s">
        <v>392</v>
      </c>
      <c r="D185" s="211">
        <v>34293</v>
      </c>
      <c r="E185" s="97">
        <f>+DATE(YEAR(D185)+57,MONTH(D185),DAY(D185))</f>
        <v>55112</v>
      </c>
      <c r="F185" s="97">
        <f t="shared" si="27"/>
        <v>55123</v>
      </c>
      <c r="G185" s="97">
        <v>55123</v>
      </c>
      <c r="H185" s="211">
        <v>41671</v>
      </c>
      <c r="I185" s="216" t="s">
        <v>732</v>
      </c>
      <c r="J185" s="207" t="s">
        <v>287</v>
      </c>
      <c r="K185" s="118" t="s">
        <v>286</v>
      </c>
      <c r="L185" s="211">
        <v>45839</v>
      </c>
      <c r="M185" s="333"/>
      <c r="N185" s="330" t="s">
        <v>76</v>
      </c>
      <c r="O185" s="207">
        <v>1.58</v>
      </c>
      <c r="P185" s="218">
        <v>0.06</v>
      </c>
      <c r="Q185" s="213">
        <v>0.1</v>
      </c>
      <c r="R185" s="314">
        <f t="shared" si="29"/>
        <v>7473400</v>
      </c>
      <c r="S185" s="314">
        <f t="shared" si="32"/>
        <v>264600</v>
      </c>
      <c r="T185" s="314">
        <f t="shared" si="33"/>
        <v>234000</v>
      </c>
      <c r="U185" s="314">
        <f t="shared" si="23"/>
        <v>7972000</v>
      </c>
      <c r="V185" s="314">
        <f>+VLOOKUP(A185,[2]Sheet1!$B$11:$J$400,9,0)</f>
        <v>6544800</v>
      </c>
      <c r="W185" s="315" t="s">
        <v>1662</v>
      </c>
      <c r="X185" s="213" t="s">
        <v>899</v>
      </c>
      <c r="Y185" s="99" t="str">
        <f>+VLOOKUP(A185,[3]Sheet1!$B$11:$I$388,8,0)</f>
        <v>58 - 007</v>
      </c>
      <c r="Z185" s="213" t="s">
        <v>1787</v>
      </c>
      <c r="AA185" s="99" t="s">
        <v>2854</v>
      </c>
      <c r="AB185" s="214" t="s">
        <v>2454</v>
      </c>
      <c r="AC185" s="99">
        <f>+VALUE(AB185:AB557)</f>
        <v>264403923</v>
      </c>
      <c r="AD185" s="213" t="s">
        <v>1193</v>
      </c>
      <c r="AE185" s="213" t="s">
        <v>2427</v>
      </c>
      <c r="AF185" s="213" t="s">
        <v>526</v>
      </c>
      <c r="AG185" s="334" t="s">
        <v>1138</v>
      </c>
      <c r="AH185" s="335"/>
      <c r="AI185" s="335" t="s">
        <v>3591</v>
      </c>
      <c r="AJ185" s="335"/>
      <c r="AK185" s="335"/>
      <c r="AL185" s="335" t="s">
        <v>3592</v>
      </c>
      <c r="AM185" s="335"/>
      <c r="AN185" s="335"/>
      <c r="AO185" s="335"/>
      <c r="AP185" s="335"/>
      <c r="AQ185" s="335"/>
      <c r="AR185" s="335"/>
      <c r="AS185" s="251" t="s">
        <v>2260</v>
      </c>
      <c r="AT185" s="251" t="s">
        <v>3490</v>
      </c>
      <c r="AU185" s="381"/>
      <c r="AV185" s="382"/>
    </row>
    <row r="186" spans="1:56" s="170" customFormat="1" x14ac:dyDescent="0.25">
      <c r="A186" s="358" t="s">
        <v>184</v>
      </c>
      <c r="B186" s="400" t="s">
        <v>3542</v>
      </c>
      <c r="C186" s="214" t="s">
        <v>393</v>
      </c>
      <c r="D186" s="211">
        <v>25730</v>
      </c>
      <c r="E186" s="97">
        <v>46367</v>
      </c>
      <c r="F186" s="97">
        <f t="shared" si="27"/>
        <v>46388</v>
      </c>
      <c r="G186" s="97">
        <v>46388</v>
      </c>
      <c r="H186" s="211">
        <v>32782</v>
      </c>
      <c r="I186" s="216" t="s">
        <v>732</v>
      </c>
      <c r="J186" s="207" t="s">
        <v>287</v>
      </c>
      <c r="K186" s="118" t="s">
        <v>281</v>
      </c>
      <c r="L186" s="211">
        <v>39630</v>
      </c>
      <c r="M186" s="333"/>
      <c r="N186" s="344" t="s">
        <v>74</v>
      </c>
      <c r="O186" s="207">
        <v>1.68</v>
      </c>
      <c r="P186" s="218"/>
      <c r="Q186" s="213">
        <v>0.1</v>
      </c>
      <c r="R186" s="314">
        <f t="shared" si="29"/>
        <v>7946400</v>
      </c>
      <c r="S186" s="314">
        <f t="shared" si="32"/>
        <v>0</v>
      </c>
      <c r="T186" s="314">
        <f t="shared" si="33"/>
        <v>234000</v>
      </c>
      <c r="U186" s="314">
        <f t="shared" si="23"/>
        <v>8180400</v>
      </c>
      <c r="V186" s="314">
        <f>+VLOOKUP(A186,[2]Sheet1!$B$11:$J$400,9,0)</f>
        <v>7168800</v>
      </c>
      <c r="W186" s="315" t="s">
        <v>1663</v>
      </c>
      <c r="X186" s="213" t="s">
        <v>899</v>
      </c>
      <c r="Y186" s="99" t="str">
        <f>+VLOOKUP(A186,[3]Sheet1!$B$11:$I$388,8,0)</f>
        <v>58 - 007</v>
      </c>
      <c r="Z186" s="213" t="s">
        <v>1787</v>
      </c>
      <c r="AA186" s="99" t="s">
        <v>2855</v>
      </c>
      <c r="AB186" s="214" t="s">
        <v>2455</v>
      </c>
      <c r="AC186" s="99">
        <f>+VALUE(AB186:AB558)</f>
        <v>264251099</v>
      </c>
      <c r="AD186" s="213" t="s">
        <v>1194</v>
      </c>
      <c r="AE186" s="213" t="s">
        <v>2427</v>
      </c>
      <c r="AF186" s="213" t="s">
        <v>1195</v>
      </c>
      <c r="AG186" s="334" t="s">
        <v>1847</v>
      </c>
      <c r="AH186" s="335"/>
      <c r="AI186" s="335"/>
      <c r="AJ186" s="335"/>
      <c r="AK186" s="335"/>
      <c r="AL186" s="335" t="s">
        <v>3603</v>
      </c>
      <c r="AM186" s="335"/>
      <c r="AN186" s="335"/>
      <c r="AO186" s="335"/>
      <c r="AP186" s="335"/>
      <c r="AQ186" s="335"/>
      <c r="AR186" s="335"/>
      <c r="AS186" s="251" t="s">
        <v>2261</v>
      </c>
      <c r="AT186" s="251" t="s">
        <v>3490</v>
      </c>
      <c r="AU186" s="381"/>
      <c r="AV186" s="382"/>
    </row>
    <row r="187" spans="1:56" s="170" customFormat="1" x14ac:dyDescent="0.25">
      <c r="A187" s="358" t="s">
        <v>186</v>
      </c>
      <c r="B187" s="400" t="s">
        <v>3542</v>
      </c>
      <c r="C187" s="214" t="s">
        <v>395</v>
      </c>
      <c r="D187" s="211">
        <v>27854</v>
      </c>
      <c r="E187" s="97">
        <f t="shared" ref="E187:E219" si="35">+DATE(YEAR(D187)+57,MONTH(D187),DAY(D187))</f>
        <v>48673</v>
      </c>
      <c r="F187" s="97">
        <f t="shared" si="27"/>
        <v>48700</v>
      </c>
      <c r="G187" s="97">
        <v>48700</v>
      </c>
      <c r="H187" s="211">
        <v>36220</v>
      </c>
      <c r="I187" s="216" t="s">
        <v>732</v>
      </c>
      <c r="J187" s="207" t="s">
        <v>287</v>
      </c>
      <c r="K187" s="118" t="s">
        <v>281</v>
      </c>
      <c r="L187" s="211">
        <v>42979</v>
      </c>
      <c r="M187" s="333"/>
      <c r="N187" s="330" t="s">
        <v>76</v>
      </c>
      <c r="O187" s="207">
        <v>1.58</v>
      </c>
      <c r="P187" s="218"/>
      <c r="Q187" s="213">
        <v>0.1</v>
      </c>
      <c r="R187" s="314">
        <f t="shared" si="29"/>
        <v>7473400</v>
      </c>
      <c r="S187" s="314">
        <f t="shared" si="32"/>
        <v>0</v>
      </c>
      <c r="T187" s="314">
        <f t="shared" si="33"/>
        <v>234000</v>
      </c>
      <c r="U187" s="314">
        <f t="shared" si="23"/>
        <v>7707400</v>
      </c>
      <c r="V187" s="314">
        <f>+VLOOKUP(A187,[2]Sheet1!$B$11:$J$400,9,0)</f>
        <v>6752800</v>
      </c>
      <c r="W187" s="315" t="s">
        <v>1665</v>
      </c>
      <c r="X187" s="213" t="s">
        <v>899</v>
      </c>
      <c r="Y187" s="99" t="str">
        <f>+VLOOKUP(A187,[3]Sheet1!$B$11:$I$388,8,0)</f>
        <v>58 - 007</v>
      </c>
      <c r="Z187" s="213" t="s">
        <v>1787</v>
      </c>
      <c r="AA187" s="99" t="s">
        <v>2857</v>
      </c>
      <c r="AB187" s="214" t="s">
        <v>2457</v>
      </c>
      <c r="AC187" s="99">
        <f>+VALUE(AB187:AB560)</f>
        <v>264041479</v>
      </c>
      <c r="AD187" s="213" t="s">
        <v>1199</v>
      </c>
      <c r="AE187" s="213" t="s">
        <v>2427</v>
      </c>
      <c r="AF187" s="213" t="s">
        <v>1200</v>
      </c>
      <c r="AG187" s="334" t="s">
        <v>548</v>
      </c>
      <c r="AH187" s="335"/>
      <c r="AI187" s="335"/>
      <c r="AJ187" s="335"/>
      <c r="AK187" s="251" t="s">
        <v>3585</v>
      </c>
      <c r="AL187" s="335"/>
      <c r="AM187" s="335"/>
      <c r="AN187" s="335"/>
      <c r="AO187" s="335"/>
      <c r="AP187" s="335"/>
      <c r="AQ187" s="335"/>
      <c r="AR187" s="335"/>
      <c r="AS187" s="251" t="s">
        <v>2263</v>
      </c>
      <c r="AT187" s="251" t="s">
        <v>3490</v>
      </c>
      <c r="AU187" s="381"/>
      <c r="AV187" s="382"/>
    </row>
    <row r="188" spans="1:56" s="170" customFormat="1" x14ac:dyDescent="0.25">
      <c r="A188" s="358" t="s">
        <v>187</v>
      </c>
      <c r="B188" s="400" t="s">
        <v>3542</v>
      </c>
      <c r="C188" s="214" t="s">
        <v>396</v>
      </c>
      <c r="D188" s="211">
        <v>26772</v>
      </c>
      <c r="E188" s="97">
        <f t="shared" si="35"/>
        <v>47591</v>
      </c>
      <c r="F188" s="97">
        <f t="shared" si="27"/>
        <v>47604</v>
      </c>
      <c r="G188" s="97">
        <v>47604</v>
      </c>
      <c r="H188" s="211">
        <v>35186</v>
      </c>
      <c r="I188" s="216" t="s">
        <v>732</v>
      </c>
      <c r="J188" s="207" t="s">
        <v>287</v>
      </c>
      <c r="K188" s="118" t="s">
        <v>281</v>
      </c>
      <c r="L188" s="211">
        <v>39995</v>
      </c>
      <c r="M188" s="333"/>
      <c r="N188" s="344" t="s">
        <v>76</v>
      </c>
      <c r="O188" s="207">
        <v>1.58</v>
      </c>
      <c r="P188" s="218"/>
      <c r="Q188" s="213">
        <v>0.1</v>
      </c>
      <c r="R188" s="314">
        <f t="shared" si="29"/>
        <v>7473400</v>
      </c>
      <c r="S188" s="314">
        <f t="shared" si="32"/>
        <v>0</v>
      </c>
      <c r="T188" s="314">
        <f t="shared" si="33"/>
        <v>234000</v>
      </c>
      <c r="U188" s="314">
        <f t="shared" si="23"/>
        <v>7707400</v>
      </c>
      <c r="V188" s="314">
        <f>+VLOOKUP(A188,[2]Sheet1!$B$11:$J$400,9,0)</f>
        <v>6752800</v>
      </c>
      <c r="W188" s="315" t="s">
        <v>1666</v>
      </c>
      <c r="X188" s="213" t="s">
        <v>899</v>
      </c>
      <c r="Y188" s="99" t="str">
        <f>+VLOOKUP(A188,[3]Sheet1!$B$11:$I$388,8,0)</f>
        <v>58 - 007</v>
      </c>
      <c r="Z188" s="213" t="s">
        <v>1787</v>
      </c>
      <c r="AA188" s="99" t="s">
        <v>2858</v>
      </c>
      <c r="AB188" s="214" t="s">
        <v>2458</v>
      </c>
      <c r="AC188" s="99">
        <f>+VALUE(AB188:AB561)</f>
        <v>264007374</v>
      </c>
      <c r="AD188" s="213" t="s">
        <v>1201</v>
      </c>
      <c r="AE188" s="213" t="s">
        <v>2427</v>
      </c>
      <c r="AF188" s="213" t="s">
        <v>525</v>
      </c>
      <c r="AG188" s="334" t="s">
        <v>1202</v>
      </c>
      <c r="AH188" s="335"/>
      <c r="AI188" s="335"/>
      <c r="AJ188" s="335"/>
      <c r="AK188" s="251" t="s">
        <v>3585</v>
      </c>
      <c r="AL188" s="335"/>
      <c r="AM188" s="335"/>
      <c r="AN188" s="335"/>
      <c r="AO188" s="335"/>
      <c r="AP188" s="335"/>
      <c r="AQ188" s="335"/>
      <c r="AR188" s="335"/>
      <c r="AS188" s="251" t="s">
        <v>2264</v>
      </c>
      <c r="AT188" s="251" t="s">
        <v>3490</v>
      </c>
      <c r="AU188" s="381"/>
      <c r="AV188" s="382"/>
    </row>
    <row r="189" spans="1:56" s="170" customFormat="1" x14ac:dyDescent="0.25">
      <c r="A189" s="364" t="s">
        <v>189</v>
      </c>
      <c r="B189" s="400" t="s">
        <v>3542</v>
      </c>
      <c r="C189" s="214" t="s">
        <v>398</v>
      </c>
      <c r="D189" s="211">
        <v>31785</v>
      </c>
      <c r="E189" s="97">
        <f t="shared" si="35"/>
        <v>52604</v>
      </c>
      <c r="F189" s="97">
        <f t="shared" si="27"/>
        <v>52628</v>
      </c>
      <c r="G189" s="97">
        <v>52628</v>
      </c>
      <c r="H189" s="211">
        <v>39569</v>
      </c>
      <c r="I189" s="216" t="s">
        <v>732</v>
      </c>
      <c r="J189" s="207" t="s">
        <v>287</v>
      </c>
      <c r="K189" s="118" t="s">
        <v>281</v>
      </c>
      <c r="L189" s="211">
        <v>43405</v>
      </c>
      <c r="M189" s="333"/>
      <c r="N189" s="330" t="s">
        <v>71</v>
      </c>
      <c r="O189" s="207">
        <v>1.49</v>
      </c>
      <c r="P189" s="218"/>
      <c r="Q189" s="213">
        <v>0.1</v>
      </c>
      <c r="R189" s="314">
        <f t="shared" si="29"/>
        <v>7047700</v>
      </c>
      <c r="S189" s="314">
        <f t="shared" si="32"/>
        <v>0</v>
      </c>
      <c r="T189" s="314">
        <f t="shared" si="33"/>
        <v>234000</v>
      </c>
      <c r="U189" s="314">
        <f t="shared" si="23"/>
        <v>7281700</v>
      </c>
      <c r="V189" s="314">
        <f>+VLOOKUP(A189,[2]Sheet1!$B$11:$J$400,9,0)</f>
        <v>6378400</v>
      </c>
      <c r="W189" s="315" t="s">
        <v>1668</v>
      </c>
      <c r="X189" s="213" t="s">
        <v>899</v>
      </c>
      <c r="Y189" s="99" t="str">
        <f>+VLOOKUP(A189,[3]Sheet1!$B$11:$I$388,8,0)</f>
        <v>58 - 007</v>
      </c>
      <c r="Z189" s="213" t="s">
        <v>1787</v>
      </c>
      <c r="AA189" s="201" t="s">
        <v>3086</v>
      </c>
      <c r="AB189" s="214" t="s">
        <v>2460</v>
      </c>
      <c r="AC189" s="99">
        <f>+VALUE(AB189:AB563)</f>
        <v>264294694</v>
      </c>
      <c r="AD189" s="213" t="s">
        <v>1205</v>
      </c>
      <c r="AE189" s="213" t="s">
        <v>2427</v>
      </c>
      <c r="AF189" s="213" t="s">
        <v>1206</v>
      </c>
      <c r="AG189" s="334" t="s">
        <v>1207</v>
      </c>
      <c r="AH189" s="335"/>
      <c r="AI189" s="335"/>
      <c r="AJ189" s="335"/>
      <c r="AK189" s="251" t="s">
        <v>3585</v>
      </c>
      <c r="AL189" s="335"/>
      <c r="AM189" s="335"/>
      <c r="AN189" s="335"/>
      <c r="AO189" s="335"/>
      <c r="AP189" s="335"/>
      <c r="AQ189" s="335"/>
      <c r="AR189" s="335"/>
      <c r="AS189" s="251" t="s">
        <v>2266</v>
      </c>
      <c r="AT189" s="251" t="s">
        <v>3490</v>
      </c>
      <c r="AU189" s="381"/>
      <c r="AV189" s="382"/>
    </row>
    <row r="190" spans="1:56" x14ac:dyDescent="0.25">
      <c r="A190" s="358" t="s">
        <v>202</v>
      </c>
      <c r="B190" s="400" t="s">
        <v>3542</v>
      </c>
      <c r="C190" s="214" t="s">
        <v>411</v>
      </c>
      <c r="D190" s="211">
        <v>34696</v>
      </c>
      <c r="E190" s="97">
        <f t="shared" si="35"/>
        <v>55515</v>
      </c>
      <c r="F190" s="97">
        <f t="shared" si="27"/>
        <v>55519</v>
      </c>
      <c r="G190" s="97">
        <v>55519</v>
      </c>
      <c r="H190" s="211">
        <v>42309</v>
      </c>
      <c r="I190" s="216" t="s">
        <v>732</v>
      </c>
      <c r="J190" s="207" t="s">
        <v>287</v>
      </c>
      <c r="K190" s="118" t="s">
        <v>285</v>
      </c>
      <c r="L190" s="211">
        <v>42370</v>
      </c>
      <c r="M190" s="333"/>
      <c r="N190" s="330" t="s">
        <v>71</v>
      </c>
      <c r="O190" s="207">
        <v>1.49</v>
      </c>
      <c r="P190" s="218">
        <v>0.04</v>
      </c>
      <c r="Q190" s="213">
        <v>0.1</v>
      </c>
      <c r="R190" s="314">
        <f t="shared" si="29"/>
        <v>7047700</v>
      </c>
      <c r="S190" s="314">
        <f t="shared" si="32"/>
        <v>176400</v>
      </c>
      <c r="T190" s="314">
        <f t="shared" si="33"/>
        <v>234000</v>
      </c>
      <c r="U190" s="314">
        <f t="shared" si="23"/>
        <v>7458100</v>
      </c>
      <c r="V190" s="314">
        <f>+VLOOKUP(A190,[2]Sheet1!$B$11:$J$400,9,0)</f>
        <v>6378400</v>
      </c>
      <c r="W190" s="315" t="s">
        <v>1682</v>
      </c>
      <c r="X190" s="213" t="s">
        <v>899</v>
      </c>
      <c r="Y190" s="99" t="str">
        <f>+VLOOKUP(A190,[3]Sheet1!$B$11:$I$388,8,0)</f>
        <v>58 - 007</v>
      </c>
      <c r="Z190" s="213" t="s">
        <v>1787</v>
      </c>
      <c r="AA190" s="99" t="s">
        <v>2861</v>
      </c>
      <c r="AB190" s="214" t="s">
        <v>2462</v>
      </c>
      <c r="AC190" s="99">
        <f>+VALUE(AB190:AB565)</f>
        <v>163179761</v>
      </c>
      <c r="AD190" s="213" t="s">
        <v>1237</v>
      </c>
      <c r="AE190" s="213" t="s">
        <v>2427</v>
      </c>
      <c r="AF190" s="213" t="s">
        <v>1238</v>
      </c>
      <c r="AG190" s="334" t="s">
        <v>1239</v>
      </c>
      <c r="AH190" s="335"/>
      <c r="AI190" s="335"/>
      <c r="AJ190" s="335"/>
      <c r="AK190" s="251" t="s">
        <v>3585</v>
      </c>
      <c r="AL190" s="335"/>
      <c r="AM190" s="335"/>
      <c r="AN190" s="335"/>
      <c r="AO190" s="335"/>
      <c r="AP190" s="335"/>
      <c r="AQ190" s="335"/>
      <c r="AR190" s="335"/>
      <c r="AS190" s="251" t="s">
        <v>2268</v>
      </c>
      <c r="AT190" s="251" t="s">
        <v>3490</v>
      </c>
      <c r="AU190" s="381"/>
      <c r="AV190" s="382"/>
      <c r="AW190" s="170"/>
      <c r="AX190" s="170"/>
      <c r="AY190" s="170"/>
      <c r="AZ190" s="170"/>
      <c r="BA190" s="170"/>
      <c r="BB190" s="170"/>
      <c r="BC190" s="170"/>
      <c r="BD190" s="170"/>
    </row>
    <row r="191" spans="1:56" s="170" customFormat="1" x14ac:dyDescent="0.25">
      <c r="A191" s="357" t="s">
        <v>200</v>
      </c>
      <c r="B191" s="400" t="s">
        <v>3542</v>
      </c>
      <c r="C191" s="100" t="s">
        <v>409</v>
      </c>
      <c r="D191" s="97">
        <v>29752</v>
      </c>
      <c r="E191" s="97">
        <f t="shared" si="35"/>
        <v>50571</v>
      </c>
      <c r="F191" s="97">
        <f t="shared" si="27"/>
        <v>50587</v>
      </c>
      <c r="G191" s="97">
        <v>50587</v>
      </c>
      <c r="H191" s="97">
        <v>40787</v>
      </c>
      <c r="I191" s="216" t="s">
        <v>732</v>
      </c>
      <c r="J191" s="207" t="s">
        <v>287</v>
      </c>
      <c r="K191" s="118" t="s">
        <v>281</v>
      </c>
      <c r="L191" s="97">
        <v>45839</v>
      </c>
      <c r="M191" s="204"/>
      <c r="N191" s="344" t="s">
        <v>76</v>
      </c>
      <c r="O191" s="118">
        <v>1.58</v>
      </c>
      <c r="P191" s="119"/>
      <c r="Q191" s="213">
        <v>0.1</v>
      </c>
      <c r="R191" s="314">
        <f t="shared" si="29"/>
        <v>7473400</v>
      </c>
      <c r="S191" s="314">
        <f t="shared" si="32"/>
        <v>0</v>
      </c>
      <c r="T191" s="314">
        <f t="shared" si="33"/>
        <v>234000</v>
      </c>
      <c r="U191" s="314">
        <f t="shared" si="23"/>
        <v>7707400</v>
      </c>
      <c r="V191" s="314">
        <f>+VLOOKUP(A191,[2]Sheet1!$B$11:$J$400,9,0)</f>
        <v>6378400</v>
      </c>
      <c r="W191" s="315" t="s">
        <v>1680</v>
      </c>
      <c r="X191" s="99" t="s">
        <v>1226</v>
      </c>
      <c r="Y191" s="99" t="str">
        <f>+VLOOKUP(A191,[3]Sheet1!$B$11:$I$388,8,0)</f>
        <v>58 - 007</v>
      </c>
      <c r="Z191" s="99" t="s">
        <v>1787</v>
      </c>
      <c r="AA191" s="99" t="s">
        <v>2862</v>
      </c>
      <c r="AB191" s="100" t="s">
        <v>2463</v>
      </c>
      <c r="AC191" s="99">
        <f>+VALUE(AB191:AB566)</f>
        <v>264191329</v>
      </c>
      <c r="AD191" s="99" t="s">
        <v>1233</v>
      </c>
      <c r="AE191" s="99" t="s">
        <v>2427</v>
      </c>
      <c r="AF191" s="99" t="s">
        <v>1151</v>
      </c>
      <c r="AG191" s="316" t="s">
        <v>548</v>
      </c>
      <c r="AH191" s="251"/>
      <c r="AI191" s="251"/>
      <c r="AJ191" s="251"/>
      <c r="AK191" s="251" t="s">
        <v>3585</v>
      </c>
      <c r="AL191" s="251"/>
      <c r="AM191" s="251"/>
      <c r="AN191" s="251"/>
      <c r="AO191" s="251"/>
      <c r="AP191" s="251"/>
      <c r="AQ191" s="251"/>
      <c r="AR191" s="251"/>
      <c r="AS191" s="251" t="s">
        <v>2269</v>
      </c>
      <c r="AT191" s="251" t="s">
        <v>3490</v>
      </c>
      <c r="AU191" s="379"/>
      <c r="AV191" s="380"/>
      <c r="AW191" s="55"/>
      <c r="AX191" s="55"/>
      <c r="AY191" s="55"/>
      <c r="AZ191" s="55"/>
      <c r="BA191" s="55"/>
      <c r="BB191" s="55"/>
      <c r="BC191" s="55"/>
      <c r="BD191" s="55"/>
    </row>
    <row r="192" spans="1:56" x14ac:dyDescent="0.25">
      <c r="A192" s="357" t="s">
        <v>2486</v>
      </c>
      <c r="B192" s="400" t="s">
        <v>3542</v>
      </c>
      <c r="C192" s="100" t="s">
        <v>2487</v>
      </c>
      <c r="D192" s="205">
        <v>32739</v>
      </c>
      <c r="E192" s="97">
        <f t="shared" si="35"/>
        <v>53558</v>
      </c>
      <c r="F192" s="97">
        <f t="shared" si="27"/>
        <v>53571</v>
      </c>
      <c r="G192" s="97">
        <v>53571</v>
      </c>
      <c r="H192" s="97">
        <v>44562</v>
      </c>
      <c r="I192" s="216" t="s">
        <v>732</v>
      </c>
      <c r="J192" s="207" t="s">
        <v>287</v>
      </c>
      <c r="K192" s="118" t="s">
        <v>281</v>
      </c>
      <c r="L192" s="97">
        <v>44562</v>
      </c>
      <c r="M192" s="204"/>
      <c r="N192" s="329" t="s">
        <v>72</v>
      </c>
      <c r="O192" s="118">
        <v>1.41</v>
      </c>
      <c r="P192" s="119"/>
      <c r="Q192" s="213">
        <v>0.1</v>
      </c>
      <c r="R192" s="314">
        <f t="shared" si="29"/>
        <v>6669300</v>
      </c>
      <c r="S192" s="314">
        <f t="shared" si="32"/>
        <v>0</v>
      </c>
      <c r="T192" s="314">
        <f t="shared" si="33"/>
        <v>234000</v>
      </c>
      <c r="U192" s="314">
        <f t="shared" si="23"/>
        <v>6903300</v>
      </c>
      <c r="V192" s="314">
        <f>+VLOOKUP(A192,[2]Sheet1!$B$11:$J$400,9,0)</f>
        <v>6045600</v>
      </c>
      <c r="W192" s="315" t="s">
        <v>2702</v>
      </c>
      <c r="X192" s="99"/>
      <c r="Y192" s="99" t="str">
        <f>+VLOOKUP(A192,[3]Sheet1!$B$11:$I$388,8,0)</f>
        <v>58 - 114</v>
      </c>
      <c r="Z192" s="99" t="s">
        <v>1787</v>
      </c>
      <c r="AA192" s="99" t="s">
        <v>2488</v>
      </c>
      <c r="AB192" s="100" t="s">
        <v>2488</v>
      </c>
      <c r="AC192" s="201" t="s">
        <v>2488</v>
      </c>
      <c r="AD192" s="205" t="s">
        <v>2489</v>
      </c>
      <c r="AE192" s="99" t="s">
        <v>2427</v>
      </c>
      <c r="AF192" s="99"/>
      <c r="AG192" s="316"/>
      <c r="AH192" s="251"/>
      <c r="AI192" s="251"/>
      <c r="AJ192" s="251"/>
      <c r="AK192" s="251" t="s">
        <v>3610</v>
      </c>
      <c r="AL192" s="251"/>
      <c r="AM192" s="251"/>
      <c r="AN192" s="247"/>
      <c r="AO192" s="247"/>
      <c r="AP192" s="247"/>
      <c r="AQ192" s="251"/>
      <c r="AR192" s="247"/>
      <c r="AS192" s="321"/>
      <c r="AT192" s="251" t="s">
        <v>3490</v>
      </c>
      <c r="AU192" s="379"/>
      <c r="AV192" s="380"/>
    </row>
    <row r="193" spans="1:56" x14ac:dyDescent="0.25">
      <c r="A193" s="355" t="s">
        <v>3027</v>
      </c>
      <c r="B193" s="400" t="s">
        <v>3542</v>
      </c>
      <c r="C193" s="100" t="s">
        <v>3028</v>
      </c>
      <c r="D193" s="97">
        <v>34706</v>
      </c>
      <c r="E193" s="97">
        <f t="shared" si="35"/>
        <v>55525</v>
      </c>
      <c r="F193" s="97">
        <f t="shared" si="27"/>
        <v>55550</v>
      </c>
      <c r="G193" s="97">
        <v>55550</v>
      </c>
      <c r="H193" s="97">
        <v>45047</v>
      </c>
      <c r="I193" s="216" t="s">
        <v>732</v>
      </c>
      <c r="J193" s="198" t="s">
        <v>287</v>
      </c>
      <c r="K193" s="118" t="s">
        <v>281</v>
      </c>
      <c r="L193" s="97">
        <v>45047</v>
      </c>
      <c r="M193" s="204"/>
      <c r="N193" s="204" t="s">
        <v>72</v>
      </c>
      <c r="O193" s="118">
        <v>1.41</v>
      </c>
      <c r="P193" s="119"/>
      <c r="Q193" s="213">
        <v>0.1</v>
      </c>
      <c r="R193" s="314">
        <f t="shared" si="29"/>
        <v>6669300</v>
      </c>
      <c r="S193" s="314">
        <f t="shared" si="32"/>
        <v>0</v>
      </c>
      <c r="T193" s="314">
        <f t="shared" si="33"/>
        <v>234000</v>
      </c>
      <c r="U193" s="314">
        <f t="shared" si="23"/>
        <v>6903300</v>
      </c>
      <c r="V193" s="314">
        <f>+VLOOKUP(A193,[2]Sheet1!$B$11:$J$400,9,0)</f>
        <v>6045600</v>
      </c>
      <c r="W193" s="315" t="s">
        <v>3219</v>
      </c>
      <c r="X193" s="99" t="s">
        <v>3384</v>
      </c>
      <c r="Y193" s="99" t="str">
        <f>+VLOOKUP(A193,[3]Sheet1!$B$11:$I$388,8,0)</f>
        <v>58 - 114</v>
      </c>
      <c r="Z193" s="99" t="s">
        <v>1787</v>
      </c>
      <c r="AA193" s="201" t="s">
        <v>3042</v>
      </c>
      <c r="AB193" s="100" t="s">
        <v>3029</v>
      </c>
      <c r="AC193" s="201"/>
      <c r="AD193" s="205" t="s">
        <v>3030</v>
      </c>
      <c r="AE193" s="99" t="s">
        <v>2427</v>
      </c>
      <c r="AF193" s="99" t="s">
        <v>3032</v>
      </c>
      <c r="AG193" s="316"/>
      <c r="AH193" s="251"/>
      <c r="AI193" s="251"/>
      <c r="AJ193" s="251"/>
      <c r="AK193" s="251"/>
      <c r="AL193" s="326" t="s">
        <v>3025</v>
      </c>
      <c r="AM193" s="247">
        <v>45047</v>
      </c>
      <c r="AN193" s="251"/>
      <c r="AO193" s="251"/>
      <c r="AP193" s="251"/>
      <c r="AQ193" s="251"/>
      <c r="AR193" s="251"/>
      <c r="AS193" s="321"/>
      <c r="AT193" s="251" t="s">
        <v>3490</v>
      </c>
      <c r="AU193" s="379"/>
      <c r="AV193" s="380"/>
    </row>
    <row r="194" spans="1:56" x14ac:dyDescent="0.25">
      <c r="A194" s="355" t="s">
        <v>3349</v>
      </c>
      <c r="B194" s="400" t="s">
        <v>3542</v>
      </c>
      <c r="C194" s="100" t="s">
        <v>3350</v>
      </c>
      <c r="D194" s="97">
        <v>38457</v>
      </c>
      <c r="E194" s="97">
        <f t="shared" si="35"/>
        <v>59276</v>
      </c>
      <c r="F194" s="97">
        <f t="shared" si="27"/>
        <v>59292</v>
      </c>
      <c r="G194" s="97">
        <v>59292</v>
      </c>
      <c r="H194" s="97">
        <v>45717</v>
      </c>
      <c r="I194" s="216" t="s">
        <v>732</v>
      </c>
      <c r="J194" s="198" t="s">
        <v>287</v>
      </c>
      <c r="K194" s="118" t="s">
        <v>281</v>
      </c>
      <c r="L194" s="97">
        <v>45717</v>
      </c>
      <c r="M194" s="204" t="s">
        <v>3438</v>
      </c>
      <c r="N194" s="204" t="s">
        <v>73</v>
      </c>
      <c r="O194" s="118">
        <v>1.33</v>
      </c>
      <c r="P194" s="119"/>
      <c r="Q194" s="213">
        <v>0.1</v>
      </c>
      <c r="R194" s="314">
        <f t="shared" si="29"/>
        <v>6290900</v>
      </c>
      <c r="S194" s="314">
        <f t="shared" si="32"/>
        <v>0</v>
      </c>
      <c r="T194" s="314">
        <f t="shared" si="33"/>
        <v>234000</v>
      </c>
      <c r="U194" s="314">
        <f t="shared" si="23"/>
        <v>6524900</v>
      </c>
      <c r="V194" s="314"/>
      <c r="W194" s="319">
        <v>5820075656</v>
      </c>
      <c r="X194" s="99" t="s">
        <v>3256</v>
      </c>
      <c r="Y194" s="99"/>
      <c r="Z194" s="99" t="s">
        <v>1787</v>
      </c>
      <c r="AA194" s="223" t="s">
        <v>3351</v>
      </c>
      <c r="AB194" s="100"/>
      <c r="AC194" s="201"/>
      <c r="AD194" s="261">
        <v>44305</v>
      </c>
      <c r="AE194" s="99" t="s">
        <v>2427</v>
      </c>
      <c r="AF194" s="99" t="s">
        <v>3352</v>
      </c>
      <c r="AG194" s="316"/>
      <c r="AH194" s="251"/>
      <c r="AI194" s="251"/>
      <c r="AJ194" s="251"/>
      <c r="AK194" s="251"/>
      <c r="AL194" s="326" t="s">
        <v>3025</v>
      </c>
      <c r="AM194" s="247">
        <v>45689</v>
      </c>
      <c r="AN194" s="251"/>
      <c r="AO194" s="247">
        <v>45717</v>
      </c>
      <c r="AP194" s="251"/>
      <c r="AQ194" s="251"/>
      <c r="AR194" s="251"/>
      <c r="AS194" s="321"/>
      <c r="AT194" s="251" t="s">
        <v>3490</v>
      </c>
      <c r="AU194" s="379"/>
      <c r="AV194" s="380"/>
    </row>
    <row r="195" spans="1:56" x14ac:dyDescent="0.25">
      <c r="A195" s="355" t="s">
        <v>3415</v>
      </c>
      <c r="B195" s="400" t="s">
        <v>3542</v>
      </c>
      <c r="C195" s="100" t="s">
        <v>3416</v>
      </c>
      <c r="D195" s="97">
        <v>34058</v>
      </c>
      <c r="E195" s="97">
        <f t="shared" si="35"/>
        <v>54877</v>
      </c>
      <c r="F195" s="97">
        <f t="shared" si="27"/>
        <v>54879</v>
      </c>
      <c r="G195" s="97">
        <v>54879</v>
      </c>
      <c r="H195" s="97">
        <v>45839</v>
      </c>
      <c r="I195" s="216" t="s">
        <v>732</v>
      </c>
      <c r="J195" s="198" t="s">
        <v>287</v>
      </c>
      <c r="K195" s="118" t="s">
        <v>281</v>
      </c>
      <c r="L195" s="97">
        <v>45839</v>
      </c>
      <c r="M195" s="204"/>
      <c r="N195" s="204" t="s">
        <v>72</v>
      </c>
      <c r="O195" s="118">
        <v>1.41</v>
      </c>
      <c r="P195" s="119"/>
      <c r="Q195" s="213">
        <v>0.1</v>
      </c>
      <c r="R195" s="314">
        <f t="shared" si="29"/>
        <v>6669300</v>
      </c>
      <c r="S195" s="314">
        <f t="shared" si="32"/>
        <v>0</v>
      </c>
      <c r="T195" s="314">
        <f t="shared" si="33"/>
        <v>234000</v>
      </c>
      <c r="U195" s="314">
        <f t="shared" si="23"/>
        <v>6903300</v>
      </c>
      <c r="V195" s="314"/>
      <c r="W195" s="319">
        <v>5820886878</v>
      </c>
      <c r="X195" s="99" t="s">
        <v>3432</v>
      </c>
      <c r="Y195" s="99"/>
      <c r="Z195" s="99" t="s">
        <v>1787</v>
      </c>
      <c r="AA195" s="223" t="s">
        <v>3417</v>
      </c>
      <c r="AB195" s="100"/>
      <c r="AC195" s="201"/>
      <c r="AD195" s="261"/>
      <c r="AE195" s="99" t="s">
        <v>2427</v>
      </c>
      <c r="AF195" s="99" t="s">
        <v>3418</v>
      </c>
      <c r="AG195" s="316"/>
      <c r="AH195" s="251"/>
      <c r="AI195" s="251"/>
      <c r="AJ195" s="251"/>
      <c r="AK195" s="251" t="s">
        <v>3637</v>
      </c>
      <c r="AL195" s="326"/>
      <c r="AM195" s="247"/>
      <c r="AN195" s="251"/>
      <c r="AO195" s="247"/>
      <c r="AP195" s="251"/>
      <c r="AQ195" s="251"/>
      <c r="AR195" s="251"/>
      <c r="AS195" s="321"/>
      <c r="AT195" s="251" t="s">
        <v>3490</v>
      </c>
      <c r="AU195" s="379"/>
      <c r="AV195" s="380"/>
    </row>
    <row r="196" spans="1:56" x14ac:dyDescent="0.25">
      <c r="A196" s="355" t="s">
        <v>3471</v>
      </c>
      <c r="B196" s="400" t="s">
        <v>3542</v>
      </c>
      <c r="C196" s="100" t="s">
        <v>3472</v>
      </c>
      <c r="D196" s="97">
        <v>34012</v>
      </c>
      <c r="E196" s="97">
        <f t="shared" si="35"/>
        <v>54831</v>
      </c>
      <c r="F196" s="97">
        <f t="shared" si="27"/>
        <v>54848</v>
      </c>
      <c r="G196" s="97">
        <v>54848</v>
      </c>
      <c r="H196" s="97">
        <v>54848</v>
      </c>
      <c r="I196" s="216" t="s">
        <v>732</v>
      </c>
      <c r="J196" s="198" t="s">
        <v>287</v>
      </c>
      <c r="K196" s="118" t="s">
        <v>281</v>
      </c>
      <c r="L196" s="97" t="s">
        <v>3473</v>
      </c>
      <c r="M196" s="204"/>
      <c r="N196" s="204" t="s">
        <v>72</v>
      </c>
      <c r="O196" s="118">
        <v>1.41</v>
      </c>
      <c r="P196" s="119"/>
      <c r="Q196" s="213">
        <v>0.1</v>
      </c>
      <c r="R196" s="314">
        <f t="shared" si="29"/>
        <v>6669300</v>
      </c>
      <c r="S196" s="314">
        <f>+P196*4410000</f>
        <v>0</v>
      </c>
      <c r="T196" s="314">
        <f t="shared" si="33"/>
        <v>234000</v>
      </c>
      <c r="U196" s="314">
        <f t="shared" si="23"/>
        <v>6903300</v>
      </c>
      <c r="V196" s="314"/>
      <c r="W196" s="319">
        <v>5616010307</v>
      </c>
      <c r="X196" s="99"/>
      <c r="Y196" s="99"/>
      <c r="Z196" s="99" t="s">
        <v>1787</v>
      </c>
      <c r="AA196" s="223" t="s">
        <v>3474</v>
      </c>
      <c r="AB196" s="100"/>
      <c r="AC196" s="201"/>
      <c r="AD196" s="261"/>
      <c r="AE196" s="99" t="s">
        <v>2427</v>
      </c>
      <c r="AF196" s="99" t="s">
        <v>3475</v>
      </c>
      <c r="AG196" s="316"/>
      <c r="AH196" s="251"/>
      <c r="AI196" s="251"/>
      <c r="AJ196" s="251"/>
      <c r="AK196" s="251" t="s">
        <v>3610</v>
      </c>
      <c r="AL196" s="326"/>
      <c r="AM196" s="247"/>
      <c r="AN196" s="251"/>
      <c r="AO196" s="247"/>
      <c r="AP196" s="251"/>
      <c r="AQ196" s="251"/>
      <c r="AR196" s="251"/>
      <c r="AS196" s="322" t="s">
        <v>3476</v>
      </c>
      <c r="AT196" s="251" t="s">
        <v>3490</v>
      </c>
      <c r="AU196" s="379"/>
      <c r="AV196" s="380"/>
    </row>
    <row r="197" spans="1:56" s="170" customFormat="1" x14ac:dyDescent="0.25">
      <c r="A197" s="357" t="s">
        <v>1808</v>
      </c>
      <c r="B197" s="400" t="s">
        <v>3542</v>
      </c>
      <c r="C197" s="100" t="s">
        <v>402</v>
      </c>
      <c r="D197" s="97">
        <v>27421</v>
      </c>
      <c r="E197" s="97">
        <f t="shared" si="35"/>
        <v>48240</v>
      </c>
      <c r="F197" s="97">
        <f t="shared" si="27"/>
        <v>48245</v>
      </c>
      <c r="G197" s="97">
        <v>48245</v>
      </c>
      <c r="H197" s="97">
        <v>36586</v>
      </c>
      <c r="I197" s="206" t="s">
        <v>721</v>
      </c>
      <c r="J197" s="207" t="s">
        <v>287</v>
      </c>
      <c r="K197" s="118" t="s">
        <v>281</v>
      </c>
      <c r="L197" s="97">
        <v>41456</v>
      </c>
      <c r="M197" s="204"/>
      <c r="N197" s="327" t="s">
        <v>76</v>
      </c>
      <c r="O197" s="118">
        <v>1.58</v>
      </c>
      <c r="P197" s="119"/>
      <c r="Q197" s="99">
        <v>0.1</v>
      </c>
      <c r="R197" s="314">
        <f t="shared" si="29"/>
        <v>7473400</v>
      </c>
      <c r="S197" s="314">
        <f t="shared" si="32"/>
        <v>0</v>
      </c>
      <c r="T197" s="314">
        <f t="shared" si="33"/>
        <v>234000</v>
      </c>
      <c r="U197" s="314">
        <f t="shared" ref="U197:U252" si="36">+R197+S197+T197</f>
        <v>7707400</v>
      </c>
      <c r="V197" s="314">
        <f>+VLOOKUP(A197,[2]Sheet1!$B$11:$J$400,9,0)</f>
        <v>6752800</v>
      </c>
      <c r="W197" s="315" t="s">
        <v>1673</v>
      </c>
      <c r="X197" s="99" t="s">
        <v>899</v>
      </c>
      <c r="Y197" s="99" t="str">
        <f>+VLOOKUP(A197,[3]Sheet1!$B$11:$I$388,8,0)</f>
        <v>58 - 114</v>
      </c>
      <c r="Z197" s="99" t="s">
        <v>1787</v>
      </c>
      <c r="AA197" s="99" t="s">
        <v>2865</v>
      </c>
      <c r="AB197" s="100" t="s">
        <v>2466</v>
      </c>
      <c r="AC197" s="99">
        <f>+VALUE(AB197:AB571)</f>
        <v>151125228</v>
      </c>
      <c r="AD197" s="99" t="s">
        <v>1214</v>
      </c>
      <c r="AE197" s="99" t="s">
        <v>2427</v>
      </c>
      <c r="AF197" s="99" t="s">
        <v>1215</v>
      </c>
      <c r="AG197" s="316" t="s">
        <v>1216</v>
      </c>
      <c r="AH197" s="251"/>
      <c r="AI197" s="251"/>
      <c r="AJ197" s="251"/>
      <c r="AK197" s="251" t="s">
        <v>3585</v>
      </c>
      <c r="AL197" s="251"/>
      <c r="AM197" s="251"/>
      <c r="AN197" s="251"/>
      <c r="AO197" s="251"/>
      <c r="AP197" s="251"/>
      <c r="AQ197" s="251"/>
      <c r="AR197" s="251"/>
      <c r="AS197" s="251" t="s">
        <v>2272</v>
      </c>
      <c r="AT197" s="251" t="s">
        <v>3490</v>
      </c>
      <c r="AU197" s="379"/>
      <c r="AV197" s="380"/>
      <c r="AW197" s="55"/>
      <c r="AX197" s="55"/>
      <c r="AY197" s="55"/>
      <c r="AZ197" s="55"/>
      <c r="BA197" s="55"/>
      <c r="BB197" s="55"/>
      <c r="BC197" s="55"/>
      <c r="BD197" s="55"/>
    </row>
    <row r="198" spans="1:56" x14ac:dyDescent="0.25">
      <c r="A198" s="355" t="s">
        <v>194</v>
      </c>
      <c r="B198" s="400" t="s">
        <v>3542</v>
      </c>
      <c r="C198" s="100" t="s">
        <v>403</v>
      </c>
      <c r="D198" s="97">
        <v>30402</v>
      </c>
      <c r="E198" s="97">
        <f t="shared" si="35"/>
        <v>51222</v>
      </c>
      <c r="F198" s="97">
        <f t="shared" si="27"/>
        <v>51227</v>
      </c>
      <c r="G198" s="97">
        <v>51227</v>
      </c>
      <c r="H198" s="97">
        <v>39479</v>
      </c>
      <c r="I198" s="206" t="s">
        <v>721</v>
      </c>
      <c r="J198" s="207" t="s">
        <v>287</v>
      </c>
      <c r="K198" s="118" t="s">
        <v>286</v>
      </c>
      <c r="L198" s="97">
        <v>43405</v>
      </c>
      <c r="M198" s="204"/>
      <c r="N198" s="327" t="s">
        <v>76</v>
      </c>
      <c r="O198" s="118">
        <v>1.58</v>
      </c>
      <c r="P198" s="119">
        <v>0.06</v>
      </c>
      <c r="Q198" s="99">
        <v>0.1</v>
      </c>
      <c r="R198" s="314">
        <f t="shared" si="29"/>
        <v>7473400</v>
      </c>
      <c r="S198" s="314">
        <f t="shared" si="32"/>
        <v>264600</v>
      </c>
      <c r="T198" s="314">
        <f t="shared" si="33"/>
        <v>234000</v>
      </c>
      <c r="U198" s="314">
        <f t="shared" si="36"/>
        <v>7972000</v>
      </c>
      <c r="V198" s="314">
        <f>+VLOOKUP(A198,[2]Sheet1!$B$11:$J$400,9,0)</f>
        <v>7002400</v>
      </c>
      <c r="W198" s="315" t="s">
        <v>1674</v>
      </c>
      <c r="X198" s="99" t="s">
        <v>899</v>
      </c>
      <c r="Y198" s="99" t="str">
        <f>+VLOOKUP(A198,[3]Sheet1!$B$11:$I$388,8,0)</f>
        <v>58 - 114</v>
      </c>
      <c r="Z198" s="99" t="s">
        <v>1787</v>
      </c>
      <c r="AA198" s="99" t="s">
        <v>2866</v>
      </c>
      <c r="AB198" s="100" t="s">
        <v>2467</v>
      </c>
      <c r="AC198" s="99">
        <f>+VALUE(AB198:AB572)</f>
        <v>264270546</v>
      </c>
      <c r="AD198" s="201" t="s">
        <v>528</v>
      </c>
      <c r="AE198" s="99" t="s">
        <v>2427</v>
      </c>
      <c r="AF198" s="99" t="s">
        <v>1218</v>
      </c>
      <c r="AG198" s="316" t="s">
        <v>1219</v>
      </c>
      <c r="AH198" s="251"/>
      <c r="AI198" s="251"/>
      <c r="AJ198" s="251"/>
      <c r="AK198" s="251" t="s">
        <v>3585</v>
      </c>
      <c r="AL198" s="251"/>
      <c r="AM198" s="251"/>
      <c r="AN198" s="251"/>
      <c r="AO198" s="251"/>
      <c r="AP198" s="251"/>
      <c r="AQ198" s="251"/>
      <c r="AR198" s="251"/>
      <c r="AS198" s="251" t="s">
        <v>2273</v>
      </c>
      <c r="AT198" s="251" t="s">
        <v>3490</v>
      </c>
      <c r="AU198" s="379"/>
      <c r="AV198" s="380"/>
    </row>
    <row r="199" spans="1:56" x14ac:dyDescent="0.25">
      <c r="A199" s="366" t="s">
        <v>1980</v>
      </c>
      <c r="B199" s="400" t="s">
        <v>3542</v>
      </c>
      <c r="C199" s="214" t="s">
        <v>1981</v>
      </c>
      <c r="D199" s="215">
        <v>37121</v>
      </c>
      <c r="E199" s="97">
        <f t="shared" si="35"/>
        <v>57940</v>
      </c>
      <c r="F199" s="97">
        <f t="shared" si="27"/>
        <v>57954</v>
      </c>
      <c r="G199" s="97">
        <v>57954</v>
      </c>
      <c r="H199" s="211">
        <v>43709</v>
      </c>
      <c r="I199" s="216" t="s">
        <v>721</v>
      </c>
      <c r="J199" s="207" t="s">
        <v>287</v>
      </c>
      <c r="K199" s="118" t="s">
        <v>281</v>
      </c>
      <c r="L199" s="345" t="s">
        <v>3238</v>
      </c>
      <c r="M199" s="217"/>
      <c r="N199" s="330" t="s">
        <v>71</v>
      </c>
      <c r="O199" s="207">
        <v>1.49</v>
      </c>
      <c r="P199" s="218"/>
      <c r="Q199" s="213">
        <v>0.1</v>
      </c>
      <c r="R199" s="314">
        <f t="shared" si="29"/>
        <v>7047700</v>
      </c>
      <c r="S199" s="314">
        <f t="shared" si="32"/>
        <v>0</v>
      </c>
      <c r="T199" s="314">
        <f t="shared" si="33"/>
        <v>234000</v>
      </c>
      <c r="U199" s="314">
        <f t="shared" si="36"/>
        <v>7281700</v>
      </c>
      <c r="V199" s="314">
        <f>+VLOOKUP(A199,[2]Sheet1!$B$11:$J$400,9,0)</f>
        <v>6045600</v>
      </c>
      <c r="W199" s="315" t="s">
        <v>1994</v>
      </c>
      <c r="X199" s="213" t="s">
        <v>604</v>
      </c>
      <c r="Y199" s="99" t="str">
        <f>+VLOOKUP(A199,[3]Sheet1!$B$11:$I$388,8,0)</f>
        <v>58 - 114</v>
      </c>
      <c r="Z199" s="213" t="s">
        <v>1787</v>
      </c>
      <c r="AA199" s="99" t="s">
        <v>2867</v>
      </c>
      <c r="AB199" s="214" t="s">
        <v>1982</v>
      </c>
      <c r="AC199" s="99">
        <f>+VALUE(AB199:AB575)</f>
        <v>264530231</v>
      </c>
      <c r="AD199" s="215" t="s">
        <v>1983</v>
      </c>
      <c r="AE199" s="213" t="s">
        <v>2427</v>
      </c>
      <c r="AF199" s="213" t="s">
        <v>1984</v>
      </c>
      <c r="AG199" s="334" t="s">
        <v>548</v>
      </c>
      <c r="AH199" s="335"/>
      <c r="AI199" s="335"/>
      <c r="AJ199" s="335"/>
      <c r="AK199" s="251" t="s">
        <v>3610</v>
      </c>
      <c r="AL199" s="335"/>
      <c r="AM199" s="335"/>
      <c r="AN199" s="335"/>
      <c r="AO199" s="335"/>
      <c r="AP199" s="336">
        <v>43709</v>
      </c>
      <c r="AQ199" s="335"/>
      <c r="AR199" s="336">
        <v>44440</v>
      </c>
      <c r="AS199" s="251" t="s">
        <v>2274</v>
      </c>
      <c r="AT199" s="251" t="s">
        <v>3490</v>
      </c>
      <c r="AU199" s="381"/>
      <c r="AV199" s="382"/>
      <c r="AW199" s="170"/>
      <c r="AX199" s="170"/>
      <c r="AY199" s="170"/>
      <c r="AZ199" s="170"/>
      <c r="BA199" s="170"/>
      <c r="BB199" s="170"/>
      <c r="BC199" s="170"/>
      <c r="BD199" s="170"/>
    </row>
    <row r="200" spans="1:56" s="170" customFormat="1" x14ac:dyDescent="0.25">
      <c r="A200" s="358" t="s">
        <v>188</v>
      </c>
      <c r="B200" s="400" t="s">
        <v>3542</v>
      </c>
      <c r="C200" s="214" t="s">
        <v>397</v>
      </c>
      <c r="D200" s="211">
        <v>30144</v>
      </c>
      <c r="E200" s="97">
        <f t="shared" si="35"/>
        <v>50963</v>
      </c>
      <c r="F200" s="97">
        <f>+EOMONTH(E200,0)+1</f>
        <v>50983</v>
      </c>
      <c r="G200" s="97">
        <v>50983</v>
      </c>
      <c r="H200" s="211">
        <v>39479</v>
      </c>
      <c r="I200" s="216" t="s">
        <v>721</v>
      </c>
      <c r="J200" s="207" t="s">
        <v>287</v>
      </c>
      <c r="K200" s="118" t="s">
        <v>285</v>
      </c>
      <c r="L200" s="211">
        <v>43405</v>
      </c>
      <c r="M200" s="333"/>
      <c r="N200" s="344" t="s">
        <v>76</v>
      </c>
      <c r="O200" s="207">
        <v>1.58</v>
      </c>
      <c r="P200" s="218">
        <v>0.04</v>
      </c>
      <c r="Q200" s="213">
        <v>0.1</v>
      </c>
      <c r="R200" s="314">
        <f t="shared" si="29"/>
        <v>7473400</v>
      </c>
      <c r="S200" s="314">
        <f>+P200*4410000</f>
        <v>176400</v>
      </c>
      <c r="T200" s="314">
        <f>+Q200*2340000</f>
        <v>234000</v>
      </c>
      <c r="U200" s="314">
        <f>+R200+S200+T200</f>
        <v>7883800</v>
      </c>
      <c r="V200" s="314">
        <f>+VLOOKUP(A200,[2]Sheet1!$B$11:$J$400,9,0)</f>
        <v>6752800</v>
      </c>
      <c r="W200" s="315" t="s">
        <v>1667</v>
      </c>
      <c r="X200" s="213" t="s">
        <v>899</v>
      </c>
      <c r="Y200" s="99" t="str">
        <f>+VLOOKUP(A200,[3]Sheet1!$B$11:$I$388,8,0)</f>
        <v>58 - 007</v>
      </c>
      <c r="Z200" s="213" t="s">
        <v>1787</v>
      </c>
      <c r="AA200" s="99" t="s">
        <v>2859</v>
      </c>
      <c r="AB200" s="214" t="s">
        <v>2459</v>
      </c>
      <c r="AC200" s="99">
        <f>+VALUE(AB189:AB562)</f>
        <v>260970724</v>
      </c>
      <c r="AD200" s="213" t="s">
        <v>652</v>
      </c>
      <c r="AE200" s="213" t="s">
        <v>2427</v>
      </c>
      <c r="AF200" s="213" t="s">
        <v>1203</v>
      </c>
      <c r="AG200" s="334" t="s">
        <v>1204</v>
      </c>
      <c r="AH200" s="335"/>
      <c r="AI200" s="335"/>
      <c r="AJ200" s="335"/>
      <c r="AK200" s="251" t="s">
        <v>3585</v>
      </c>
      <c r="AL200" s="335"/>
      <c r="AM200" s="335"/>
      <c r="AN200" s="335"/>
      <c r="AO200" s="335"/>
      <c r="AP200" s="335"/>
      <c r="AQ200" s="335"/>
      <c r="AR200" s="335"/>
      <c r="AS200" s="251" t="s">
        <v>2265</v>
      </c>
      <c r="AT200" s="251" t="s">
        <v>3490</v>
      </c>
      <c r="AU200" s="381"/>
      <c r="AV200" s="382"/>
    </row>
    <row r="201" spans="1:56" x14ac:dyDescent="0.25">
      <c r="A201" s="357" t="s">
        <v>1944</v>
      </c>
      <c r="B201" s="400" t="s">
        <v>3542</v>
      </c>
      <c r="C201" s="100" t="s">
        <v>1946</v>
      </c>
      <c r="D201" s="205">
        <v>33734</v>
      </c>
      <c r="E201" s="97">
        <f t="shared" si="35"/>
        <v>54553</v>
      </c>
      <c r="F201" s="97">
        <f t="shared" si="27"/>
        <v>54575</v>
      </c>
      <c r="G201" s="97">
        <v>54575</v>
      </c>
      <c r="H201" s="97">
        <v>43556</v>
      </c>
      <c r="I201" s="216" t="s">
        <v>721</v>
      </c>
      <c r="J201" s="207" t="s">
        <v>287</v>
      </c>
      <c r="K201" s="118" t="s">
        <v>281</v>
      </c>
      <c r="L201" s="97">
        <v>43556</v>
      </c>
      <c r="M201" s="204"/>
      <c r="N201" s="238" t="s">
        <v>71</v>
      </c>
      <c r="O201" s="118">
        <v>1.49</v>
      </c>
      <c r="P201" s="119"/>
      <c r="Q201" s="213">
        <v>0.1</v>
      </c>
      <c r="R201" s="314">
        <f t="shared" si="29"/>
        <v>7047700</v>
      </c>
      <c r="S201" s="314">
        <f t="shared" si="32"/>
        <v>0</v>
      </c>
      <c r="T201" s="314">
        <f t="shared" si="33"/>
        <v>234000</v>
      </c>
      <c r="U201" s="314">
        <f t="shared" si="36"/>
        <v>7281700</v>
      </c>
      <c r="V201" s="314">
        <f>+VLOOKUP(A201,[2]Sheet1!$B$11:$J$400,9,0)</f>
        <v>6378400</v>
      </c>
      <c r="W201" s="315" t="s">
        <v>1953</v>
      </c>
      <c r="X201" s="99" t="s">
        <v>1226</v>
      </c>
      <c r="Y201" s="99" t="str">
        <f>+VLOOKUP(A201,[3]Sheet1!$B$11:$I$388,8,0)</f>
        <v>58 - 114</v>
      </c>
      <c r="Z201" s="99" t="s">
        <v>1787</v>
      </c>
      <c r="AA201" s="99" t="s">
        <v>2869</v>
      </c>
      <c r="AB201" s="100" t="s">
        <v>1947</v>
      </c>
      <c r="AC201" s="99">
        <f>+VALUE(AB201:AB577)</f>
        <v>264439864</v>
      </c>
      <c r="AD201" s="205" t="s">
        <v>1948</v>
      </c>
      <c r="AE201" s="99" t="s">
        <v>2427</v>
      </c>
      <c r="AF201" s="99" t="s">
        <v>1949</v>
      </c>
      <c r="AG201" s="316" t="s">
        <v>1138</v>
      </c>
      <c r="AH201" s="251"/>
      <c r="AI201" s="251"/>
      <c r="AJ201" s="251" t="s">
        <v>3605</v>
      </c>
      <c r="AK201" s="251"/>
      <c r="AL201" s="251"/>
      <c r="AM201" s="251"/>
      <c r="AN201" s="251"/>
      <c r="AO201" s="251"/>
      <c r="AP201" s="247">
        <v>43571</v>
      </c>
      <c r="AQ201" s="251"/>
      <c r="AR201" s="247">
        <v>44302</v>
      </c>
      <c r="AS201" s="251" t="s">
        <v>2276</v>
      </c>
      <c r="AT201" s="251" t="s">
        <v>3490</v>
      </c>
      <c r="AU201" s="379"/>
      <c r="AV201" s="380"/>
    </row>
    <row r="202" spans="1:56" x14ac:dyDescent="0.25">
      <c r="A202" s="355" t="s">
        <v>130</v>
      </c>
      <c r="B202" s="400" t="s">
        <v>3542</v>
      </c>
      <c r="C202" s="100" t="s">
        <v>334</v>
      </c>
      <c r="D202" s="97">
        <v>30935</v>
      </c>
      <c r="E202" s="97">
        <f t="shared" si="35"/>
        <v>51754</v>
      </c>
      <c r="F202" s="97">
        <f t="shared" si="27"/>
        <v>51775</v>
      </c>
      <c r="G202" s="97">
        <v>51775</v>
      </c>
      <c r="H202" s="97">
        <v>41671</v>
      </c>
      <c r="I202" s="216" t="s">
        <v>721</v>
      </c>
      <c r="J202" s="198" t="s">
        <v>287</v>
      </c>
      <c r="K202" s="118" t="s">
        <v>281</v>
      </c>
      <c r="L202" s="97">
        <v>42370</v>
      </c>
      <c r="M202" s="204"/>
      <c r="N202" s="330" t="s">
        <v>71</v>
      </c>
      <c r="O202" s="207">
        <v>1.49</v>
      </c>
      <c r="P202" s="119"/>
      <c r="Q202" s="213">
        <v>0.1</v>
      </c>
      <c r="R202" s="314">
        <f t="shared" si="29"/>
        <v>7047700</v>
      </c>
      <c r="S202" s="314">
        <f t="shared" si="32"/>
        <v>0</v>
      </c>
      <c r="T202" s="314">
        <f t="shared" si="33"/>
        <v>234000</v>
      </c>
      <c r="U202" s="314">
        <f t="shared" si="36"/>
        <v>7281700</v>
      </c>
      <c r="V202" s="314">
        <f>+VLOOKUP(A202,[2]Sheet1!$B$11:$J$400,9,0)</f>
        <v>6378400</v>
      </c>
      <c r="W202" s="315" t="s">
        <v>1604</v>
      </c>
      <c r="X202" s="99" t="s">
        <v>592</v>
      </c>
      <c r="Y202" s="99" t="str">
        <f>+VLOOKUP(A202,[3]Sheet1!$B$11:$I$388,8,0)</f>
        <v>79 - 034</v>
      </c>
      <c r="Z202" s="99" t="s">
        <v>1787</v>
      </c>
      <c r="AA202" s="99" t="s">
        <v>2870</v>
      </c>
      <c r="AB202" s="100" t="s">
        <v>1842</v>
      </c>
      <c r="AC202" s="99">
        <f>+VALUE(AB107:AB481)</f>
        <v>264262751</v>
      </c>
      <c r="AD202" s="99" t="s">
        <v>1031</v>
      </c>
      <c r="AE202" s="99" t="s">
        <v>2427</v>
      </c>
      <c r="AF202" s="99" t="s">
        <v>1032</v>
      </c>
      <c r="AG202" s="316" t="s">
        <v>1843</v>
      </c>
      <c r="AH202" s="251"/>
      <c r="AI202" s="251"/>
      <c r="AJ202" s="251"/>
      <c r="AK202" s="251"/>
      <c r="AL202" s="251" t="s">
        <v>3638</v>
      </c>
      <c r="AM202" s="251"/>
      <c r="AN202" s="251"/>
      <c r="AO202" s="251"/>
      <c r="AP202" s="251"/>
      <c r="AQ202" s="251"/>
      <c r="AR202" s="251"/>
      <c r="AS202" s="321" t="s">
        <v>2201</v>
      </c>
      <c r="AT202" s="251" t="s">
        <v>3490</v>
      </c>
      <c r="AU202" s="379"/>
      <c r="AV202" s="380"/>
    </row>
    <row r="203" spans="1:56" x14ac:dyDescent="0.25">
      <c r="A203" s="355" t="s">
        <v>2519</v>
      </c>
      <c r="B203" s="400" t="s">
        <v>3542</v>
      </c>
      <c r="C203" s="100" t="s">
        <v>2520</v>
      </c>
      <c r="D203" s="97">
        <v>34099</v>
      </c>
      <c r="E203" s="97">
        <f t="shared" si="35"/>
        <v>54918</v>
      </c>
      <c r="F203" s="97">
        <f t="shared" si="27"/>
        <v>54940</v>
      </c>
      <c r="G203" s="97">
        <v>54940</v>
      </c>
      <c r="H203" s="97">
        <v>44621</v>
      </c>
      <c r="I203" s="216" t="s">
        <v>721</v>
      </c>
      <c r="J203" s="198" t="s">
        <v>287</v>
      </c>
      <c r="K203" s="118" t="s">
        <v>281</v>
      </c>
      <c r="L203" s="97">
        <v>42370</v>
      </c>
      <c r="M203" s="204"/>
      <c r="N203" s="204" t="s">
        <v>72</v>
      </c>
      <c r="O203" s="118">
        <v>1.41</v>
      </c>
      <c r="P203" s="119"/>
      <c r="Q203" s="213">
        <v>0.1</v>
      </c>
      <c r="R203" s="314">
        <f t="shared" si="29"/>
        <v>6669300</v>
      </c>
      <c r="S203" s="314">
        <f t="shared" si="32"/>
        <v>0</v>
      </c>
      <c r="T203" s="314">
        <f t="shared" si="33"/>
        <v>234000</v>
      </c>
      <c r="U203" s="314">
        <f t="shared" si="36"/>
        <v>6903300</v>
      </c>
      <c r="V203" s="314">
        <f>+VLOOKUP(A203,[2]Sheet1!$B$11:$J$400,9,0)</f>
        <v>6045600</v>
      </c>
      <c r="W203" s="315" t="s">
        <v>2703</v>
      </c>
      <c r="X203" s="99"/>
      <c r="Y203" s="99" t="str">
        <f>+VLOOKUP(A203,[3]Sheet1!$B$11:$I$388,8,0)</f>
        <v>58 - 114</v>
      </c>
      <c r="Z203" s="99" t="s">
        <v>1787</v>
      </c>
      <c r="AA203" s="99" t="s">
        <v>2521</v>
      </c>
      <c r="AB203" s="100" t="s">
        <v>2521</v>
      </c>
      <c r="AC203" s="201" t="s">
        <v>2521</v>
      </c>
      <c r="AD203" s="201" t="s">
        <v>2522</v>
      </c>
      <c r="AE203" s="99" t="s">
        <v>2427</v>
      </c>
      <c r="AF203" s="99" t="s">
        <v>2523</v>
      </c>
      <c r="AG203" s="316"/>
      <c r="AH203" s="251"/>
      <c r="AI203" s="251"/>
      <c r="AJ203" s="251" t="s">
        <v>3639</v>
      </c>
      <c r="AK203" s="251"/>
      <c r="AL203" s="251"/>
      <c r="AM203" s="251"/>
      <c r="AN203" s="251"/>
      <c r="AO203" s="251"/>
      <c r="AP203" s="251"/>
      <c r="AQ203" s="251"/>
      <c r="AR203" s="251"/>
      <c r="AS203" s="321" t="s">
        <v>2524</v>
      </c>
      <c r="AT203" s="251" t="s">
        <v>3490</v>
      </c>
      <c r="AU203" s="379"/>
      <c r="AV203" s="380"/>
    </row>
    <row r="204" spans="1:56" x14ac:dyDescent="0.25">
      <c r="A204" s="355" t="s">
        <v>3345</v>
      </c>
      <c r="B204" s="400" t="s">
        <v>3542</v>
      </c>
      <c r="C204" s="100" t="s">
        <v>3346</v>
      </c>
      <c r="D204" s="97">
        <v>36946</v>
      </c>
      <c r="E204" s="97">
        <f t="shared" si="35"/>
        <v>57765</v>
      </c>
      <c r="F204" s="97">
        <f>+EOMONTH(E204,0)+1</f>
        <v>57770</v>
      </c>
      <c r="G204" s="97">
        <v>57770</v>
      </c>
      <c r="H204" s="97">
        <v>45717</v>
      </c>
      <c r="I204" s="216" t="s">
        <v>721</v>
      </c>
      <c r="J204" s="198" t="s">
        <v>287</v>
      </c>
      <c r="K204" s="118" t="s">
        <v>281</v>
      </c>
      <c r="L204" s="97">
        <v>45717</v>
      </c>
      <c r="M204" s="204"/>
      <c r="N204" s="204" t="s">
        <v>72</v>
      </c>
      <c r="O204" s="118">
        <v>1.41</v>
      </c>
      <c r="P204" s="119"/>
      <c r="Q204" s="213">
        <v>0.1</v>
      </c>
      <c r="R204" s="314">
        <f t="shared" si="29"/>
        <v>6669300</v>
      </c>
      <c r="S204" s="314">
        <f>+P204*4410000</f>
        <v>0</v>
      </c>
      <c r="T204" s="314">
        <f>+Q204*2340000</f>
        <v>234000</v>
      </c>
      <c r="U204" s="314">
        <f>+R204+S204+T204</f>
        <v>6903300</v>
      </c>
      <c r="V204" s="314"/>
      <c r="W204" s="319">
        <v>5820769820</v>
      </c>
      <c r="X204" s="99" t="s">
        <v>3256</v>
      </c>
      <c r="Y204" s="99" t="e">
        <f>+VLOOKUP(A204,[3]Sheet1!$B$11:$I$388,8,0)</f>
        <v>#N/A</v>
      </c>
      <c r="Z204" s="99" t="s">
        <v>1787</v>
      </c>
      <c r="AA204" s="223" t="s">
        <v>3347</v>
      </c>
      <c r="AB204" s="100"/>
      <c r="AC204" s="201"/>
      <c r="AD204" s="261">
        <v>44557</v>
      </c>
      <c r="AE204" s="99" t="s">
        <v>2427</v>
      </c>
      <c r="AF204" s="99" t="s">
        <v>3348</v>
      </c>
      <c r="AG204" s="316"/>
      <c r="AH204" s="251"/>
      <c r="AI204" s="251"/>
      <c r="AJ204" s="251" t="s">
        <v>3640</v>
      </c>
      <c r="AK204" s="251"/>
      <c r="AL204" s="326"/>
      <c r="AM204" s="247">
        <v>45689</v>
      </c>
      <c r="AN204" s="251"/>
      <c r="AO204" s="247">
        <v>45717</v>
      </c>
      <c r="AP204" s="251"/>
      <c r="AQ204" s="251"/>
      <c r="AR204" s="251"/>
      <c r="AS204" s="321"/>
      <c r="AT204" s="251" t="s">
        <v>3490</v>
      </c>
      <c r="AU204" s="379"/>
      <c r="AV204" s="380"/>
    </row>
    <row r="205" spans="1:56" x14ac:dyDescent="0.25">
      <c r="A205" s="355" t="s">
        <v>3259</v>
      </c>
      <c r="B205" s="400" t="s">
        <v>3542</v>
      </c>
      <c r="C205" s="100" t="s">
        <v>3260</v>
      </c>
      <c r="D205" s="205">
        <v>38730</v>
      </c>
      <c r="E205" s="97">
        <f t="shared" si="35"/>
        <v>59549</v>
      </c>
      <c r="F205" s="97">
        <f t="shared" si="27"/>
        <v>59568</v>
      </c>
      <c r="G205" s="97">
        <v>59568</v>
      </c>
      <c r="H205" s="97">
        <v>45597</v>
      </c>
      <c r="I205" s="216" t="s">
        <v>721</v>
      </c>
      <c r="J205" s="207" t="s">
        <v>287</v>
      </c>
      <c r="K205" s="118" t="s">
        <v>281</v>
      </c>
      <c r="L205" s="97">
        <v>45597</v>
      </c>
      <c r="M205" s="117" t="s">
        <v>3265</v>
      </c>
      <c r="N205" s="329" t="s">
        <v>73</v>
      </c>
      <c r="O205" s="118">
        <v>1.33</v>
      </c>
      <c r="P205" s="119"/>
      <c r="Q205" s="99">
        <v>0.1</v>
      </c>
      <c r="R205" s="314">
        <f t="shared" si="29"/>
        <v>6290900</v>
      </c>
      <c r="S205" s="314">
        <f t="shared" si="32"/>
        <v>0</v>
      </c>
      <c r="T205" s="314">
        <f t="shared" ref="T205:T268" si="37">+Q205*2340000</f>
        <v>234000</v>
      </c>
      <c r="U205" s="314">
        <f t="shared" si="36"/>
        <v>6524900</v>
      </c>
      <c r="V205" s="314"/>
      <c r="W205" s="319">
        <v>5820167557</v>
      </c>
      <c r="X205" s="213" t="s">
        <v>604</v>
      </c>
      <c r="Y205" s="99"/>
      <c r="Z205" s="99" t="s">
        <v>1787</v>
      </c>
      <c r="AA205" s="223" t="s">
        <v>3261</v>
      </c>
      <c r="AB205" s="100"/>
      <c r="AC205" s="99"/>
      <c r="AD205" s="205"/>
      <c r="AE205" s="99" t="s">
        <v>2427</v>
      </c>
      <c r="AF205" s="99" t="s">
        <v>3262</v>
      </c>
      <c r="AG205" s="316"/>
      <c r="AH205" s="251"/>
      <c r="AI205" s="251"/>
      <c r="AJ205" s="251"/>
      <c r="AK205" s="251"/>
      <c r="AL205" s="326" t="s">
        <v>3025</v>
      </c>
      <c r="AM205" s="247">
        <v>45566</v>
      </c>
      <c r="AN205" s="251"/>
      <c r="AO205" s="247">
        <v>45597</v>
      </c>
      <c r="AP205" s="247"/>
      <c r="AQ205" s="247"/>
      <c r="AR205" s="247"/>
      <c r="AS205" s="340" t="s">
        <v>3277</v>
      </c>
      <c r="AT205" s="251" t="s">
        <v>3490</v>
      </c>
      <c r="AU205" s="379"/>
      <c r="AV205" s="380"/>
    </row>
    <row r="206" spans="1:56" x14ac:dyDescent="0.25">
      <c r="A206" s="357" t="s">
        <v>193</v>
      </c>
      <c r="B206" s="400" t="s">
        <v>3542</v>
      </c>
      <c r="C206" s="100" t="s">
        <v>401</v>
      </c>
      <c r="D206" s="211">
        <v>26947</v>
      </c>
      <c r="E206" s="97">
        <f t="shared" si="35"/>
        <v>47766</v>
      </c>
      <c r="F206" s="97">
        <f t="shared" si="27"/>
        <v>47788</v>
      </c>
      <c r="G206" s="97">
        <v>47788</v>
      </c>
      <c r="H206" s="97">
        <v>34851</v>
      </c>
      <c r="I206" s="216" t="s">
        <v>721</v>
      </c>
      <c r="J206" s="207" t="s">
        <v>287</v>
      </c>
      <c r="K206" s="118" t="s">
        <v>281</v>
      </c>
      <c r="L206" s="97">
        <v>40360</v>
      </c>
      <c r="M206" s="204"/>
      <c r="N206" s="238" t="s">
        <v>74</v>
      </c>
      <c r="O206" s="118">
        <v>1.68</v>
      </c>
      <c r="P206" s="119"/>
      <c r="Q206" s="99">
        <v>0.1</v>
      </c>
      <c r="R206" s="314">
        <f t="shared" si="29"/>
        <v>7946400</v>
      </c>
      <c r="S206" s="314">
        <f t="shared" si="32"/>
        <v>0</v>
      </c>
      <c r="T206" s="314">
        <f t="shared" si="37"/>
        <v>234000</v>
      </c>
      <c r="U206" s="314">
        <f t="shared" si="36"/>
        <v>8180400</v>
      </c>
      <c r="V206" s="314">
        <f>+VLOOKUP(A206,[2]Sheet1!$B$11:$J$400,9,0)</f>
        <v>7168800</v>
      </c>
      <c r="W206" s="315" t="s">
        <v>1672</v>
      </c>
      <c r="X206" s="99" t="s">
        <v>899</v>
      </c>
      <c r="Y206" s="99" t="str">
        <f>+VLOOKUP(A206,[3]Sheet1!$B$11:$I$388,8,0)</f>
        <v>60 - 004</v>
      </c>
      <c r="Z206" s="99" t="s">
        <v>1787</v>
      </c>
      <c r="AA206" s="99" t="s">
        <v>2864</v>
      </c>
      <c r="AB206" s="100" t="s">
        <v>2465</v>
      </c>
      <c r="AC206" s="99">
        <f>+VALUE(AB197:AB569)</f>
        <v>261250768</v>
      </c>
      <c r="AD206" s="99" t="s">
        <v>1211</v>
      </c>
      <c r="AE206" s="99" t="s">
        <v>2427</v>
      </c>
      <c r="AF206" s="99" t="s">
        <v>1212</v>
      </c>
      <c r="AG206" s="316" t="s">
        <v>1213</v>
      </c>
      <c r="AH206" s="251"/>
      <c r="AI206" s="251" t="s">
        <v>3597</v>
      </c>
      <c r="AJ206" s="251"/>
      <c r="AK206" s="251"/>
      <c r="AL206" s="251"/>
      <c r="AM206" s="251"/>
      <c r="AN206" s="251"/>
      <c r="AO206" s="251"/>
      <c r="AP206" s="251"/>
      <c r="AQ206" s="251"/>
      <c r="AR206" s="251"/>
      <c r="AS206" s="251" t="s">
        <v>2271</v>
      </c>
      <c r="AT206" s="251" t="s">
        <v>3490</v>
      </c>
      <c r="AU206" s="379"/>
      <c r="AV206" s="380"/>
    </row>
    <row r="207" spans="1:56" x14ac:dyDescent="0.25">
      <c r="A207" s="357" t="s">
        <v>3448</v>
      </c>
      <c r="B207" s="400" t="s">
        <v>3542</v>
      </c>
      <c r="C207" s="100" t="s">
        <v>3411</v>
      </c>
      <c r="D207" s="211">
        <v>35585</v>
      </c>
      <c r="E207" s="97">
        <f t="shared" si="35"/>
        <v>56404</v>
      </c>
      <c r="F207" s="97">
        <f t="shared" si="27"/>
        <v>56431</v>
      </c>
      <c r="G207" s="97">
        <v>56431</v>
      </c>
      <c r="H207" s="97">
        <v>45839</v>
      </c>
      <c r="I207" s="216" t="s">
        <v>721</v>
      </c>
      <c r="J207" s="207" t="s">
        <v>287</v>
      </c>
      <c r="K207" s="118" t="s">
        <v>281</v>
      </c>
      <c r="L207" s="97">
        <v>45839</v>
      </c>
      <c r="M207" s="204"/>
      <c r="N207" s="204" t="s">
        <v>72</v>
      </c>
      <c r="O207" s="118">
        <v>1.41</v>
      </c>
      <c r="P207" s="119"/>
      <c r="Q207" s="99">
        <v>0.1</v>
      </c>
      <c r="R207" s="314">
        <f t="shared" si="29"/>
        <v>6669300</v>
      </c>
      <c r="S207" s="314">
        <f t="shared" si="32"/>
        <v>0</v>
      </c>
      <c r="T207" s="314">
        <f t="shared" si="37"/>
        <v>234000</v>
      </c>
      <c r="U207" s="314">
        <f t="shared" si="36"/>
        <v>6903300</v>
      </c>
      <c r="V207" s="314"/>
      <c r="W207" s="319">
        <v>5820080699</v>
      </c>
      <c r="X207" s="99" t="s">
        <v>3433</v>
      </c>
      <c r="Y207" s="99"/>
      <c r="Z207" s="99" t="s">
        <v>1787</v>
      </c>
      <c r="AA207" s="320" t="s">
        <v>3414</v>
      </c>
      <c r="AB207" s="100"/>
      <c r="AC207" s="99"/>
      <c r="AD207" s="99"/>
      <c r="AE207" s="99" t="s">
        <v>2427</v>
      </c>
      <c r="AF207" s="99" t="s">
        <v>3413</v>
      </c>
      <c r="AG207" s="316"/>
      <c r="AH207" s="251"/>
      <c r="AI207" s="251"/>
      <c r="AJ207" s="251" t="s">
        <v>3641</v>
      </c>
      <c r="AK207" s="251"/>
      <c r="AL207" s="251"/>
      <c r="AM207" s="251"/>
      <c r="AN207" s="251"/>
      <c r="AO207" s="251"/>
      <c r="AP207" s="251"/>
      <c r="AQ207" s="251"/>
      <c r="AR207" s="251"/>
      <c r="AS207" s="251"/>
      <c r="AT207" s="251" t="s">
        <v>3490</v>
      </c>
      <c r="AU207" s="379"/>
      <c r="AV207" s="380"/>
    </row>
    <row r="208" spans="1:56" x14ac:dyDescent="0.25">
      <c r="A208" s="357" t="s">
        <v>203</v>
      </c>
      <c r="B208" s="400" t="s">
        <v>3542</v>
      </c>
      <c r="C208" s="100" t="s">
        <v>544</v>
      </c>
      <c r="D208" s="211">
        <v>35426</v>
      </c>
      <c r="E208" s="97">
        <f t="shared" si="35"/>
        <v>56245</v>
      </c>
      <c r="F208" s="97">
        <f>+EOMONTH(E208,0)+1</f>
        <v>56250</v>
      </c>
      <c r="G208" s="97">
        <v>56250</v>
      </c>
      <c r="H208" s="97">
        <v>43160</v>
      </c>
      <c r="I208" s="206" t="s">
        <v>3298</v>
      </c>
      <c r="J208" s="207" t="s">
        <v>287</v>
      </c>
      <c r="K208" s="118" t="s">
        <v>286</v>
      </c>
      <c r="L208" s="97">
        <v>43160</v>
      </c>
      <c r="M208" s="204"/>
      <c r="N208" s="330" t="s">
        <v>71</v>
      </c>
      <c r="O208" s="207">
        <v>1.49</v>
      </c>
      <c r="P208" s="119">
        <v>0.06</v>
      </c>
      <c r="Q208" s="213">
        <v>0.1</v>
      </c>
      <c r="R208" s="314">
        <f t="shared" si="29"/>
        <v>7047700</v>
      </c>
      <c r="S208" s="314">
        <f>+P208*4410000</f>
        <v>264600</v>
      </c>
      <c r="T208" s="314">
        <f>+Q208*2340000</f>
        <v>234000</v>
      </c>
      <c r="U208" s="314">
        <f>+R208+S208+T208</f>
        <v>7546300</v>
      </c>
      <c r="V208" s="314">
        <f>+VLOOKUP(A208,[2]Sheet1!$B$11:$J$400,9,0)</f>
        <v>6544800</v>
      </c>
      <c r="W208" s="315" t="s">
        <v>1683</v>
      </c>
      <c r="X208" s="99" t="e">
        <v>#N/A</v>
      </c>
      <c r="Y208" s="99" t="str">
        <f>+VLOOKUP(A208,[3]Sheet1!$B$11:$I$388,8,0)</f>
        <v>58 - 114</v>
      </c>
      <c r="Z208" s="99" t="s">
        <v>1787</v>
      </c>
      <c r="AA208" s="99" t="s">
        <v>2868</v>
      </c>
      <c r="AB208" s="100" t="s">
        <v>545</v>
      </c>
      <c r="AC208" s="99">
        <f>+VALUE(AB201:AB576)</f>
        <v>264500513</v>
      </c>
      <c r="AD208" s="201" t="s">
        <v>546</v>
      </c>
      <c r="AE208" s="99" t="s">
        <v>2427</v>
      </c>
      <c r="AF208" s="99" t="s">
        <v>547</v>
      </c>
      <c r="AG208" s="316" t="s">
        <v>548</v>
      </c>
      <c r="AH208" s="251"/>
      <c r="AI208" s="251"/>
      <c r="AJ208" s="251" t="s">
        <v>3620</v>
      </c>
      <c r="AK208" s="251"/>
      <c r="AL208" s="251"/>
      <c r="AM208" s="251"/>
      <c r="AN208" s="251" t="s">
        <v>543</v>
      </c>
      <c r="AO208" s="251"/>
      <c r="AP208" s="251"/>
      <c r="AQ208" s="251"/>
      <c r="AR208" s="251"/>
      <c r="AS208" s="251" t="s">
        <v>2275</v>
      </c>
      <c r="AT208" s="251" t="s">
        <v>3490</v>
      </c>
      <c r="AU208" s="379"/>
      <c r="AV208" s="380"/>
    </row>
    <row r="209" spans="1:48" x14ac:dyDescent="0.25">
      <c r="A209" s="357" t="s">
        <v>589</v>
      </c>
      <c r="B209" s="400" t="s">
        <v>3542</v>
      </c>
      <c r="C209" s="100" t="s">
        <v>1526</v>
      </c>
      <c r="D209" s="97">
        <v>34729</v>
      </c>
      <c r="E209" s="97">
        <f t="shared" si="35"/>
        <v>55548</v>
      </c>
      <c r="F209" s="97">
        <f t="shared" si="27"/>
        <v>55550</v>
      </c>
      <c r="G209" s="97">
        <v>55550</v>
      </c>
      <c r="H209" s="97">
        <v>43191</v>
      </c>
      <c r="I209" s="206" t="s">
        <v>3298</v>
      </c>
      <c r="J209" s="207" t="s">
        <v>287</v>
      </c>
      <c r="K209" s="118" t="s">
        <v>285</v>
      </c>
      <c r="L209" s="97">
        <v>43160</v>
      </c>
      <c r="M209" s="204"/>
      <c r="N209" s="329" t="s">
        <v>71</v>
      </c>
      <c r="O209" s="118">
        <v>1.49</v>
      </c>
      <c r="P209" s="119">
        <v>0.04</v>
      </c>
      <c r="Q209" s="213">
        <v>0.1</v>
      </c>
      <c r="R209" s="314">
        <f t="shared" si="29"/>
        <v>7047700</v>
      </c>
      <c r="S209" s="314">
        <f t="shared" si="32"/>
        <v>176400</v>
      </c>
      <c r="T209" s="314">
        <f t="shared" si="37"/>
        <v>234000</v>
      </c>
      <c r="U209" s="314">
        <f t="shared" si="36"/>
        <v>7458100</v>
      </c>
      <c r="V209" s="314">
        <f>+VLOOKUP(A209,[2]Sheet1!$B$11:$J$400,9,0)</f>
        <v>6558400</v>
      </c>
      <c r="W209" s="315" t="s">
        <v>1685</v>
      </c>
      <c r="X209" s="99"/>
      <c r="Y209" s="99" t="str">
        <f>+VLOOKUP(A209,[3]Sheet1!$B$11:$I$388,8,0)</f>
        <v>60 - 171</v>
      </c>
      <c r="Z209" s="99" t="s">
        <v>1787</v>
      </c>
      <c r="AA209" s="99" t="s">
        <v>2875</v>
      </c>
      <c r="AB209" s="100" t="s">
        <v>1527</v>
      </c>
      <c r="AC209" s="99">
        <f>+VALUE(AB209:AB584)</f>
        <v>261351772</v>
      </c>
      <c r="AD209" s="205" t="s">
        <v>1528</v>
      </c>
      <c r="AE209" s="99" t="s">
        <v>2427</v>
      </c>
      <c r="AF209" s="99" t="s">
        <v>1523</v>
      </c>
      <c r="AG209" s="316"/>
      <c r="AH209" s="251"/>
      <c r="AI209" s="251"/>
      <c r="AJ209" s="251" t="s">
        <v>3639</v>
      </c>
      <c r="AK209" s="251"/>
      <c r="AL209" s="251"/>
      <c r="AM209" s="251"/>
      <c r="AN209" s="251"/>
      <c r="AO209" s="251"/>
      <c r="AP209" s="251"/>
      <c r="AQ209" s="251"/>
      <c r="AR209" s="251"/>
      <c r="AS209" s="251" t="s">
        <v>2283</v>
      </c>
      <c r="AT209" s="251" t="s">
        <v>3490</v>
      </c>
      <c r="AU209" s="379"/>
      <c r="AV209" s="380"/>
    </row>
    <row r="210" spans="1:48" x14ac:dyDescent="0.25">
      <c r="A210" s="357" t="s">
        <v>198</v>
      </c>
      <c r="B210" s="400" t="s">
        <v>3542</v>
      </c>
      <c r="C210" s="100" t="s">
        <v>407</v>
      </c>
      <c r="D210" s="97">
        <v>26163</v>
      </c>
      <c r="E210" s="97">
        <f t="shared" si="35"/>
        <v>46983</v>
      </c>
      <c r="F210" s="97">
        <f t="shared" si="27"/>
        <v>46997</v>
      </c>
      <c r="G210" s="97">
        <v>46997</v>
      </c>
      <c r="H210" s="97">
        <v>32568</v>
      </c>
      <c r="I210" s="206" t="s">
        <v>3298</v>
      </c>
      <c r="J210" s="207" t="s">
        <v>287</v>
      </c>
      <c r="K210" s="118" t="s">
        <v>281</v>
      </c>
      <c r="L210" s="97">
        <v>43405</v>
      </c>
      <c r="M210" s="204"/>
      <c r="N210" s="329" t="s">
        <v>74</v>
      </c>
      <c r="O210" s="118">
        <v>1.68</v>
      </c>
      <c r="P210" s="119"/>
      <c r="Q210" s="213">
        <v>0.1</v>
      </c>
      <c r="R210" s="314">
        <f t="shared" si="29"/>
        <v>7946400</v>
      </c>
      <c r="S210" s="314">
        <f t="shared" si="32"/>
        <v>0</v>
      </c>
      <c r="T210" s="314">
        <f t="shared" si="37"/>
        <v>234000</v>
      </c>
      <c r="U210" s="314">
        <f t="shared" si="36"/>
        <v>8180400</v>
      </c>
      <c r="V210" s="314">
        <f>+VLOOKUP(A210,[2]Sheet1!$B$11:$J$400,9,0)</f>
        <v>7348800</v>
      </c>
      <c r="W210" s="315" t="s">
        <v>1678</v>
      </c>
      <c r="X210" s="99" t="s">
        <v>1220</v>
      </c>
      <c r="Y210" s="99" t="str">
        <f>+VLOOKUP(A210,[3]Sheet1!$B$11:$I$388,8,0)</f>
        <v>60 - 004</v>
      </c>
      <c r="Z210" s="99" t="s">
        <v>1787</v>
      </c>
      <c r="AA210" s="320" t="s">
        <v>3303</v>
      </c>
      <c r="AB210" s="100" t="s">
        <v>2469</v>
      </c>
      <c r="AC210" s="99">
        <f>+VALUE(AB210:AB581)</f>
        <v>261205972</v>
      </c>
      <c r="AD210" s="99" t="s">
        <v>1229</v>
      </c>
      <c r="AE210" s="99" t="s">
        <v>2427</v>
      </c>
      <c r="AF210" s="99" t="s">
        <v>1230</v>
      </c>
      <c r="AG210" s="316" t="s">
        <v>1231</v>
      </c>
      <c r="AH210" s="251"/>
      <c r="AI210" s="251"/>
      <c r="AJ210" s="251"/>
      <c r="AK210" s="251" t="s">
        <v>3585</v>
      </c>
      <c r="AL210" s="251"/>
      <c r="AM210" s="251"/>
      <c r="AN210" s="251"/>
      <c r="AO210" s="251"/>
      <c r="AP210" s="251"/>
      <c r="AQ210" s="251"/>
      <c r="AR210" s="251"/>
      <c r="AS210" s="251" t="s">
        <v>2280</v>
      </c>
      <c r="AT210" s="251" t="s">
        <v>3490</v>
      </c>
      <c r="AU210" s="379"/>
      <c r="AV210" s="380"/>
    </row>
    <row r="211" spans="1:48" x14ac:dyDescent="0.25">
      <c r="A211" s="357" t="s">
        <v>199</v>
      </c>
      <c r="B211" s="400" t="s">
        <v>3542</v>
      </c>
      <c r="C211" s="100" t="s">
        <v>408</v>
      </c>
      <c r="D211" s="97">
        <v>30315</v>
      </c>
      <c r="E211" s="97">
        <f t="shared" si="35"/>
        <v>51134</v>
      </c>
      <c r="F211" s="97">
        <f t="shared" si="27"/>
        <v>51136</v>
      </c>
      <c r="G211" s="97">
        <v>51136</v>
      </c>
      <c r="H211" s="97">
        <v>39234</v>
      </c>
      <c r="I211" s="206" t="s">
        <v>3298</v>
      </c>
      <c r="J211" s="207" t="s">
        <v>287</v>
      </c>
      <c r="K211" s="118" t="s">
        <v>281</v>
      </c>
      <c r="L211" s="97">
        <v>37803</v>
      </c>
      <c r="M211" s="204"/>
      <c r="N211" s="238" t="s">
        <v>76</v>
      </c>
      <c r="O211" s="118">
        <v>1.58</v>
      </c>
      <c r="P211" s="119"/>
      <c r="Q211" s="213">
        <v>0.1</v>
      </c>
      <c r="R211" s="314">
        <f t="shared" si="29"/>
        <v>7473400</v>
      </c>
      <c r="S211" s="314">
        <f t="shared" si="32"/>
        <v>0</v>
      </c>
      <c r="T211" s="314">
        <f t="shared" si="37"/>
        <v>234000</v>
      </c>
      <c r="U211" s="314">
        <f t="shared" si="36"/>
        <v>7707400</v>
      </c>
      <c r="V211" s="314">
        <f>+VLOOKUP(A211,[2]Sheet1!$B$11:$J$400,9,0)</f>
        <v>6932800</v>
      </c>
      <c r="W211" s="315" t="s">
        <v>1679</v>
      </c>
      <c r="X211" s="99" t="s">
        <v>1226</v>
      </c>
      <c r="Y211" s="99" t="str">
        <f>+VLOOKUP(A211,[3]Sheet1!$B$11:$I$388,8,0)</f>
        <v>60 - 004</v>
      </c>
      <c r="Z211" s="99" t="s">
        <v>1787</v>
      </c>
      <c r="AA211" s="99" t="s">
        <v>2873</v>
      </c>
      <c r="AB211" s="100" t="s">
        <v>2470</v>
      </c>
      <c r="AC211" s="99">
        <f>+VALUE(AB211:AB582)</f>
        <v>261518404</v>
      </c>
      <c r="AD211" s="201" t="s">
        <v>530</v>
      </c>
      <c r="AE211" s="99" t="s">
        <v>2427</v>
      </c>
      <c r="AF211" s="99" t="s">
        <v>531</v>
      </c>
      <c r="AG211" s="316" t="s">
        <v>1232</v>
      </c>
      <c r="AH211" s="251"/>
      <c r="AI211" s="251"/>
      <c r="AJ211" s="251"/>
      <c r="AK211" s="251" t="s">
        <v>3615</v>
      </c>
      <c r="AL211" s="251"/>
      <c r="AM211" s="251"/>
      <c r="AN211" s="251"/>
      <c r="AO211" s="251"/>
      <c r="AP211" s="251"/>
      <c r="AQ211" s="251"/>
      <c r="AR211" s="251"/>
      <c r="AS211" s="251" t="s">
        <v>2281</v>
      </c>
      <c r="AT211" s="251" t="s">
        <v>3490</v>
      </c>
      <c r="AU211" s="379"/>
      <c r="AV211" s="380"/>
    </row>
    <row r="212" spans="1:48" x14ac:dyDescent="0.25">
      <c r="A212" s="357" t="s">
        <v>2619</v>
      </c>
      <c r="B212" s="400" t="s">
        <v>3542</v>
      </c>
      <c r="C212" s="100" t="s">
        <v>2620</v>
      </c>
      <c r="D212" s="205">
        <v>37071</v>
      </c>
      <c r="E212" s="97">
        <f t="shared" si="35"/>
        <v>57890</v>
      </c>
      <c r="F212" s="97">
        <f t="shared" si="27"/>
        <v>57892</v>
      </c>
      <c r="G212" s="97">
        <v>57892</v>
      </c>
      <c r="H212" s="97">
        <v>44896</v>
      </c>
      <c r="I212" s="206" t="s">
        <v>3298</v>
      </c>
      <c r="J212" s="207" t="s">
        <v>287</v>
      </c>
      <c r="K212" s="118" t="s">
        <v>281</v>
      </c>
      <c r="L212" s="97">
        <v>44896</v>
      </c>
      <c r="M212" s="204"/>
      <c r="N212" s="329" t="s">
        <v>72</v>
      </c>
      <c r="O212" s="118">
        <v>1.41</v>
      </c>
      <c r="P212" s="119"/>
      <c r="Q212" s="213">
        <v>0.1</v>
      </c>
      <c r="R212" s="314">
        <f t="shared" si="29"/>
        <v>6669300</v>
      </c>
      <c r="S212" s="314">
        <f t="shared" si="32"/>
        <v>0</v>
      </c>
      <c r="T212" s="314">
        <f t="shared" si="37"/>
        <v>234000</v>
      </c>
      <c r="U212" s="314">
        <f t="shared" si="36"/>
        <v>6903300</v>
      </c>
      <c r="V212" s="314">
        <f>+VLOOKUP(A212,[2]Sheet1!$B$11:$J$400,9,0)</f>
        <v>6225600</v>
      </c>
      <c r="W212" s="315" t="s">
        <v>2704</v>
      </c>
      <c r="X212" s="99"/>
      <c r="Y212" s="99" t="str">
        <f>+VLOOKUP(A212,[3]Sheet1!$B$11:$I$388,8,0)</f>
        <v>60 - 171</v>
      </c>
      <c r="Z212" s="99" t="s">
        <v>1787</v>
      </c>
      <c r="AA212" s="99" t="s">
        <v>2621</v>
      </c>
      <c r="AB212" s="100" t="s">
        <v>2621</v>
      </c>
      <c r="AC212" s="99">
        <f>+VALUE(AB212:AB591)</f>
        <v>60201013051</v>
      </c>
      <c r="AD212" s="205" t="s">
        <v>2517</v>
      </c>
      <c r="AE212" s="99" t="s">
        <v>2427</v>
      </c>
      <c r="AF212" s="99" t="s">
        <v>2622</v>
      </c>
      <c r="AG212" s="251" t="s">
        <v>2623</v>
      </c>
      <c r="AH212" s="251"/>
      <c r="AI212" s="251"/>
      <c r="AJ212" s="251"/>
      <c r="AK212" s="251"/>
      <c r="AL212" s="251" t="s">
        <v>3603</v>
      </c>
      <c r="AM212" s="247">
        <v>44896</v>
      </c>
      <c r="AN212" s="251"/>
      <c r="AO212" s="251"/>
      <c r="AP212" s="247">
        <v>44927</v>
      </c>
      <c r="AQ212" s="251"/>
      <c r="AR212" s="247"/>
      <c r="AS212" s="321" t="s">
        <v>2624</v>
      </c>
      <c r="AT212" s="251" t="s">
        <v>3490</v>
      </c>
      <c r="AU212" s="379"/>
      <c r="AV212" s="380"/>
    </row>
    <row r="213" spans="1:48" x14ac:dyDescent="0.25">
      <c r="A213" s="355" t="s">
        <v>3019</v>
      </c>
      <c r="B213" s="400" t="s">
        <v>3542</v>
      </c>
      <c r="C213" s="100" t="s">
        <v>3108</v>
      </c>
      <c r="D213" s="205">
        <v>37341</v>
      </c>
      <c r="E213" s="97">
        <f t="shared" si="35"/>
        <v>58160</v>
      </c>
      <c r="F213" s="97">
        <f t="shared" si="27"/>
        <v>58166</v>
      </c>
      <c r="G213" s="97">
        <v>58166</v>
      </c>
      <c r="H213" s="97">
        <v>45047</v>
      </c>
      <c r="I213" s="206" t="s">
        <v>3298</v>
      </c>
      <c r="J213" s="207" t="s">
        <v>287</v>
      </c>
      <c r="K213" s="118" t="s">
        <v>281</v>
      </c>
      <c r="L213" s="97">
        <v>45047</v>
      </c>
      <c r="M213" s="117"/>
      <c r="N213" s="329" t="s">
        <v>72</v>
      </c>
      <c r="O213" s="118">
        <v>1.41</v>
      </c>
      <c r="P213" s="119"/>
      <c r="Q213" s="213">
        <v>0.1</v>
      </c>
      <c r="R213" s="314">
        <f t="shared" si="29"/>
        <v>6669300</v>
      </c>
      <c r="S213" s="314">
        <f t="shared" si="32"/>
        <v>0</v>
      </c>
      <c r="T213" s="314">
        <f t="shared" si="37"/>
        <v>234000</v>
      </c>
      <c r="U213" s="314">
        <f t="shared" si="36"/>
        <v>6903300</v>
      </c>
      <c r="V213" s="314">
        <f>+VLOOKUP(A213,[2]Sheet1!$B$11:$J$400,9,0)</f>
        <v>6225600</v>
      </c>
      <c r="W213" s="315" t="s">
        <v>3109</v>
      </c>
      <c r="X213" s="99"/>
      <c r="Y213" s="99" t="str">
        <f>+VLOOKUP(A213,[3]Sheet1!$B$11:$I$388,8,0)</f>
        <v>60 - 171</v>
      </c>
      <c r="Z213" s="99" t="s">
        <v>1787</v>
      </c>
      <c r="AA213" s="201" t="s">
        <v>3020</v>
      </c>
      <c r="AB213" s="100"/>
      <c r="AC213" s="99"/>
      <c r="AD213" s="205" t="s">
        <v>3021</v>
      </c>
      <c r="AE213" s="99" t="s">
        <v>2427</v>
      </c>
      <c r="AF213" s="99" t="s">
        <v>3022</v>
      </c>
      <c r="AG213" s="316"/>
      <c r="AH213" s="251"/>
      <c r="AI213" s="251"/>
      <c r="AJ213" s="251" t="s">
        <v>3618</v>
      </c>
      <c r="AK213" s="251"/>
      <c r="AL213" s="251"/>
      <c r="AM213" s="247">
        <v>45047</v>
      </c>
      <c r="AN213" s="251"/>
      <c r="AO213" s="251"/>
      <c r="AP213" s="247"/>
      <c r="AQ213" s="247"/>
      <c r="AR213" s="247"/>
      <c r="AS213" s="321"/>
      <c r="AT213" s="251" t="s">
        <v>3490</v>
      </c>
      <c r="AU213" s="379"/>
      <c r="AV213" s="380"/>
    </row>
    <row r="214" spans="1:48" x14ac:dyDescent="0.25">
      <c r="A214" s="355" t="s">
        <v>3016</v>
      </c>
      <c r="B214" s="400" t="s">
        <v>3542</v>
      </c>
      <c r="C214" s="100" t="s">
        <v>3015</v>
      </c>
      <c r="D214" s="97">
        <v>34812</v>
      </c>
      <c r="E214" s="97">
        <f t="shared" si="35"/>
        <v>55632</v>
      </c>
      <c r="F214" s="97">
        <f t="shared" si="27"/>
        <v>55640</v>
      </c>
      <c r="G214" s="97">
        <v>55640</v>
      </c>
      <c r="H214" s="97">
        <v>45017</v>
      </c>
      <c r="I214" s="206" t="s">
        <v>3298</v>
      </c>
      <c r="J214" s="207" t="s">
        <v>287</v>
      </c>
      <c r="K214" s="118" t="s">
        <v>281</v>
      </c>
      <c r="L214" s="97">
        <v>45017</v>
      </c>
      <c r="M214" s="117"/>
      <c r="N214" s="329" t="s">
        <v>72</v>
      </c>
      <c r="O214" s="118">
        <v>1.41</v>
      </c>
      <c r="P214" s="119"/>
      <c r="Q214" s="213">
        <v>0.1</v>
      </c>
      <c r="R214" s="314">
        <f t="shared" si="29"/>
        <v>6669300</v>
      </c>
      <c r="S214" s="314">
        <f t="shared" si="32"/>
        <v>0</v>
      </c>
      <c r="T214" s="314">
        <f t="shared" si="37"/>
        <v>234000</v>
      </c>
      <c r="U214" s="314">
        <f t="shared" si="36"/>
        <v>6903300</v>
      </c>
      <c r="V214" s="314">
        <f>+VLOOKUP(A214,[2]Sheet1!$B$11:$J$400,9,0)</f>
        <v>6225600</v>
      </c>
      <c r="W214" s="315" t="s">
        <v>3220</v>
      </c>
      <c r="X214" s="99"/>
      <c r="Y214" s="99" t="str">
        <f>+VLOOKUP(A214,[3]Sheet1!$B$11:$I$388,8,0)</f>
        <v>60 - 004</v>
      </c>
      <c r="Z214" s="99" t="s">
        <v>1787</v>
      </c>
      <c r="AA214" s="201" t="s">
        <v>3014</v>
      </c>
      <c r="AB214" s="100"/>
      <c r="AC214" s="99"/>
      <c r="AD214" s="205" t="s">
        <v>3013</v>
      </c>
      <c r="AE214" s="99" t="s">
        <v>2427</v>
      </c>
      <c r="AF214" s="99" t="s">
        <v>3012</v>
      </c>
      <c r="AG214" s="316">
        <v>22978</v>
      </c>
      <c r="AH214" s="251"/>
      <c r="AI214" s="251"/>
      <c r="AJ214" s="251"/>
      <c r="AK214" s="251"/>
      <c r="AL214" s="326" t="s">
        <v>3025</v>
      </c>
      <c r="AM214" s="247">
        <v>45017</v>
      </c>
      <c r="AN214" s="251"/>
      <c r="AO214" s="251"/>
      <c r="AP214" s="247">
        <v>45047</v>
      </c>
      <c r="AQ214" s="247"/>
      <c r="AR214" s="247"/>
      <c r="AS214" s="321" t="s">
        <v>3017</v>
      </c>
      <c r="AT214" s="251" t="s">
        <v>3490</v>
      </c>
      <c r="AU214" s="379"/>
      <c r="AV214" s="380"/>
    </row>
    <row r="215" spans="1:48" x14ac:dyDescent="0.25">
      <c r="A215" s="355" t="s">
        <v>3252</v>
      </c>
      <c r="B215" s="400" t="s">
        <v>3542</v>
      </c>
      <c r="C215" s="100" t="s">
        <v>3199</v>
      </c>
      <c r="D215" s="205">
        <v>37570</v>
      </c>
      <c r="E215" s="97">
        <f t="shared" si="35"/>
        <v>58389</v>
      </c>
      <c r="F215" s="97">
        <f t="shared" si="27"/>
        <v>58410</v>
      </c>
      <c r="G215" s="97">
        <v>58441</v>
      </c>
      <c r="H215" s="97">
        <v>45566</v>
      </c>
      <c r="I215" s="206" t="s">
        <v>3298</v>
      </c>
      <c r="J215" s="207" t="s">
        <v>287</v>
      </c>
      <c r="K215" s="118" t="s">
        <v>281</v>
      </c>
      <c r="L215" s="97">
        <v>45566</v>
      </c>
      <c r="M215" s="117" t="s">
        <v>3437</v>
      </c>
      <c r="N215" s="329" t="s">
        <v>73</v>
      </c>
      <c r="O215" s="118">
        <v>1.33</v>
      </c>
      <c r="P215" s="119"/>
      <c r="Q215" s="213">
        <v>0.1</v>
      </c>
      <c r="R215" s="314">
        <f t="shared" si="29"/>
        <v>6290900</v>
      </c>
      <c r="S215" s="314">
        <f t="shared" si="32"/>
        <v>0</v>
      </c>
      <c r="T215" s="314">
        <f t="shared" si="37"/>
        <v>234000</v>
      </c>
      <c r="U215" s="314">
        <f t="shared" si="36"/>
        <v>6524900</v>
      </c>
      <c r="V215" s="314"/>
      <c r="W215" s="319">
        <v>5820084063</v>
      </c>
      <c r="X215" s="99" t="s">
        <v>3257</v>
      </c>
      <c r="Y215" s="99"/>
      <c r="Z215" s="99" t="s">
        <v>1787</v>
      </c>
      <c r="AA215" s="223" t="s">
        <v>3253</v>
      </c>
      <c r="AB215" s="100"/>
      <c r="AC215" s="99"/>
      <c r="AD215" s="205">
        <v>45091</v>
      </c>
      <c r="AE215" s="99" t="s">
        <v>2427</v>
      </c>
      <c r="AF215" s="99" t="s">
        <v>3254</v>
      </c>
      <c r="AG215" s="316"/>
      <c r="AH215" s="251"/>
      <c r="AI215" s="251"/>
      <c r="AJ215" s="251"/>
      <c r="AK215" s="251"/>
      <c r="AL215" s="326" t="s">
        <v>3025</v>
      </c>
      <c r="AM215" s="247"/>
      <c r="AN215" s="251"/>
      <c r="AO215" s="247"/>
      <c r="AP215" s="247"/>
      <c r="AQ215" s="247"/>
      <c r="AR215" s="247"/>
      <c r="AS215" s="321"/>
      <c r="AT215" s="251" t="s">
        <v>3490</v>
      </c>
      <c r="AU215" s="379"/>
      <c r="AV215" s="380"/>
    </row>
    <row r="216" spans="1:48" x14ac:dyDescent="0.25">
      <c r="A216" s="355" t="s">
        <v>3405</v>
      </c>
      <c r="B216" s="400" t="s">
        <v>3542</v>
      </c>
      <c r="C216" s="100" t="s">
        <v>3406</v>
      </c>
      <c r="D216" s="205">
        <v>37196</v>
      </c>
      <c r="E216" s="97">
        <f t="shared" si="35"/>
        <v>58015</v>
      </c>
      <c r="F216" s="97">
        <f t="shared" si="27"/>
        <v>58045</v>
      </c>
      <c r="G216" s="97">
        <v>58045</v>
      </c>
      <c r="H216" s="97">
        <v>45809</v>
      </c>
      <c r="I216" s="206" t="s">
        <v>3298</v>
      </c>
      <c r="J216" s="207" t="s">
        <v>287</v>
      </c>
      <c r="K216" s="118" t="s">
        <v>281</v>
      </c>
      <c r="L216" s="97">
        <v>45809</v>
      </c>
      <c r="M216" s="117"/>
      <c r="N216" s="329" t="s">
        <v>72</v>
      </c>
      <c r="O216" s="118">
        <v>1.41</v>
      </c>
      <c r="P216" s="119"/>
      <c r="Q216" s="213">
        <v>0.1</v>
      </c>
      <c r="R216" s="314">
        <f t="shared" si="29"/>
        <v>6669300</v>
      </c>
      <c r="S216" s="314">
        <f>+P216*4410000</f>
        <v>0</v>
      </c>
      <c r="T216" s="314">
        <f>+Q216*2340000</f>
        <v>234000</v>
      </c>
      <c r="U216" s="314">
        <f t="shared" si="36"/>
        <v>6903300</v>
      </c>
      <c r="V216" s="314"/>
      <c r="W216" s="319">
        <v>6020340500</v>
      </c>
      <c r="X216" s="99"/>
      <c r="Y216" s="99"/>
      <c r="Z216" s="99" t="s">
        <v>1787</v>
      </c>
      <c r="AA216" s="223" t="s">
        <v>3407</v>
      </c>
      <c r="AB216" s="100"/>
      <c r="AC216" s="99"/>
      <c r="AD216" s="205"/>
      <c r="AE216" s="99" t="s">
        <v>2427</v>
      </c>
      <c r="AF216" s="99" t="s">
        <v>3408</v>
      </c>
      <c r="AG216" s="316"/>
      <c r="AH216" s="251"/>
      <c r="AI216" s="251" t="s">
        <v>3642</v>
      </c>
      <c r="AJ216" s="251"/>
      <c r="AK216" s="251"/>
      <c r="AL216" s="326"/>
      <c r="AM216" s="247"/>
      <c r="AN216" s="251"/>
      <c r="AO216" s="247">
        <v>45809</v>
      </c>
      <c r="AP216" s="247"/>
      <c r="AQ216" s="247"/>
      <c r="AR216" s="247"/>
      <c r="AS216" s="321"/>
      <c r="AT216" s="251" t="s">
        <v>3490</v>
      </c>
      <c r="AU216" s="379"/>
      <c r="AV216" s="380"/>
    </row>
    <row r="217" spans="1:48" x14ac:dyDescent="0.25">
      <c r="A217" s="364" t="s">
        <v>3450</v>
      </c>
      <c r="B217" s="400" t="s">
        <v>3542</v>
      </c>
      <c r="C217" s="100" t="s">
        <v>3098</v>
      </c>
      <c r="D217" s="205">
        <v>38376</v>
      </c>
      <c r="E217" s="97">
        <f t="shared" si="35"/>
        <v>59195</v>
      </c>
      <c r="F217" s="97">
        <f>+EOMONTH(E217,0)+1</f>
        <v>59203</v>
      </c>
      <c r="G217" s="97">
        <v>58382</v>
      </c>
      <c r="H217" s="97">
        <v>45261</v>
      </c>
      <c r="I217" s="206" t="s">
        <v>3298</v>
      </c>
      <c r="J217" s="207" t="s">
        <v>287</v>
      </c>
      <c r="K217" s="118" t="s">
        <v>281</v>
      </c>
      <c r="L217" s="97">
        <v>45261</v>
      </c>
      <c r="M217" s="117"/>
      <c r="N217" s="329" t="s">
        <v>72</v>
      </c>
      <c r="O217" s="118">
        <v>1.41</v>
      </c>
      <c r="P217" s="119"/>
      <c r="Q217" s="99">
        <v>0.1</v>
      </c>
      <c r="R217" s="314">
        <f t="shared" si="29"/>
        <v>6669300</v>
      </c>
      <c r="S217" s="314">
        <f>+P217*4410000</f>
        <v>0</v>
      </c>
      <c r="T217" s="314">
        <f>+Q217*2340000</f>
        <v>234000</v>
      </c>
      <c r="U217" s="314">
        <f>+R217+S217+T217</f>
        <v>6903300</v>
      </c>
      <c r="V217" s="314" t="e">
        <f>+VLOOKUP(A217,[2]Sheet1!$B$11:$J$400,9,0)</f>
        <v>#N/A</v>
      </c>
      <c r="W217" s="315" t="s">
        <v>3226</v>
      </c>
      <c r="X217" s="99"/>
      <c r="Y217" s="99" t="e">
        <f>+VLOOKUP(A217,[3]Sheet1!$B$11:$I$388,8,0)</f>
        <v>#N/A</v>
      </c>
      <c r="Z217" s="99" t="s">
        <v>1787</v>
      </c>
      <c r="AA217" s="201" t="s">
        <v>3099</v>
      </c>
      <c r="AB217" s="100"/>
      <c r="AC217" s="99"/>
      <c r="AD217" s="205" t="s">
        <v>3040</v>
      </c>
      <c r="AE217" s="99" t="s">
        <v>2427</v>
      </c>
      <c r="AF217" s="99" t="s">
        <v>3100</v>
      </c>
      <c r="AG217" s="316" t="s">
        <v>3101</v>
      </c>
      <c r="AH217" s="251"/>
      <c r="AI217" s="251"/>
      <c r="AJ217" s="251"/>
      <c r="AK217" s="251"/>
      <c r="AL217" s="251" t="s">
        <v>3643</v>
      </c>
      <c r="AM217" s="247">
        <v>45261</v>
      </c>
      <c r="AN217" s="251"/>
      <c r="AO217" s="247">
        <v>45292</v>
      </c>
      <c r="AP217" s="247"/>
      <c r="AQ217" s="247"/>
      <c r="AR217" s="247">
        <v>46023</v>
      </c>
      <c r="AS217" s="321" t="s">
        <v>3102</v>
      </c>
      <c r="AT217" s="251" t="s">
        <v>3490</v>
      </c>
      <c r="AU217" s="379"/>
      <c r="AV217" s="380"/>
    </row>
    <row r="218" spans="1:48" x14ac:dyDescent="0.25">
      <c r="A218" s="364" t="s">
        <v>3451</v>
      </c>
      <c r="B218" s="400" t="s">
        <v>3542</v>
      </c>
      <c r="C218" s="100" t="s">
        <v>3135</v>
      </c>
      <c r="D218" s="205">
        <v>37391</v>
      </c>
      <c r="E218" s="97">
        <f t="shared" si="35"/>
        <v>58210</v>
      </c>
      <c r="F218" s="97">
        <f>+EOMONTH(E218,0)+1</f>
        <v>58227</v>
      </c>
      <c r="G218" s="97">
        <v>58167</v>
      </c>
      <c r="H218" s="97">
        <v>45383</v>
      </c>
      <c r="I218" s="206" t="s">
        <v>3298</v>
      </c>
      <c r="J218" s="207" t="s">
        <v>287</v>
      </c>
      <c r="K218" s="118" t="s">
        <v>281</v>
      </c>
      <c r="L218" s="97">
        <v>45383</v>
      </c>
      <c r="M218" s="117"/>
      <c r="N218" s="329" t="s">
        <v>72</v>
      </c>
      <c r="O218" s="118">
        <v>1.41</v>
      </c>
      <c r="P218" s="119"/>
      <c r="Q218" s="99">
        <v>0.1</v>
      </c>
      <c r="R218" s="314">
        <f t="shared" si="29"/>
        <v>6669300</v>
      </c>
      <c r="S218" s="314">
        <f>+P218*4410000</f>
        <v>0</v>
      </c>
      <c r="T218" s="314">
        <f>+Q218*2340000</f>
        <v>234000</v>
      </c>
      <c r="U218" s="314">
        <f>+R218+S218+T218</f>
        <v>6903300</v>
      </c>
      <c r="V218" s="314" t="e">
        <f>+VLOOKUP(A218,[2]Sheet1!$B$11:$J$400,9,0)</f>
        <v>#N/A</v>
      </c>
      <c r="W218" s="315" t="s">
        <v>3231</v>
      </c>
      <c r="X218" s="99"/>
      <c r="Y218" s="99" t="e">
        <f>+VLOOKUP(A218,[3]Sheet1!$B$11:$I$388,8,0)</f>
        <v>#N/A</v>
      </c>
      <c r="Z218" s="99" t="s">
        <v>1787</v>
      </c>
      <c r="AA218" s="201" t="s">
        <v>3136</v>
      </c>
      <c r="AB218" s="100"/>
      <c r="AC218" s="99"/>
      <c r="AD218" s="205" t="s">
        <v>3137</v>
      </c>
      <c r="AE218" s="99" t="s">
        <v>2427</v>
      </c>
      <c r="AF218" s="99" t="s">
        <v>3138</v>
      </c>
      <c r="AG218" s="251" t="s">
        <v>2641</v>
      </c>
      <c r="AH218" s="251"/>
      <c r="AI218" s="251"/>
      <c r="AJ218" s="251"/>
      <c r="AK218" s="251"/>
      <c r="AL218" s="321" t="s">
        <v>3025</v>
      </c>
      <c r="AM218" s="247">
        <v>45383</v>
      </c>
      <c r="AN218" s="251"/>
      <c r="AO218" s="247"/>
      <c r="AP218" s="247"/>
      <c r="AQ218" s="247"/>
      <c r="AR218" s="247"/>
      <c r="AS218" s="321" t="s">
        <v>3139</v>
      </c>
      <c r="AT218" s="251" t="s">
        <v>3490</v>
      </c>
      <c r="AU218" s="379"/>
      <c r="AV218" s="380"/>
    </row>
    <row r="219" spans="1:48" x14ac:dyDescent="0.25">
      <c r="A219" s="358" t="s">
        <v>3052</v>
      </c>
      <c r="B219" s="400" t="s">
        <v>3542</v>
      </c>
      <c r="C219" s="100" t="s">
        <v>3053</v>
      </c>
      <c r="D219" s="205">
        <v>36950</v>
      </c>
      <c r="E219" s="97">
        <f t="shared" si="35"/>
        <v>57769</v>
      </c>
      <c r="F219" s="97">
        <f>+EOMONTH(E219,0)+1</f>
        <v>57770</v>
      </c>
      <c r="G219" s="97">
        <v>57770</v>
      </c>
      <c r="H219" s="97">
        <v>45078</v>
      </c>
      <c r="I219" s="206" t="s">
        <v>3298</v>
      </c>
      <c r="J219" s="207" t="s">
        <v>287</v>
      </c>
      <c r="K219" s="118" t="s">
        <v>281</v>
      </c>
      <c r="L219" s="97">
        <v>45078</v>
      </c>
      <c r="M219" s="117"/>
      <c r="N219" s="329" t="s">
        <v>72</v>
      </c>
      <c r="O219" s="118">
        <v>1.41</v>
      </c>
      <c r="P219" s="119"/>
      <c r="Q219" s="99">
        <v>0.1</v>
      </c>
      <c r="R219" s="314">
        <f t="shared" si="29"/>
        <v>6669300</v>
      </c>
      <c r="S219" s="314">
        <f>+P219*4410000</f>
        <v>0</v>
      </c>
      <c r="T219" s="314">
        <f>+Q219*2340000</f>
        <v>234000</v>
      </c>
      <c r="U219" s="314">
        <f>+R219+S219+T219</f>
        <v>6903300</v>
      </c>
      <c r="V219" s="314">
        <f>+VLOOKUP(A219,[2]Sheet1!$B$11:$J$400,9,0)</f>
        <v>6225600</v>
      </c>
      <c r="W219" s="315" t="s">
        <v>3228</v>
      </c>
      <c r="X219" s="99"/>
      <c r="Y219" s="99" t="str">
        <f>+VLOOKUP(A219,[3]Sheet1!$B$11:$I$388,8,0)</f>
        <v>60 - 152</v>
      </c>
      <c r="Z219" s="99" t="s">
        <v>1787</v>
      </c>
      <c r="AA219" s="201" t="s">
        <v>3054</v>
      </c>
      <c r="AB219" s="100"/>
      <c r="AC219" s="99"/>
      <c r="AD219" s="205" t="s">
        <v>3040</v>
      </c>
      <c r="AE219" s="99" t="s">
        <v>2427</v>
      </c>
      <c r="AF219" s="99" t="s">
        <v>3055</v>
      </c>
      <c r="AG219" s="316"/>
      <c r="AH219" s="251"/>
      <c r="AI219" s="251"/>
      <c r="AJ219" s="251"/>
      <c r="AK219" s="251"/>
      <c r="AL219" s="326" t="s">
        <v>3025</v>
      </c>
      <c r="AM219" s="247">
        <v>45078</v>
      </c>
      <c r="AN219" s="251"/>
      <c r="AO219" s="247">
        <v>45108</v>
      </c>
      <c r="AP219" s="247"/>
      <c r="AQ219" s="247"/>
      <c r="AR219" s="247">
        <v>45474</v>
      </c>
      <c r="AS219" s="321" t="s">
        <v>3060</v>
      </c>
      <c r="AT219" s="251" t="s">
        <v>3490</v>
      </c>
      <c r="AU219" s="379"/>
      <c r="AV219" s="380"/>
    </row>
    <row r="220" spans="1:48" x14ac:dyDescent="0.25">
      <c r="A220" s="355" t="s">
        <v>2153</v>
      </c>
      <c r="B220" s="400" t="s">
        <v>3542</v>
      </c>
      <c r="C220" s="100" t="s">
        <v>3058</v>
      </c>
      <c r="D220" s="205">
        <v>27576</v>
      </c>
      <c r="E220" s="97">
        <v>48396</v>
      </c>
      <c r="F220" s="97">
        <v>48427</v>
      </c>
      <c r="G220" s="97">
        <v>48427</v>
      </c>
      <c r="H220" s="97">
        <v>34243</v>
      </c>
      <c r="I220" s="206" t="s">
        <v>722</v>
      </c>
      <c r="J220" s="207" t="s">
        <v>287</v>
      </c>
      <c r="K220" s="118" t="s">
        <v>281</v>
      </c>
      <c r="L220" s="97">
        <v>42309</v>
      </c>
      <c r="M220" s="117" t="s">
        <v>3238</v>
      </c>
      <c r="N220" s="329" t="s">
        <v>74</v>
      </c>
      <c r="O220" s="118">
        <v>1.68</v>
      </c>
      <c r="P220" s="119"/>
      <c r="Q220" s="99">
        <v>0.2</v>
      </c>
      <c r="R220" s="314">
        <f t="shared" si="29"/>
        <v>7946400</v>
      </c>
      <c r="S220" s="314">
        <f t="shared" si="32"/>
        <v>0</v>
      </c>
      <c r="T220" s="314">
        <f t="shared" si="37"/>
        <v>468000</v>
      </c>
      <c r="U220" s="332">
        <f t="shared" si="36"/>
        <v>8414400</v>
      </c>
      <c r="V220" s="314">
        <v>6752800</v>
      </c>
      <c r="W220" s="315" t="s">
        <v>3214</v>
      </c>
      <c r="X220" s="99" t="s">
        <v>605</v>
      </c>
      <c r="Y220" s="99" t="e">
        <v>#N/A</v>
      </c>
      <c r="Z220" s="99" t="s">
        <v>1787</v>
      </c>
      <c r="AA220" s="223" t="s">
        <v>3081</v>
      </c>
      <c r="AB220" s="100" t="s">
        <v>534</v>
      </c>
      <c r="AC220" s="99">
        <v>261348046</v>
      </c>
      <c r="AD220" s="205" t="s">
        <v>535</v>
      </c>
      <c r="AE220" s="99" t="s">
        <v>2427</v>
      </c>
      <c r="AF220" s="99" t="s">
        <v>536</v>
      </c>
      <c r="AG220" s="316" t="s">
        <v>1846</v>
      </c>
      <c r="AH220" s="251"/>
      <c r="AI220" s="251"/>
      <c r="AJ220" s="251"/>
      <c r="AK220" s="251" t="s">
        <v>3585</v>
      </c>
      <c r="AL220" s="326"/>
      <c r="AM220" s="247"/>
      <c r="AN220" s="251"/>
      <c r="AO220" s="247"/>
      <c r="AP220" s="247"/>
      <c r="AQ220" s="247"/>
      <c r="AR220" s="247"/>
      <c r="AS220" s="321" t="s">
        <v>2288</v>
      </c>
      <c r="AT220" s="251" t="s">
        <v>3490</v>
      </c>
      <c r="AU220" s="379"/>
      <c r="AV220" s="380"/>
    </row>
    <row r="221" spans="1:48" x14ac:dyDescent="0.25">
      <c r="A221" s="357" t="s">
        <v>196</v>
      </c>
      <c r="B221" s="400" t="s">
        <v>3542</v>
      </c>
      <c r="C221" s="100" t="s">
        <v>405</v>
      </c>
      <c r="D221" s="97">
        <v>27748</v>
      </c>
      <c r="E221" s="97">
        <f t="shared" ref="E221:E256" si="38">+DATE(YEAR(D221)+57,MONTH(D221),DAY(D221))</f>
        <v>48568</v>
      </c>
      <c r="F221" s="97">
        <f t="shared" ref="F221:F284" si="39">+EOMONTH(E221,0)+1</f>
        <v>48580</v>
      </c>
      <c r="G221" s="97">
        <v>48580</v>
      </c>
      <c r="H221" s="97">
        <v>36220</v>
      </c>
      <c r="I221" s="206" t="s">
        <v>722</v>
      </c>
      <c r="J221" s="207" t="s">
        <v>287</v>
      </c>
      <c r="K221" s="118" t="s">
        <v>281</v>
      </c>
      <c r="L221" s="97">
        <v>40360</v>
      </c>
      <c r="M221" s="204"/>
      <c r="N221" s="327" t="s">
        <v>76</v>
      </c>
      <c r="O221" s="118">
        <v>1.58</v>
      </c>
      <c r="P221" s="119"/>
      <c r="Q221" s="99">
        <v>0.2</v>
      </c>
      <c r="R221" s="314">
        <f t="shared" si="29"/>
        <v>7473400</v>
      </c>
      <c r="S221" s="314">
        <f t="shared" si="32"/>
        <v>0</v>
      </c>
      <c r="T221" s="314">
        <f t="shared" si="37"/>
        <v>468000</v>
      </c>
      <c r="U221" s="314">
        <f t="shared" si="36"/>
        <v>7941400</v>
      </c>
      <c r="V221" s="314">
        <f>+VLOOKUP(A221,[2]Sheet1!$B$11:$J$400,9,0)</f>
        <v>7099200</v>
      </c>
      <c r="W221" s="315" t="s">
        <v>1676</v>
      </c>
      <c r="X221" s="99" t="s">
        <v>1220</v>
      </c>
      <c r="Y221" s="99" t="str">
        <f>+VLOOKUP(A221,[3]Sheet1!$B$11:$I$388,8,0)</f>
        <v>60 - 171</v>
      </c>
      <c r="Z221" s="99" t="s">
        <v>1787</v>
      </c>
      <c r="AA221" s="201" t="s">
        <v>3083</v>
      </c>
      <c r="AB221" s="100">
        <v>261355214</v>
      </c>
      <c r="AC221" s="99">
        <f>+VALUE(AB221:AB579)</f>
        <v>261355214</v>
      </c>
      <c r="AD221" s="99" t="s">
        <v>1224</v>
      </c>
      <c r="AE221" s="99" t="s">
        <v>2427</v>
      </c>
      <c r="AF221" s="99" t="s">
        <v>1222</v>
      </c>
      <c r="AG221" s="316" t="s">
        <v>1225</v>
      </c>
      <c r="AH221" s="251"/>
      <c r="AI221" s="251"/>
      <c r="AJ221" s="251"/>
      <c r="AK221" s="251" t="s">
        <v>3585</v>
      </c>
      <c r="AL221" s="251"/>
      <c r="AM221" s="251"/>
      <c r="AN221" s="251"/>
      <c r="AO221" s="251"/>
      <c r="AP221" s="251"/>
      <c r="AQ221" s="251"/>
      <c r="AR221" s="251"/>
      <c r="AS221" s="251" t="s">
        <v>2278</v>
      </c>
      <c r="AT221" s="251" t="s">
        <v>3490</v>
      </c>
      <c r="AU221" s="379"/>
      <c r="AV221" s="380"/>
    </row>
    <row r="222" spans="1:48" x14ac:dyDescent="0.25">
      <c r="A222" s="357" t="s">
        <v>197</v>
      </c>
      <c r="B222" s="400" t="s">
        <v>3542</v>
      </c>
      <c r="C222" s="100" t="s">
        <v>406</v>
      </c>
      <c r="D222" s="97">
        <v>27381</v>
      </c>
      <c r="E222" s="97">
        <f t="shared" si="38"/>
        <v>48200</v>
      </c>
      <c r="F222" s="97">
        <f t="shared" si="39"/>
        <v>48214</v>
      </c>
      <c r="G222" s="97">
        <v>48214</v>
      </c>
      <c r="H222" s="97">
        <v>35827</v>
      </c>
      <c r="I222" s="206" t="s">
        <v>722</v>
      </c>
      <c r="J222" s="207" t="s">
        <v>287</v>
      </c>
      <c r="K222" s="118" t="s">
        <v>281</v>
      </c>
      <c r="L222" s="97">
        <v>41091</v>
      </c>
      <c r="M222" s="204" t="s">
        <v>3238</v>
      </c>
      <c r="N222" s="327" t="s">
        <v>76</v>
      </c>
      <c r="O222" s="118">
        <v>1.58</v>
      </c>
      <c r="P222" s="119"/>
      <c r="Q222" s="99">
        <v>0.2</v>
      </c>
      <c r="R222" s="314">
        <f t="shared" si="29"/>
        <v>7473400</v>
      </c>
      <c r="S222" s="314">
        <f t="shared" si="32"/>
        <v>0</v>
      </c>
      <c r="T222" s="314">
        <f t="shared" si="37"/>
        <v>468000</v>
      </c>
      <c r="U222" s="314">
        <f t="shared" si="36"/>
        <v>7941400</v>
      </c>
      <c r="V222" s="314">
        <f>+VLOOKUP(A222,[2]Sheet1!$B$11:$J$400,9,0)</f>
        <v>6558400</v>
      </c>
      <c r="W222" s="315" t="s">
        <v>1677</v>
      </c>
      <c r="X222" s="99" t="s">
        <v>1226</v>
      </c>
      <c r="Y222" s="99" t="str">
        <f>+VLOOKUP(A222,[3]Sheet1!$B$11:$I$388,8,0)</f>
        <v>60 - 171</v>
      </c>
      <c r="Z222" s="99" t="s">
        <v>1787</v>
      </c>
      <c r="AA222" s="99" t="s">
        <v>2872</v>
      </c>
      <c r="AB222" s="100">
        <v>261355645</v>
      </c>
      <c r="AC222" s="99">
        <f>+VALUE(AB222:AB580)</f>
        <v>261355645</v>
      </c>
      <c r="AD222" s="201" t="s">
        <v>529</v>
      </c>
      <c r="AE222" s="99" t="s">
        <v>2427</v>
      </c>
      <c r="AF222" s="99" t="s">
        <v>1227</v>
      </c>
      <c r="AG222" s="316" t="s">
        <v>1228</v>
      </c>
      <c r="AH222" s="251"/>
      <c r="AI222" s="251"/>
      <c r="AJ222" s="251"/>
      <c r="AK222" s="251" t="s">
        <v>3585</v>
      </c>
      <c r="AL222" s="251"/>
      <c r="AM222" s="251"/>
      <c r="AN222" s="251"/>
      <c r="AO222" s="251"/>
      <c r="AP222" s="251"/>
      <c r="AQ222" s="251"/>
      <c r="AR222" s="251"/>
      <c r="AS222" s="251" t="s">
        <v>2279</v>
      </c>
      <c r="AT222" s="251" t="s">
        <v>3490</v>
      </c>
      <c r="AU222" s="379"/>
      <c r="AV222" s="380"/>
    </row>
    <row r="223" spans="1:48" x14ac:dyDescent="0.25">
      <c r="A223" s="357" t="s">
        <v>204</v>
      </c>
      <c r="B223" s="400" t="s">
        <v>3542</v>
      </c>
      <c r="C223" s="100" t="s">
        <v>550</v>
      </c>
      <c r="D223" s="97">
        <v>33303</v>
      </c>
      <c r="E223" s="97">
        <f t="shared" si="38"/>
        <v>54123</v>
      </c>
      <c r="F223" s="97">
        <f t="shared" si="39"/>
        <v>54149</v>
      </c>
      <c r="G223" s="97">
        <v>54149</v>
      </c>
      <c r="H223" s="97">
        <v>43160</v>
      </c>
      <c r="I223" s="206" t="s">
        <v>722</v>
      </c>
      <c r="J223" s="207" t="s">
        <v>287</v>
      </c>
      <c r="K223" s="118" t="s">
        <v>281</v>
      </c>
      <c r="L223" s="97">
        <v>43160</v>
      </c>
      <c r="M223" s="204"/>
      <c r="N223" s="329" t="s">
        <v>71</v>
      </c>
      <c r="O223" s="118">
        <v>1.49</v>
      </c>
      <c r="P223" s="119"/>
      <c r="Q223" s="99">
        <v>0.2</v>
      </c>
      <c r="R223" s="314">
        <f t="shared" si="29"/>
        <v>7047700</v>
      </c>
      <c r="S223" s="314">
        <f t="shared" si="32"/>
        <v>0</v>
      </c>
      <c r="T223" s="314">
        <f t="shared" si="37"/>
        <v>468000</v>
      </c>
      <c r="U223" s="314">
        <f t="shared" si="36"/>
        <v>7515700</v>
      </c>
      <c r="V223" s="314">
        <f>+VLOOKUP(A223,[2]Sheet1!$B$11:$J$400,9,0)</f>
        <v>6558400</v>
      </c>
      <c r="W223" s="315" t="s">
        <v>1684</v>
      </c>
      <c r="X223" s="99" t="e">
        <v>#N/A</v>
      </c>
      <c r="Y223" s="99" t="str">
        <f>+VLOOKUP(A223,[3]Sheet1!$B$11:$I$388,8,0)</f>
        <v>60 - 171</v>
      </c>
      <c r="Z223" s="99" t="s">
        <v>1787</v>
      </c>
      <c r="AA223" s="99" t="s">
        <v>2874</v>
      </c>
      <c r="AB223" s="100" t="s">
        <v>1855</v>
      </c>
      <c r="AC223" s="99">
        <f>+VALUE(AB223:AB583)</f>
        <v>261203500</v>
      </c>
      <c r="AD223" s="205" t="s">
        <v>1856</v>
      </c>
      <c r="AE223" s="99" t="s">
        <v>2427</v>
      </c>
      <c r="AF223" s="99" t="s">
        <v>1222</v>
      </c>
      <c r="AG223" s="316" t="s">
        <v>1857</v>
      </c>
      <c r="AH223" s="251"/>
      <c r="AI223" s="251"/>
      <c r="AJ223" s="251"/>
      <c r="AK223" s="251" t="s">
        <v>3644</v>
      </c>
      <c r="AL223" s="251"/>
      <c r="AM223" s="251"/>
      <c r="AN223" s="251"/>
      <c r="AO223" s="251"/>
      <c r="AP223" s="251"/>
      <c r="AQ223" s="251"/>
      <c r="AR223" s="251"/>
      <c r="AS223" s="251" t="s">
        <v>2282</v>
      </c>
      <c r="AT223" s="251" t="s">
        <v>3490</v>
      </c>
      <c r="AU223" s="379"/>
      <c r="AV223" s="380"/>
    </row>
    <row r="224" spans="1:48" x14ac:dyDescent="0.25">
      <c r="A224" s="357" t="s">
        <v>2120</v>
      </c>
      <c r="B224" s="400" t="s">
        <v>3542</v>
      </c>
      <c r="C224" s="100" t="s">
        <v>2121</v>
      </c>
      <c r="D224" s="205">
        <v>33568</v>
      </c>
      <c r="E224" s="97">
        <f t="shared" si="38"/>
        <v>54388</v>
      </c>
      <c r="F224" s="97">
        <f t="shared" si="39"/>
        <v>54393</v>
      </c>
      <c r="G224" s="97">
        <v>54393</v>
      </c>
      <c r="H224" s="97">
        <v>44228</v>
      </c>
      <c r="I224" s="206" t="s">
        <v>722</v>
      </c>
      <c r="J224" s="207" t="s">
        <v>287</v>
      </c>
      <c r="K224" s="118" t="s">
        <v>285</v>
      </c>
      <c r="L224" s="204" t="s">
        <v>3238</v>
      </c>
      <c r="M224" s="204"/>
      <c r="N224" s="329" t="s">
        <v>71</v>
      </c>
      <c r="O224" s="118">
        <v>1.49</v>
      </c>
      <c r="P224" s="119">
        <v>0.04</v>
      </c>
      <c r="Q224" s="99">
        <v>0.2</v>
      </c>
      <c r="R224" s="314">
        <f t="shared" ref="R224:R288" si="40">+O224*4730000</f>
        <v>7047700</v>
      </c>
      <c r="S224" s="314">
        <f t="shared" si="32"/>
        <v>176400</v>
      </c>
      <c r="T224" s="314">
        <f t="shared" si="37"/>
        <v>468000</v>
      </c>
      <c r="U224" s="314">
        <f t="shared" si="36"/>
        <v>7692100</v>
      </c>
      <c r="V224" s="314">
        <f>+VLOOKUP(A224,[2]Sheet1!$B$11:$J$400,9,0)</f>
        <v>6225600</v>
      </c>
      <c r="W224" s="315" t="s">
        <v>2122</v>
      </c>
      <c r="X224" s="99"/>
      <c r="Y224" s="99" t="str">
        <f>+VLOOKUP(A224,[3]Sheet1!$B$11:$I$388,8,0)</f>
        <v>60 - 171</v>
      </c>
      <c r="Z224" s="99" t="s">
        <v>1787</v>
      </c>
      <c r="AA224" s="99" t="s">
        <v>2877</v>
      </c>
      <c r="AB224" s="100" t="s">
        <v>2123</v>
      </c>
      <c r="AC224" s="99">
        <f>+VALUE(AB224:AB588)</f>
        <v>261203682</v>
      </c>
      <c r="AD224" s="205" t="s">
        <v>2124</v>
      </c>
      <c r="AE224" s="99" t="s">
        <v>2427</v>
      </c>
      <c r="AF224" s="99" t="s">
        <v>2125</v>
      </c>
      <c r="AG224" s="251" t="s">
        <v>2126</v>
      </c>
      <c r="AH224" s="251"/>
      <c r="AI224" s="251"/>
      <c r="AJ224" s="251" t="s">
        <v>3639</v>
      </c>
      <c r="AK224" s="251"/>
      <c r="AL224" s="251"/>
      <c r="AM224" s="251"/>
      <c r="AN224" s="251"/>
      <c r="AO224" s="251"/>
      <c r="AP224" s="247">
        <v>44228</v>
      </c>
      <c r="AQ224" s="251"/>
      <c r="AR224" s="247">
        <v>44958</v>
      </c>
      <c r="AS224" s="251" t="s">
        <v>2286</v>
      </c>
      <c r="AT224" s="251" t="s">
        <v>3490</v>
      </c>
      <c r="AU224" s="379"/>
      <c r="AV224" s="380"/>
    </row>
    <row r="225" spans="1:48" x14ac:dyDescent="0.25">
      <c r="A225" s="355" t="s">
        <v>2420</v>
      </c>
      <c r="B225" s="400" t="s">
        <v>3542</v>
      </c>
      <c r="C225" s="100" t="s">
        <v>2421</v>
      </c>
      <c r="D225" s="97">
        <v>33365</v>
      </c>
      <c r="E225" s="97">
        <f t="shared" si="38"/>
        <v>54185</v>
      </c>
      <c r="F225" s="97">
        <f t="shared" si="39"/>
        <v>54210</v>
      </c>
      <c r="G225" s="97">
        <v>54210</v>
      </c>
      <c r="H225" s="97">
        <v>44378</v>
      </c>
      <c r="I225" s="206" t="s">
        <v>722</v>
      </c>
      <c r="J225" s="207" t="s">
        <v>287</v>
      </c>
      <c r="K225" s="118" t="s">
        <v>281</v>
      </c>
      <c r="L225" s="97">
        <v>45839</v>
      </c>
      <c r="M225" s="117"/>
      <c r="N225" s="329" t="s">
        <v>71</v>
      </c>
      <c r="O225" s="118">
        <v>1.49</v>
      </c>
      <c r="P225" s="119"/>
      <c r="Q225" s="99">
        <v>0.2</v>
      </c>
      <c r="R225" s="314">
        <f t="shared" si="40"/>
        <v>7047700</v>
      </c>
      <c r="S225" s="314">
        <f t="shared" si="32"/>
        <v>0</v>
      </c>
      <c r="T225" s="314">
        <f t="shared" si="37"/>
        <v>468000</v>
      </c>
      <c r="U225" s="314">
        <f t="shared" si="36"/>
        <v>7515700</v>
      </c>
      <c r="V225" s="314">
        <f>+VLOOKUP(A225,[2]Sheet1!$B$11:$J$400,9,0)</f>
        <v>6225600</v>
      </c>
      <c r="W225" s="315" t="s">
        <v>2705</v>
      </c>
      <c r="X225" s="99"/>
      <c r="Y225" s="99" t="str">
        <f>+VLOOKUP(A225,[3]Sheet1!$B$11:$I$388,8,0)</f>
        <v>60 - 040</v>
      </c>
      <c r="Z225" s="99" t="s">
        <v>1787</v>
      </c>
      <c r="AA225" s="99" t="s">
        <v>2878</v>
      </c>
      <c r="AB225" s="100" t="s">
        <v>2878</v>
      </c>
      <c r="AC225" s="99" t="e">
        <f>+VALUE(AB226:AB611)</f>
        <v>#VALUE!</v>
      </c>
      <c r="AD225" s="205">
        <v>44364</v>
      </c>
      <c r="AE225" s="99" t="s">
        <v>2427</v>
      </c>
      <c r="AF225" s="99" t="s">
        <v>2422</v>
      </c>
      <c r="AG225" s="316">
        <v>23041</v>
      </c>
      <c r="AH225" s="251"/>
      <c r="AI225" s="251"/>
      <c r="AJ225" s="251"/>
      <c r="AK225" s="251" t="s">
        <v>3610</v>
      </c>
      <c r="AL225" s="251"/>
      <c r="AM225" s="247">
        <v>44378</v>
      </c>
      <c r="AN225" s="251"/>
      <c r="AO225" s="251"/>
      <c r="AP225" s="247">
        <v>44409</v>
      </c>
      <c r="AQ225" s="247"/>
      <c r="AR225" s="247">
        <v>45505</v>
      </c>
      <c r="AS225" s="321" t="s">
        <v>2423</v>
      </c>
      <c r="AT225" s="251" t="s">
        <v>3490</v>
      </c>
      <c r="AU225" s="379"/>
      <c r="AV225" s="380"/>
    </row>
    <row r="226" spans="1:48" x14ac:dyDescent="0.25">
      <c r="A226" s="355" t="s">
        <v>3185</v>
      </c>
      <c r="B226" s="400" t="s">
        <v>3542</v>
      </c>
      <c r="C226" s="100" t="s">
        <v>3186</v>
      </c>
      <c r="D226" s="205">
        <v>37914</v>
      </c>
      <c r="E226" s="97">
        <f t="shared" si="38"/>
        <v>58734</v>
      </c>
      <c r="F226" s="97">
        <f t="shared" si="39"/>
        <v>58746</v>
      </c>
      <c r="G226" s="97">
        <v>55642</v>
      </c>
      <c r="H226" s="97">
        <v>45444</v>
      </c>
      <c r="I226" s="206" t="s">
        <v>722</v>
      </c>
      <c r="J226" s="207" t="s">
        <v>287</v>
      </c>
      <c r="K226" s="118" t="s">
        <v>281</v>
      </c>
      <c r="L226" s="97">
        <v>45444</v>
      </c>
      <c r="M226" s="117"/>
      <c r="N226" s="329" t="s">
        <v>72</v>
      </c>
      <c r="O226" s="118">
        <v>1.41</v>
      </c>
      <c r="P226" s="119"/>
      <c r="Q226" s="99">
        <v>0.2</v>
      </c>
      <c r="R226" s="314">
        <f t="shared" si="40"/>
        <v>6669300</v>
      </c>
      <c r="S226" s="314">
        <f t="shared" si="32"/>
        <v>0</v>
      </c>
      <c r="T226" s="314">
        <f t="shared" si="37"/>
        <v>468000</v>
      </c>
      <c r="U226" s="314">
        <f t="shared" si="36"/>
        <v>7137300</v>
      </c>
      <c r="V226" s="314">
        <v>0</v>
      </c>
      <c r="W226" s="315" t="s">
        <v>3212</v>
      </c>
      <c r="X226" s="99"/>
      <c r="Y226" s="99"/>
      <c r="Z226" s="99" t="s">
        <v>1787</v>
      </c>
      <c r="AA226" s="201" t="s">
        <v>3187</v>
      </c>
      <c r="AB226" s="100"/>
      <c r="AC226" s="99"/>
      <c r="AD226" s="205" t="s">
        <v>3188</v>
      </c>
      <c r="AE226" s="99" t="s">
        <v>2427</v>
      </c>
      <c r="AF226" s="99" t="s">
        <v>3189</v>
      </c>
      <c r="AG226" s="251" t="s">
        <v>3190</v>
      </c>
      <c r="AH226" s="251"/>
      <c r="AI226" s="251"/>
      <c r="AJ226" s="251" t="s">
        <v>3645</v>
      </c>
      <c r="AK226" s="251"/>
      <c r="AL226" s="321"/>
      <c r="AM226" s="247">
        <v>45444</v>
      </c>
      <c r="AN226" s="251"/>
      <c r="AO226" s="247">
        <v>45474</v>
      </c>
      <c r="AP226" s="247"/>
      <c r="AQ226" s="247"/>
      <c r="AR226" s="247"/>
      <c r="AS226" s="321"/>
      <c r="AT226" s="251" t="s">
        <v>3490</v>
      </c>
      <c r="AU226" s="379"/>
      <c r="AV226" s="380"/>
    </row>
    <row r="227" spans="1:48" x14ac:dyDescent="0.25">
      <c r="A227" s="357" t="s">
        <v>207</v>
      </c>
      <c r="B227" s="400" t="s">
        <v>3542</v>
      </c>
      <c r="C227" s="100" t="s">
        <v>414</v>
      </c>
      <c r="D227" s="97">
        <v>28538</v>
      </c>
      <c r="E227" s="97">
        <f t="shared" si="38"/>
        <v>49357</v>
      </c>
      <c r="F227" s="97">
        <f t="shared" si="39"/>
        <v>49369</v>
      </c>
      <c r="G227" s="97">
        <v>49369</v>
      </c>
      <c r="H227" s="97">
        <v>36220</v>
      </c>
      <c r="I227" s="206" t="s">
        <v>722</v>
      </c>
      <c r="J227" s="207" t="s">
        <v>287</v>
      </c>
      <c r="K227" s="118" t="s">
        <v>281</v>
      </c>
      <c r="L227" s="97">
        <v>39264</v>
      </c>
      <c r="M227" s="204"/>
      <c r="N227" s="327" t="s">
        <v>76</v>
      </c>
      <c r="O227" s="118">
        <v>1.58</v>
      </c>
      <c r="P227" s="119"/>
      <c r="Q227" s="99">
        <v>0.2</v>
      </c>
      <c r="R227" s="314">
        <f t="shared" si="40"/>
        <v>7473400</v>
      </c>
      <c r="S227" s="314">
        <f t="shared" si="32"/>
        <v>0</v>
      </c>
      <c r="T227" s="314">
        <f t="shared" si="37"/>
        <v>468000</v>
      </c>
      <c r="U227" s="314">
        <f t="shared" si="36"/>
        <v>7941400</v>
      </c>
      <c r="V227" s="314">
        <f>+VLOOKUP(A227,[2]Sheet1!$B$11:$J$400,9,0)</f>
        <v>6752800</v>
      </c>
      <c r="W227" s="315" t="s">
        <v>1688</v>
      </c>
      <c r="X227" s="99" t="s">
        <v>1246</v>
      </c>
      <c r="Y227" s="99" t="str">
        <f>+VLOOKUP(A227,[3]Sheet1!$B$11:$I$388,8,0)</f>
        <v>60 - 152</v>
      </c>
      <c r="Z227" s="99" t="s">
        <v>1787</v>
      </c>
      <c r="AA227" s="201" t="s">
        <v>3080</v>
      </c>
      <c r="AB227" s="100" t="s">
        <v>2472</v>
      </c>
      <c r="AC227" s="99">
        <f>+VALUE(AB227:AB593)</f>
        <v>261531694</v>
      </c>
      <c r="AD227" s="99" t="s">
        <v>1247</v>
      </c>
      <c r="AE227" s="99" t="s">
        <v>2427</v>
      </c>
      <c r="AF227" s="99" t="s">
        <v>1248</v>
      </c>
      <c r="AG227" s="316" t="s">
        <v>1249</v>
      </c>
      <c r="AH227" s="251"/>
      <c r="AI227" s="251"/>
      <c r="AJ227" s="251"/>
      <c r="AK227" s="251" t="s">
        <v>3585</v>
      </c>
      <c r="AL227" s="251"/>
      <c r="AM227" s="251"/>
      <c r="AN227" s="251"/>
      <c r="AO227" s="251"/>
      <c r="AP227" s="251"/>
      <c r="AQ227" s="251"/>
      <c r="AR227" s="251"/>
      <c r="AS227" s="251" t="s">
        <v>2290</v>
      </c>
      <c r="AT227" s="251" t="s">
        <v>3490</v>
      </c>
      <c r="AU227" s="379"/>
      <c r="AV227" s="380"/>
    </row>
    <row r="228" spans="1:48" x14ac:dyDescent="0.25">
      <c r="A228" s="357" t="s">
        <v>3043</v>
      </c>
      <c r="B228" s="400" t="s">
        <v>3542</v>
      </c>
      <c r="C228" s="100" t="s">
        <v>3044</v>
      </c>
      <c r="D228" s="205">
        <v>32967</v>
      </c>
      <c r="E228" s="97">
        <f t="shared" si="38"/>
        <v>53786</v>
      </c>
      <c r="F228" s="97">
        <f t="shared" si="39"/>
        <v>53813</v>
      </c>
      <c r="G228" s="97">
        <v>53813</v>
      </c>
      <c r="H228" s="97">
        <v>45078</v>
      </c>
      <c r="I228" s="206" t="s">
        <v>722</v>
      </c>
      <c r="J228" s="207" t="s">
        <v>287</v>
      </c>
      <c r="K228" s="118" t="s">
        <v>281</v>
      </c>
      <c r="L228" s="97">
        <v>45078</v>
      </c>
      <c r="M228" s="204"/>
      <c r="N228" s="329" t="s">
        <v>72</v>
      </c>
      <c r="O228" s="118">
        <v>1.41</v>
      </c>
      <c r="P228" s="119"/>
      <c r="Q228" s="99">
        <v>0.2</v>
      </c>
      <c r="R228" s="314">
        <f t="shared" si="40"/>
        <v>6669300</v>
      </c>
      <c r="S228" s="314">
        <f t="shared" si="32"/>
        <v>0</v>
      </c>
      <c r="T228" s="314">
        <f t="shared" si="37"/>
        <v>468000</v>
      </c>
      <c r="U228" s="314">
        <f t="shared" si="36"/>
        <v>7137300</v>
      </c>
      <c r="V228" s="314">
        <f>+VLOOKUP(A228,[2]Sheet1!$B$11:$J$400,9,0)</f>
        <v>6045600</v>
      </c>
      <c r="W228" s="315" t="s">
        <v>3224</v>
      </c>
      <c r="X228" s="99"/>
      <c r="Y228" s="99" t="str">
        <f>+VLOOKUP(A228,[3]Sheet1!$B$11:$I$388,8,0)</f>
        <v>60 - 152</v>
      </c>
      <c r="Z228" s="99" t="s">
        <v>1787</v>
      </c>
      <c r="AA228" s="201" t="s">
        <v>3046</v>
      </c>
      <c r="AB228" s="100"/>
      <c r="AC228" s="201"/>
      <c r="AD228" s="205" t="s">
        <v>3024</v>
      </c>
      <c r="AE228" s="99" t="s">
        <v>2427</v>
      </c>
      <c r="AF228" s="99" t="s">
        <v>3045</v>
      </c>
      <c r="AG228" s="251" t="s">
        <v>3045</v>
      </c>
      <c r="AH228" s="251"/>
      <c r="AI228" s="251"/>
      <c r="AJ228" s="251"/>
      <c r="AK228" s="251" t="s">
        <v>3629</v>
      </c>
      <c r="AL228" s="321"/>
      <c r="AM228" s="247">
        <v>45078</v>
      </c>
      <c r="AN228" s="251"/>
      <c r="AO228" s="247">
        <v>45108</v>
      </c>
      <c r="AP228" s="247"/>
      <c r="AQ228" s="251"/>
      <c r="AR228" s="247">
        <v>45474</v>
      </c>
      <c r="AS228" s="251"/>
      <c r="AT228" s="251" t="s">
        <v>3490</v>
      </c>
      <c r="AU228" s="379"/>
      <c r="AV228" s="380"/>
    </row>
    <row r="229" spans="1:48" x14ac:dyDescent="0.25">
      <c r="A229" s="357" t="s">
        <v>3373</v>
      </c>
      <c r="B229" s="400" t="s">
        <v>3542</v>
      </c>
      <c r="C229" s="100" t="s">
        <v>1205</v>
      </c>
      <c r="D229" s="205">
        <v>38246</v>
      </c>
      <c r="E229" s="97">
        <f t="shared" si="38"/>
        <v>59065</v>
      </c>
      <c r="F229" s="97">
        <f t="shared" si="39"/>
        <v>59080</v>
      </c>
      <c r="G229" s="97">
        <v>59080</v>
      </c>
      <c r="H229" s="97">
        <v>45748</v>
      </c>
      <c r="I229" s="206" t="s">
        <v>722</v>
      </c>
      <c r="J229" s="207" t="s">
        <v>287</v>
      </c>
      <c r="K229" s="118" t="s">
        <v>281</v>
      </c>
      <c r="L229" s="97">
        <v>45748</v>
      </c>
      <c r="M229" s="204"/>
      <c r="N229" s="329" t="s">
        <v>72</v>
      </c>
      <c r="O229" s="118">
        <v>1.41</v>
      </c>
      <c r="P229" s="119"/>
      <c r="Q229" s="99">
        <v>0.2</v>
      </c>
      <c r="R229" s="314">
        <f t="shared" si="40"/>
        <v>6669300</v>
      </c>
      <c r="S229" s="314">
        <f t="shared" si="32"/>
        <v>0</v>
      </c>
      <c r="T229" s="314">
        <f t="shared" si="37"/>
        <v>468000</v>
      </c>
      <c r="U229" s="314">
        <f>+R229+S229+T229</f>
        <v>7137300</v>
      </c>
      <c r="V229" s="314"/>
      <c r="W229" s="346">
        <v>6021148103</v>
      </c>
      <c r="X229" s="99" t="s">
        <v>3399</v>
      </c>
      <c r="Y229" s="99"/>
      <c r="Z229" s="99" t="s">
        <v>1787</v>
      </c>
      <c r="AA229" s="339" t="s">
        <v>3374</v>
      </c>
      <c r="AB229" s="100"/>
      <c r="AC229" s="201"/>
      <c r="AD229" s="205"/>
      <c r="AE229" s="99" t="s">
        <v>2427</v>
      </c>
      <c r="AF229" s="99" t="s">
        <v>3400</v>
      </c>
      <c r="AG229" s="251"/>
      <c r="AH229" s="251"/>
      <c r="AI229" s="251"/>
      <c r="AJ229" s="251" t="s">
        <v>3646</v>
      </c>
      <c r="AK229" s="251"/>
      <c r="AL229" s="321"/>
      <c r="AM229" s="247"/>
      <c r="AN229" s="251"/>
      <c r="AO229" s="247">
        <v>45748</v>
      </c>
      <c r="AP229" s="247"/>
      <c r="AQ229" s="251"/>
      <c r="AR229" s="247"/>
      <c r="AS229" s="251"/>
      <c r="AT229" s="251" t="s">
        <v>3490</v>
      </c>
      <c r="AU229" s="379"/>
      <c r="AV229" s="380"/>
    </row>
    <row r="230" spans="1:48" x14ac:dyDescent="0.25">
      <c r="A230" s="357" t="s">
        <v>206</v>
      </c>
      <c r="B230" s="400" t="s">
        <v>3542</v>
      </c>
      <c r="C230" s="100" t="s">
        <v>413</v>
      </c>
      <c r="D230" s="97">
        <v>27547</v>
      </c>
      <c r="E230" s="97">
        <f t="shared" si="38"/>
        <v>48367</v>
      </c>
      <c r="F230" s="97">
        <f>+EOMONTH(E230,0)+1</f>
        <v>48396</v>
      </c>
      <c r="G230" s="97">
        <v>48396</v>
      </c>
      <c r="H230" s="97">
        <v>35370</v>
      </c>
      <c r="I230" s="206" t="s">
        <v>722</v>
      </c>
      <c r="J230" s="207" t="s">
        <v>287</v>
      </c>
      <c r="K230" s="118" t="s">
        <v>284</v>
      </c>
      <c r="L230" s="97">
        <v>42309</v>
      </c>
      <c r="M230" s="204"/>
      <c r="N230" s="329" t="s">
        <v>74</v>
      </c>
      <c r="O230" s="118">
        <v>1.68</v>
      </c>
      <c r="P230" s="119">
        <v>0.06</v>
      </c>
      <c r="Q230" s="99">
        <v>0.2</v>
      </c>
      <c r="R230" s="314">
        <f t="shared" si="40"/>
        <v>7946400</v>
      </c>
      <c r="S230" s="314">
        <f>+P230*4410000</f>
        <v>264600</v>
      </c>
      <c r="T230" s="314">
        <f>+Q230*2340000</f>
        <v>468000</v>
      </c>
      <c r="U230" s="314">
        <f>+R230+S230+T230</f>
        <v>8679000</v>
      </c>
      <c r="V230" s="314">
        <f>+VLOOKUP(A230,[2]Sheet1!$B$11:$J$400,9,0)</f>
        <v>7168800</v>
      </c>
      <c r="W230" s="315" t="s">
        <v>1687</v>
      </c>
      <c r="X230" s="99" t="s">
        <v>1240</v>
      </c>
      <c r="Y230" s="99" t="str">
        <f>+VLOOKUP(A230,[3]Sheet1!$B$11:$I$388,8,0)</f>
        <v>60 - 005</v>
      </c>
      <c r="Z230" s="99" t="s">
        <v>1787</v>
      </c>
      <c r="AA230" s="99" t="s">
        <v>2880</v>
      </c>
      <c r="AB230" s="100" t="s">
        <v>2471</v>
      </c>
      <c r="AC230" s="99">
        <f>+VALUE(AB230:AB592)</f>
        <v>261483214</v>
      </c>
      <c r="AD230" s="99" t="s">
        <v>1243</v>
      </c>
      <c r="AE230" s="99" t="s">
        <v>2427</v>
      </c>
      <c r="AF230" s="99" t="s">
        <v>1244</v>
      </c>
      <c r="AG230" s="316" t="s">
        <v>1245</v>
      </c>
      <c r="AH230" s="251"/>
      <c r="AI230" s="251"/>
      <c r="AJ230" s="251"/>
      <c r="AK230" s="251" t="s">
        <v>3585</v>
      </c>
      <c r="AL230" s="251"/>
      <c r="AM230" s="251"/>
      <c r="AN230" s="251"/>
      <c r="AO230" s="251"/>
      <c r="AP230" s="251"/>
      <c r="AQ230" s="251"/>
      <c r="AR230" s="251"/>
      <c r="AS230" s="251" t="s">
        <v>2289</v>
      </c>
      <c r="AT230" s="251" t="s">
        <v>3490</v>
      </c>
      <c r="AU230" s="379"/>
      <c r="AV230" s="380"/>
    </row>
    <row r="231" spans="1:48" x14ac:dyDescent="0.25">
      <c r="A231" s="357" t="s">
        <v>3420</v>
      </c>
      <c r="B231" s="400" t="s">
        <v>3542</v>
      </c>
      <c r="C231" s="100" t="s">
        <v>3421</v>
      </c>
      <c r="D231" s="97">
        <v>37231</v>
      </c>
      <c r="E231" s="97">
        <f t="shared" si="38"/>
        <v>58050</v>
      </c>
      <c r="F231" s="97">
        <f>+EOMONTH(E231,0)+1</f>
        <v>58076</v>
      </c>
      <c r="G231" s="97">
        <v>58076</v>
      </c>
      <c r="H231" s="97">
        <v>45839</v>
      </c>
      <c r="I231" s="206" t="s">
        <v>722</v>
      </c>
      <c r="J231" s="207" t="s">
        <v>287</v>
      </c>
      <c r="K231" s="118" t="s">
        <v>281</v>
      </c>
      <c r="L231" s="97">
        <v>45839</v>
      </c>
      <c r="M231" s="204"/>
      <c r="N231" s="329" t="s">
        <v>72</v>
      </c>
      <c r="O231" s="118">
        <v>1.41</v>
      </c>
      <c r="P231" s="119"/>
      <c r="Q231" s="99">
        <v>0.2</v>
      </c>
      <c r="R231" s="314">
        <f t="shared" si="40"/>
        <v>6669300</v>
      </c>
      <c r="S231" s="314">
        <f>+P231*4410000</f>
        <v>0</v>
      </c>
      <c r="T231" s="314">
        <f>+Q231*2340000</f>
        <v>468000</v>
      </c>
      <c r="U231" s="314">
        <f>+R231+S231+T231</f>
        <v>7137300</v>
      </c>
      <c r="V231" s="314"/>
      <c r="W231" s="319">
        <v>6020692909</v>
      </c>
      <c r="X231" s="99" t="s">
        <v>3431</v>
      </c>
      <c r="Y231" s="99"/>
      <c r="Z231" s="99" t="s">
        <v>1787</v>
      </c>
      <c r="AA231" s="100" t="s">
        <v>3422</v>
      </c>
      <c r="AB231" s="100"/>
      <c r="AC231" s="99"/>
      <c r="AD231" s="99"/>
      <c r="AE231" s="99" t="s">
        <v>2427</v>
      </c>
      <c r="AF231" s="99" t="s">
        <v>3423</v>
      </c>
      <c r="AG231" s="316"/>
      <c r="AH231" s="251"/>
      <c r="AI231" s="251" t="s">
        <v>3579</v>
      </c>
      <c r="AJ231" s="251"/>
      <c r="AK231" s="251"/>
      <c r="AL231" s="251"/>
      <c r="AM231" s="251"/>
      <c r="AN231" s="251"/>
      <c r="AO231" s="251"/>
      <c r="AP231" s="251"/>
      <c r="AQ231" s="251"/>
      <c r="AR231" s="251"/>
      <c r="AS231" s="251"/>
      <c r="AT231" s="251" t="s">
        <v>3490</v>
      </c>
      <c r="AU231" s="379"/>
      <c r="AV231" s="380"/>
    </row>
    <row r="232" spans="1:48" x14ac:dyDescent="0.25">
      <c r="A232" s="358" t="s">
        <v>3452</v>
      </c>
      <c r="B232" s="400" t="s">
        <v>3542</v>
      </c>
      <c r="C232" s="100" t="s">
        <v>2038</v>
      </c>
      <c r="D232" s="205">
        <v>33155</v>
      </c>
      <c r="E232" s="97">
        <f t="shared" si="38"/>
        <v>53974</v>
      </c>
      <c r="F232" s="97">
        <f>+EOMONTH(E232,0)+1</f>
        <v>53997</v>
      </c>
      <c r="G232" s="97">
        <v>53997</v>
      </c>
      <c r="H232" s="97">
        <v>43922</v>
      </c>
      <c r="I232" s="206" t="s">
        <v>722</v>
      </c>
      <c r="J232" s="207" t="s">
        <v>287</v>
      </c>
      <c r="K232" s="118" t="s">
        <v>281</v>
      </c>
      <c r="L232" s="204" t="s">
        <v>3238</v>
      </c>
      <c r="M232" s="204"/>
      <c r="N232" s="330" t="s">
        <v>71</v>
      </c>
      <c r="O232" s="118">
        <v>1.49</v>
      </c>
      <c r="P232" s="119"/>
      <c r="Q232" s="99">
        <v>0.2</v>
      </c>
      <c r="R232" s="314">
        <f t="shared" si="40"/>
        <v>7047700</v>
      </c>
      <c r="S232" s="314">
        <f>+P232*4410000</f>
        <v>0</v>
      </c>
      <c r="T232" s="314">
        <f>+Q232*2340000</f>
        <v>468000</v>
      </c>
      <c r="U232" s="314">
        <f>+R232+S232+T232</f>
        <v>7515700</v>
      </c>
      <c r="V232" s="314" t="e">
        <f>+VLOOKUP(A232,[2]Sheet1!$B$11:$J$400,9,0)</f>
        <v>#N/A</v>
      </c>
      <c r="W232" s="315" t="s">
        <v>2039</v>
      </c>
      <c r="X232" s="99" t="s">
        <v>2047</v>
      </c>
      <c r="Y232" s="99" t="e">
        <f>+VLOOKUP(A232,[3]Sheet1!$B$11:$I$388,8,0)</f>
        <v>#N/A</v>
      </c>
      <c r="Z232" s="99" t="s">
        <v>1787</v>
      </c>
      <c r="AA232" s="99" t="s">
        <v>2876</v>
      </c>
      <c r="AB232" s="100" t="s">
        <v>2040</v>
      </c>
      <c r="AC232" s="99">
        <f>+VALUE(AB224:AB585)</f>
        <v>261157922</v>
      </c>
      <c r="AD232" s="205" t="s">
        <v>2041</v>
      </c>
      <c r="AE232" s="99" t="s">
        <v>2427</v>
      </c>
      <c r="AF232" s="99" t="s">
        <v>2042</v>
      </c>
      <c r="AG232" s="316" t="s">
        <v>2043</v>
      </c>
      <c r="AH232" s="251"/>
      <c r="AI232" s="251"/>
      <c r="AJ232" s="251" t="s">
        <v>3647</v>
      </c>
      <c r="AK232" s="251"/>
      <c r="AL232" s="251"/>
      <c r="AM232" s="251"/>
      <c r="AN232" s="251"/>
      <c r="AO232" s="251"/>
      <c r="AP232" s="251"/>
      <c r="AQ232" s="251"/>
      <c r="AR232" s="251"/>
      <c r="AS232" s="251" t="s">
        <v>2284</v>
      </c>
      <c r="AT232" s="251" t="s">
        <v>3490</v>
      </c>
      <c r="AU232" s="379"/>
      <c r="AV232" s="380"/>
    </row>
    <row r="233" spans="1:48" x14ac:dyDescent="0.25">
      <c r="A233" s="357" t="s">
        <v>205</v>
      </c>
      <c r="B233" s="400" t="s">
        <v>3542</v>
      </c>
      <c r="C233" s="100" t="s">
        <v>412</v>
      </c>
      <c r="D233" s="97">
        <v>27585</v>
      </c>
      <c r="E233" s="97">
        <f t="shared" si="38"/>
        <v>48405</v>
      </c>
      <c r="F233" s="97">
        <f t="shared" si="39"/>
        <v>48427</v>
      </c>
      <c r="G233" s="97">
        <v>48427</v>
      </c>
      <c r="H233" s="97">
        <v>34851</v>
      </c>
      <c r="I233" s="206" t="s">
        <v>723</v>
      </c>
      <c r="J233" s="207" t="s">
        <v>287</v>
      </c>
      <c r="K233" s="118" t="s">
        <v>286</v>
      </c>
      <c r="L233" s="97">
        <v>42309</v>
      </c>
      <c r="M233" s="206" t="str">
        <f>+VLOOKUP(A233,'DATA 01-2026'!$E$159:$F$265,2,0)</f>
        <v>10/07/1975</v>
      </c>
      <c r="N233" s="329" t="s">
        <v>74</v>
      </c>
      <c r="O233" s="118">
        <v>1.68</v>
      </c>
      <c r="P233" s="119">
        <v>0.06</v>
      </c>
      <c r="Q233" s="99">
        <v>0.1</v>
      </c>
      <c r="R233" s="314">
        <f t="shared" si="40"/>
        <v>7946400</v>
      </c>
      <c r="S233" s="314">
        <f t="shared" si="32"/>
        <v>264600</v>
      </c>
      <c r="T233" s="314">
        <f t="shared" si="37"/>
        <v>234000</v>
      </c>
      <c r="U233" s="314">
        <f t="shared" si="36"/>
        <v>8445000</v>
      </c>
      <c r="V233" s="314">
        <f>+VLOOKUP(A233,[2]Sheet1!$B$11:$J$400,9,0)</f>
        <v>7418400</v>
      </c>
      <c r="W233" s="315" t="s">
        <v>1686</v>
      </c>
      <c r="X233" s="99" t="s">
        <v>1240</v>
      </c>
      <c r="Y233" s="99" t="str">
        <f>+VLOOKUP(A233,[3]Sheet1!$B$11:$I$388,8,0)</f>
        <v>60 - 005</v>
      </c>
      <c r="Z233" s="99" t="s">
        <v>1787</v>
      </c>
      <c r="AA233" s="99" t="s">
        <v>2879</v>
      </c>
      <c r="AB233" s="100">
        <v>261531801</v>
      </c>
      <c r="AC233" s="99">
        <f>+VALUE(AB233:AB591)</f>
        <v>261531801</v>
      </c>
      <c r="AD233" s="99" t="s">
        <v>1241</v>
      </c>
      <c r="AE233" s="99" t="s">
        <v>2427</v>
      </c>
      <c r="AF233" s="99"/>
      <c r="AG233" s="316" t="s">
        <v>1242</v>
      </c>
      <c r="AH233" s="251"/>
      <c r="AI233" s="251" t="s">
        <v>3591</v>
      </c>
      <c r="AJ233" s="251"/>
      <c r="AK233" s="251" t="s">
        <v>3585</v>
      </c>
      <c r="AL233" s="251"/>
      <c r="AM233" s="251"/>
      <c r="AN233" s="251"/>
      <c r="AO233" s="251"/>
      <c r="AP233" s="251"/>
      <c r="AQ233" s="251"/>
      <c r="AR233" s="251"/>
      <c r="AS233" s="251" t="s">
        <v>2287</v>
      </c>
      <c r="AT233" s="251" t="s">
        <v>3490</v>
      </c>
      <c r="AU233" s="379"/>
      <c r="AV233" s="380"/>
    </row>
    <row r="234" spans="1:48" x14ac:dyDescent="0.25">
      <c r="A234" s="355" t="s">
        <v>208</v>
      </c>
      <c r="B234" s="400" t="s">
        <v>3542</v>
      </c>
      <c r="C234" s="100" t="s">
        <v>415</v>
      </c>
      <c r="D234" s="97">
        <v>30982</v>
      </c>
      <c r="E234" s="97">
        <f t="shared" si="38"/>
        <v>51801</v>
      </c>
      <c r="F234" s="97">
        <f t="shared" si="39"/>
        <v>51806</v>
      </c>
      <c r="G234" s="97">
        <v>51806</v>
      </c>
      <c r="H234" s="97">
        <v>40299</v>
      </c>
      <c r="I234" s="206" t="s">
        <v>723</v>
      </c>
      <c r="J234" s="207" t="s">
        <v>287</v>
      </c>
      <c r="K234" s="118" t="s">
        <v>281</v>
      </c>
      <c r="L234" s="97">
        <v>42005</v>
      </c>
      <c r="M234" s="204"/>
      <c r="N234" s="327" t="s">
        <v>71</v>
      </c>
      <c r="O234" s="118">
        <v>1.49</v>
      </c>
      <c r="P234" s="119"/>
      <c r="Q234" s="99">
        <v>0.1</v>
      </c>
      <c r="R234" s="314">
        <f t="shared" si="40"/>
        <v>7047700</v>
      </c>
      <c r="S234" s="314">
        <f t="shared" si="32"/>
        <v>0</v>
      </c>
      <c r="T234" s="314">
        <f t="shared" si="37"/>
        <v>234000</v>
      </c>
      <c r="U234" s="314">
        <f t="shared" si="36"/>
        <v>7281700</v>
      </c>
      <c r="V234" s="314">
        <f>+VLOOKUP(A234,[2]Sheet1!$B$11:$J$400,9,0)</f>
        <v>6378400</v>
      </c>
      <c r="W234" s="315" t="s">
        <v>1689</v>
      </c>
      <c r="X234" s="99" t="s">
        <v>1246</v>
      </c>
      <c r="Y234" s="99" t="str">
        <f>+VLOOKUP(A234,[3]Sheet1!$B$11:$I$388,8,0)</f>
        <v>60 - 152</v>
      </c>
      <c r="Z234" s="99" t="s">
        <v>1787</v>
      </c>
      <c r="AA234" s="99" t="s">
        <v>2881</v>
      </c>
      <c r="AB234" s="100" t="s">
        <v>2473</v>
      </c>
      <c r="AC234" s="99">
        <f>+VALUE(AB234:AB594)</f>
        <v>261486847</v>
      </c>
      <c r="AD234" s="99" t="s">
        <v>1250</v>
      </c>
      <c r="AE234" s="99" t="s">
        <v>2427</v>
      </c>
      <c r="AF234" s="99" t="s">
        <v>1244</v>
      </c>
      <c r="AG234" s="316" t="s">
        <v>1251</v>
      </c>
      <c r="AH234" s="251"/>
      <c r="AI234" s="251"/>
      <c r="AJ234" s="251"/>
      <c r="AK234" s="251" t="s">
        <v>3585</v>
      </c>
      <c r="AL234" s="251"/>
      <c r="AM234" s="251"/>
      <c r="AN234" s="251"/>
      <c r="AO234" s="251"/>
      <c r="AP234" s="251"/>
      <c r="AQ234" s="251"/>
      <c r="AR234" s="251"/>
      <c r="AS234" s="251" t="s">
        <v>2291</v>
      </c>
      <c r="AT234" s="251" t="s">
        <v>3490</v>
      </c>
      <c r="AU234" s="379"/>
      <c r="AV234" s="380"/>
    </row>
    <row r="235" spans="1:48" x14ac:dyDescent="0.25">
      <c r="A235" s="361" t="s">
        <v>210</v>
      </c>
      <c r="B235" s="400" t="s">
        <v>3542</v>
      </c>
      <c r="C235" s="100" t="s">
        <v>417</v>
      </c>
      <c r="D235" s="97">
        <v>34550</v>
      </c>
      <c r="E235" s="97">
        <f t="shared" si="38"/>
        <v>55369</v>
      </c>
      <c r="F235" s="97">
        <f t="shared" si="39"/>
        <v>55397</v>
      </c>
      <c r="G235" s="97">
        <v>55397</v>
      </c>
      <c r="H235" s="97">
        <v>42309</v>
      </c>
      <c r="I235" s="206" t="s">
        <v>723</v>
      </c>
      <c r="J235" s="207" t="s">
        <v>287</v>
      </c>
      <c r="K235" s="118" t="s">
        <v>281</v>
      </c>
      <c r="L235" s="97">
        <v>42370</v>
      </c>
      <c r="M235" s="117"/>
      <c r="N235" s="330" t="s">
        <v>71</v>
      </c>
      <c r="O235" s="207">
        <v>1.49</v>
      </c>
      <c r="P235" s="119"/>
      <c r="Q235" s="99">
        <v>0.1</v>
      </c>
      <c r="R235" s="314">
        <f t="shared" si="40"/>
        <v>7047700</v>
      </c>
      <c r="S235" s="314">
        <f t="shared" si="32"/>
        <v>0</v>
      </c>
      <c r="T235" s="314">
        <f t="shared" si="37"/>
        <v>234000</v>
      </c>
      <c r="U235" s="314">
        <f t="shared" si="36"/>
        <v>7281700</v>
      </c>
      <c r="V235" s="314">
        <f>+VLOOKUP(A235,[2]Sheet1!$B$11:$J$400,9,0)</f>
        <v>6378400</v>
      </c>
      <c r="W235" s="315" t="s">
        <v>1691</v>
      </c>
      <c r="X235" s="99" t="s">
        <v>1240</v>
      </c>
      <c r="Y235" s="99" t="str">
        <f>+VLOOKUP(A235,[3]Sheet1!$B$11:$I$388,8,0)</f>
        <v>60 - 152</v>
      </c>
      <c r="Z235" s="99" t="s">
        <v>1787</v>
      </c>
      <c r="AA235" s="99" t="s">
        <v>2883</v>
      </c>
      <c r="AB235" s="100" t="s">
        <v>2475</v>
      </c>
      <c r="AC235" s="99">
        <f>+VALUE(AB235:AB596)</f>
        <v>184061751</v>
      </c>
      <c r="AD235" s="99" t="s">
        <v>1255</v>
      </c>
      <c r="AE235" s="99" t="s">
        <v>2427</v>
      </c>
      <c r="AF235" s="99" t="s">
        <v>537</v>
      </c>
      <c r="AG235" s="316" t="s">
        <v>1245</v>
      </c>
      <c r="AH235" s="251"/>
      <c r="AI235" s="251"/>
      <c r="AJ235" s="251"/>
      <c r="AK235" s="251" t="s">
        <v>3585</v>
      </c>
      <c r="AL235" s="251"/>
      <c r="AM235" s="251"/>
      <c r="AN235" s="251"/>
      <c r="AO235" s="251"/>
      <c r="AP235" s="251"/>
      <c r="AQ235" s="251"/>
      <c r="AR235" s="251"/>
      <c r="AS235" s="251" t="s">
        <v>2293</v>
      </c>
      <c r="AT235" s="251" t="s">
        <v>3490</v>
      </c>
      <c r="AU235" s="379"/>
      <c r="AV235" s="380"/>
    </row>
    <row r="236" spans="1:48" x14ac:dyDescent="0.25">
      <c r="A236" s="357" t="s">
        <v>654</v>
      </c>
      <c r="B236" s="400" t="s">
        <v>3542</v>
      </c>
      <c r="C236" s="100" t="s">
        <v>653</v>
      </c>
      <c r="D236" s="97">
        <v>34557</v>
      </c>
      <c r="E236" s="97">
        <f t="shared" si="38"/>
        <v>55376</v>
      </c>
      <c r="F236" s="97">
        <f t="shared" si="39"/>
        <v>55397</v>
      </c>
      <c r="G236" s="97">
        <v>55397</v>
      </c>
      <c r="H236" s="97">
        <v>43101</v>
      </c>
      <c r="I236" s="206" t="s">
        <v>723</v>
      </c>
      <c r="J236" s="207" t="s">
        <v>287</v>
      </c>
      <c r="K236" s="118" t="s">
        <v>281</v>
      </c>
      <c r="L236" s="97">
        <v>43101</v>
      </c>
      <c r="M236" s="204"/>
      <c r="N236" s="329" t="s">
        <v>72</v>
      </c>
      <c r="O236" s="118">
        <v>1.41</v>
      </c>
      <c r="P236" s="119"/>
      <c r="Q236" s="99">
        <v>0.1</v>
      </c>
      <c r="R236" s="314">
        <f t="shared" si="40"/>
        <v>6669300</v>
      </c>
      <c r="S236" s="314">
        <f t="shared" ref="S236:S299" si="41">+P236*4410000</f>
        <v>0</v>
      </c>
      <c r="T236" s="314">
        <f t="shared" si="37"/>
        <v>234000</v>
      </c>
      <c r="U236" s="314">
        <f t="shared" si="36"/>
        <v>6903300</v>
      </c>
      <c r="V236" s="314">
        <f>+VLOOKUP(A236,[2]Sheet1!$B$11:$J$400,9,0)</f>
        <v>6045600</v>
      </c>
      <c r="W236" s="315" t="s">
        <v>1692</v>
      </c>
      <c r="X236" s="99" t="s">
        <v>1257</v>
      </c>
      <c r="Y236" s="99" t="str">
        <f>+VLOOKUP(A236,[3]Sheet1!$B$11:$I$388,8,0)</f>
        <v>60 - 005</v>
      </c>
      <c r="Z236" s="99" t="s">
        <v>1787</v>
      </c>
      <c r="AA236" s="99" t="s">
        <v>2884</v>
      </c>
      <c r="AB236" s="100" t="s">
        <v>655</v>
      </c>
      <c r="AC236" s="99">
        <f>+VALUE(AB236:AB597)</f>
        <v>261359207</v>
      </c>
      <c r="AD236" s="201" t="s">
        <v>656</v>
      </c>
      <c r="AE236" s="99" t="s">
        <v>2427</v>
      </c>
      <c r="AF236" s="99" t="s">
        <v>1258</v>
      </c>
      <c r="AG236" s="316" t="s">
        <v>1258</v>
      </c>
      <c r="AH236" s="251"/>
      <c r="AI236" s="251"/>
      <c r="AJ236" s="251"/>
      <c r="AK236" s="251" t="s">
        <v>3585</v>
      </c>
      <c r="AL236" s="251"/>
      <c r="AM236" s="251"/>
      <c r="AN236" s="251"/>
      <c r="AO236" s="251"/>
      <c r="AP236" s="251"/>
      <c r="AQ236" s="251"/>
      <c r="AR236" s="251"/>
      <c r="AS236" s="251" t="s">
        <v>2294</v>
      </c>
      <c r="AT236" s="251" t="s">
        <v>3490</v>
      </c>
      <c r="AU236" s="379"/>
      <c r="AV236" s="380"/>
    </row>
    <row r="237" spans="1:48" x14ac:dyDescent="0.25">
      <c r="A237" s="357" t="s">
        <v>1830</v>
      </c>
      <c r="B237" s="400" t="s">
        <v>3542</v>
      </c>
      <c r="C237" s="100" t="s">
        <v>1831</v>
      </c>
      <c r="D237" s="97">
        <v>35706</v>
      </c>
      <c r="E237" s="97">
        <f t="shared" si="38"/>
        <v>56525</v>
      </c>
      <c r="F237" s="97">
        <f t="shared" si="39"/>
        <v>56554</v>
      </c>
      <c r="G237" s="97">
        <v>56554</v>
      </c>
      <c r="H237" s="97">
        <v>43387</v>
      </c>
      <c r="I237" s="206" t="s">
        <v>723</v>
      </c>
      <c r="J237" s="207" t="s">
        <v>287</v>
      </c>
      <c r="K237" s="118" t="s">
        <v>281</v>
      </c>
      <c r="L237" s="97">
        <v>43387</v>
      </c>
      <c r="M237" s="204"/>
      <c r="N237" s="330" t="s">
        <v>71</v>
      </c>
      <c r="O237" s="207">
        <v>1.49</v>
      </c>
      <c r="P237" s="119"/>
      <c r="Q237" s="99">
        <v>0.1</v>
      </c>
      <c r="R237" s="314">
        <f t="shared" si="40"/>
        <v>7047700</v>
      </c>
      <c r="S237" s="314">
        <f t="shared" si="41"/>
        <v>0</v>
      </c>
      <c r="T237" s="314">
        <f t="shared" si="37"/>
        <v>234000</v>
      </c>
      <c r="U237" s="314">
        <f t="shared" si="36"/>
        <v>7281700</v>
      </c>
      <c r="V237" s="314">
        <f>+VLOOKUP(A237,[2]Sheet1!$B$11:$J$400,9,0)</f>
        <v>6378400</v>
      </c>
      <c r="W237" s="315" t="s">
        <v>2706</v>
      </c>
      <c r="X237" s="99" t="s">
        <v>1257</v>
      </c>
      <c r="Y237" s="99" t="str">
        <f>+VLOOKUP(A237,[3]Sheet1!$B$11:$I$388,8,0)</f>
        <v>60 - 152</v>
      </c>
      <c r="Z237" s="99" t="s">
        <v>1787</v>
      </c>
      <c r="AA237" s="99" t="s">
        <v>2885</v>
      </c>
      <c r="AB237" s="100" t="s">
        <v>1833</v>
      </c>
      <c r="AC237" s="99">
        <f>+VALUE(AB237:AB598)</f>
        <v>261480450</v>
      </c>
      <c r="AD237" s="223" t="s">
        <v>1834</v>
      </c>
      <c r="AE237" s="99" t="s">
        <v>2427</v>
      </c>
      <c r="AF237" s="99" t="s">
        <v>1835</v>
      </c>
      <c r="AG237" s="316" t="s">
        <v>1854</v>
      </c>
      <c r="AH237" s="251"/>
      <c r="AI237" s="251"/>
      <c r="AJ237" s="251" t="s">
        <v>3648</v>
      </c>
      <c r="AK237" s="251"/>
      <c r="AL237" s="251"/>
      <c r="AM237" s="251"/>
      <c r="AN237" s="251"/>
      <c r="AO237" s="247">
        <v>44117</v>
      </c>
      <c r="AP237" s="247"/>
      <c r="AQ237" s="247"/>
      <c r="AR237" s="251"/>
      <c r="AS237" s="251" t="s">
        <v>2295</v>
      </c>
      <c r="AT237" s="251" t="s">
        <v>3490</v>
      </c>
      <c r="AU237" s="379"/>
      <c r="AV237" s="380"/>
    </row>
    <row r="238" spans="1:48" x14ac:dyDescent="0.25">
      <c r="A238" s="357" t="s">
        <v>2022</v>
      </c>
      <c r="B238" s="400" t="s">
        <v>3542</v>
      </c>
      <c r="C238" s="100" t="s">
        <v>2023</v>
      </c>
      <c r="D238" s="205">
        <v>32703</v>
      </c>
      <c r="E238" s="97">
        <f t="shared" si="38"/>
        <v>53522</v>
      </c>
      <c r="F238" s="97">
        <f t="shared" si="39"/>
        <v>53540</v>
      </c>
      <c r="G238" s="97">
        <v>53540</v>
      </c>
      <c r="H238" s="97">
        <v>43908</v>
      </c>
      <c r="I238" s="206" t="s">
        <v>723</v>
      </c>
      <c r="J238" s="207" t="s">
        <v>287</v>
      </c>
      <c r="K238" s="118" t="s">
        <v>285</v>
      </c>
      <c r="L238" s="204" t="s">
        <v>3238</v>
      </c>
      <c r="M238" s="204"/>
      <c r="N238" s="330" t="s">
        <v>71</v>
      </c>
      <c r="O238" s="118">
        <v>1.49</v>
      </c>
      <c r="P238" s="119">
        <v>0.04</v>
      </c>
      <c r="Q238" s="99">
        <v>0.1</v>
      </c>
      <c r="R238" s="314">
        <f t="shared" si="40"/>
        <v>7047700</v>
      </c>
      <c r="S238" s="314">
        <f t="shared" si="41"/>
        <v>176400</v>
      </c>
      <c r="T238" s="314">
        <f t="shared" si="37"/>
        <v>234000</v>
      </c>
      <c r="U238" s="314">
        <f t="shared" si="36"/>
        <v>7458100</v>
      </c>
      <c r="V238" s="314">
        <f>+VLOOKUP(A238,[2]Sheet1!$B$11:$J$400,9,0)</f>
        <v>6212000</v>
      </c>
      <c r="W238" s="315" t="s">
        <v>2105</v>
      </c>
      <c r="X238" s="99"/>
      <c r="Y238" s="99" t="str">
        <f>+VLOOKUP(A238,[3]Sheet1!$B$11:$I$388,8,0)</f>
        <v>60 - 152</v>
      </c>
      <c r="Z238" s="99" t="s">
        <v>1787</v>
      </c>
      <c r="AA238" s="99" t="s">
        <v>2886</v>
      </c>
      <c r="AB238" s="100" t="s">
        <v>2024</v>
      </c>
      <c r="AC238" s="99">
        <f>+VALUE(AB238:AB599)</f>
        <v>261091071</v>
      </c>
      <c r="AD238" s="205" t="s">
        <v>2025</v>
      </c>
      <c r="AE238" s="99" t="s">
        <v>2427</v>
      </c>
      <c r="AF238" s="99" t="s">
        <v>2026</v>
      </c>
      <c r="AG238" s="316" t="s">
        <v>2027</v>
      </c>
      <c r="AH238" s="251"/>
      <c r="AI238" s="251"/>
      <c r="AJ238" s="251"/>
      <c r="AK238" s="251" t="s">
        <v>3649</v>
      </c>
      <c r="AL238" s="251"/>
      <c r="AM238" s="251"/>
      <c r="AN238" s="251"/>
      <c r="AO238" s="251"/>
      <c r="AP238" s="247">
        <v>43907</v>
      </c>
      <c r="AQ238" s="251"/>
      <c r="AR238" s="247">
        <v>44638</v>
      </c>
      <c r="AS238" s="251" t="s">
        <v>2296</v>
      </c>
      <c r="AT238" s="251" t="s">
        <v>3490</v>
      </c>
      <c r="AU238" s="379"/>
      <c r="AV238" s="380"/>
    </row>
    <row r="239" spans="1:48" x14ac:dyDescent="0.25">
      <c r="A239" s="357" t="s">
        <v>2113</v>
      </c>
      <c r="B239" s="400" t="s">
        <v>3542</v>
      </c>
      <c r="C239" s="100" t="s">
        <v>2114</v>
      </c>
      <c r="D239" s="205">
        <v>35757</v>
      </c>
      <c r="E239" s="97">
        <f t="shared" si="38"/>
        <v>56576</v>
      </c>
      <c r="F239" s="97">
        <f t="shared" si="39"/>
        <v>56584</v>
      </c>
      <c r="G239" s="97">
        <v>56584</v>
      </c>
      <c r="H239" s="97">
        <v>44169</v>
      </c>
      <c r="I239" s="206" t="s">
        <v>723</v>
      </c>
      <c r="J239" s="207" t="s">
        <v>287</v>
      </c>
      <c r="K239" s="118" t="s">
        <v>281</v>
      </c>
      <c r="L239" s="97">
        <v>44169</v>
      </c>
      <c r="M239" s="204"/>
      <c r="N239" s="329" t="s">
        <v>72</v>
      </c>
      <c r="O239" s="118">
        <v>1.41</v>
      </c>
      <c r="P239" s="119"/>
      <c r="Q239" s="99">
        <v>0.1</v>
      </c>
      <c r="R239" s="314">
        <f t="shared" si="40"/>
        <v>6669300</v>
      </c>
      <c r="S239" s="314">
        <f t="shared" si="41"/>
        <v>0</v>
      </c>
      <c r="T239" s="314">
        <f t="shared" si="37"/>
        <v>234000</v>
      </c>
      <c r="U239" s="314">
        <f t="shared" si="36"/>
        <v>6903300</v>
      </c>
      <c r="V239" s="314">
        <f>+VLOOKUP(A239,[2]Sheet1!$B$11:$J$400,9,0)</f>
        <v>6045600</v>
      </c>
      <c r="W239" s="315" t="s">
        <v>2707</v>
      </c>
      <c r="X239" s="99"/>
      <c r="Y239" s="99" t="str">
        <f>+VLOOKUP(A239,[3]Sheet1!$B$11:$I$388,8,0)</f>
        <v>60 - 171</v>
      </c>
      <c r="Z239" s="99" t="s">
        <v>1787</v>
      </c>
      <c r="AA239" s="99" t="s">
        <v>2887</v>
      </c>
      <c r="AB239" s="100" t="s">
        <v>2115</v>
      </c>
      <c r="AC239" s="99">
        <f>+VALUE(AB224:AB587)</f>
        <v>261480333</v>
      </c>
      <c r="AD239" s="205" t="s">
        <v>2116</v>
      </c>
      <c r="AE239" s="99" t="s">
        <v>2427</v>
      </c>
      <c r="AF239" s="99" t="s">
        <v>2117</v>
      </c>
      <c r="AG239" s="251" t="s">
        <v>2117</v>
      </c>
      <c r="AH239" s="251"/>
      <c r="AI239" s="251"/>
      <c r="AJ239" s="251"/>
      <c r="AK239" s="251" t="s">
        <v>3610</v>
      </c>
      <c r="AL239" s="251"/>
      <c r="AM239" s="251"/>
      <c r="AN239" s="251"/>
      <c r="AO239" s="251"/>
      <c r="AP239" s="247">
        <v>44168</v>
      </c>
      <c r="AQ239" s="251"/>
      <c r="AR239" s="247">
        <v>44899</v>
      </c>
      <c r="AS239" s="251" t="s">
        <v>2285</v>
      </c>
      <c r="AT239" s="251" t="s">
        <v>3490</v>
      </c>
      <c r="AU239" s="379"/>
      <c r="AV239" s="380"/>
    </row>
    <row r="240" spans="1:48" x14ac:dyDescent="0.25">
      <c r="A240" s="357" t="s">
        <v>3033</v>
      </c>
      <c r="B240" s="400" t="s">
        <v>3542</v>
      </c>
      <c r="C240" s="100" t="s">
        <v>3026</v>
      </c>
      <c r="D240" s="205">
        <v>37257</v>
      </c>
      <c r="E240" s="97">
        <f t="shared" si="38"/>
        <v>58076</v>
      </c>
      <c r="F240" s="97">
        <f t="shared" si="39"/>
        <v>58107</v>
      </c>
      <c r="G240" s="97">
        <v>58107</v>
      </c>
      <c r="H240" s="97">
        <v>45047</v>
      </c>
      <c r="I240" s="206" t="s">
        <v>723</v>
      </c>
      <c r="J240" s="207" t="s">
        <v>287</v>
      </c>
      <c r="K240" s="118" t="s">
        <v>281</v>
      </c>
      <c r="L240" s="97">
        <v>45047</v>
      </c>
      <c r="M240" s="204"/>
      <c r="N240" s="329" t="s">
        <v>72</v>
      </c>
      <c r="O240" s="118">
        <v>1.41</v>
      </c>
      <c r="P240" s="119"/>
      <c r="Q240" s="99">
        <v>0.1</v>
      </c>
      <c r="R240" s="314">
        <f t="shared" si="40"/>
        <v>6669300</v>
      </c>
      <c r="S240" s="314">
        <f t="shared" si="41"/>
        <v>0</v>
      </c>
      <c r="T240" s="314">
        <f t="shared" si="37"/>
        <v>234000</v>
      </c>
      <c r="U240" s="314">
        <f t="shared" si="36"/>
        <v>6903300</v>
      </c>
      <c r="V240" s="314">
        <f>+VLOOKUP(A240,[2]Sheet1!$B$11:$J$400,9,0)</f>
        <v>6045600</v>
      </c>
      <c r="W240" s="315" t="s">
        <v>3223</v>
      </c>
      <c r="X240" s="99"/>
      <c r="Y240" s="99" t="str">
        <f>+VLOOKUP(A240,[3]Sheet1!$B$11:$I$388,8,0)</f>
        <v>60 - 171</v>
      </c>
      <c r="Z240" s="99" t="s">
        <v>1787</v>
      </c>
      <c r="AA240" s="201" t="s">
        <v>3034</v>
      </c>
      <c r="AB240" s="100"/>
      <c r="AC240" s="201"/>
      <c r="AD240" s="205" t="s">
        <v>3035</v>
      </c>
      <c r="AE240" s="99" t="s">
        <v>2427</v>
      </c>
      <c r="AF240" s="99" t="s">
        <v>3036</v>
      </c>
      <c r="AG240" s="251"/>
      <c r="AH240" s="251"/>
      <c r="AI240" s="251"/>
      <c r="AJ240" s="251"/>
      <c r="AK240" s="251"/>
      <c r="AL240" s="321" t="s">
        <v>3025</v>
      </c>
      <c r="AM240" s="247">
        <v>45047</v>
      </c>
      <c r="AN240" s="251"/>
      <c r="AO240" s="251"/>
      <c r="AP240" s="247"/>
      <c r="AQ240" s="251"/>
      <c r="AR240" s="247"/>
      <c r="AS240" s="251"/>
      <c r="AT240" s="251" t="s">
        <v>3490</v>
      </c>
      <c r="AU240" s="379"/>
      <c r="AV240" s="380"/>
    </row>
    <row r="241" spans="1:48" x14ac:dyDescent="0.25">
      <c r="A241" s="355" t="s">
        <v>3111</v>
      </c>
      <c r="B241" s="400" t="s">
        <v>3542</v>
      </c>
      <c r="C241" s="100" t="s">
        <v>3112</v>
      </c>
      <c r="D241" s="205">
        <v>38244</v>
      </c>
      <c r="E241" s="97">
        <f t="shared" si="38"/>
        <v>59063</v>
      </c>
      <c r="F241" s="97">
        <f t="shared" si="39"/>
        <v>59080</v>
      </c>
      <c r="G241" s="97">
        <v>53998</v>
      </c>
      <c r="H241" s="97">
        <v>45323</v>
      </c>
      <c r="I241" s="206" t="s">
        <v>723</v>
      </c>
      <c r="J241" s="207" t="s">
        <v>287</v>
      </c>
      <c r="K241" s="118" t="s">
        <v>281</v>
      </c>
      <c r="L241" s="97">
        <v>45323</v>
      </c>
      <c r="M241" s="117"/>
      <c r="N241" s="329" t="s">
        <v>72</v>
      </c>
      <c r="O241" s="118">
        <v>1.41</v>
      </c>
      <c r="P241" s="119"/>
      <c r="Q241" s="99">
        <v>0.1</v>
      </c>
      <c r="R241" s="314">
        <f t="shared" si="40"/>
        <v>6669300</v>
      </c>
      <c r="S241" s="314">
        <f t="shared" si="41"/>
        <v>0</v>
      </c>
      <c r="T241" s="314">
        <f t="shared" si="37"/>
        <v>234000</v>
      </c>
      <c r="U241" s="314">
        <f t="shared" si="36"/>
        <v>6903300</v>
      </c>
      <c r="V241" s="314">
        <f>+VLOOKUP(A241,[2]Sheet1!$B$11:$J$400,9,0)</f>
        <v>6045600</v>
      </c>
      <c r="W241" s="315" t="s">
        <v>3225</v>
      </c>
      <c r="X241" s="99" t="s">
        <v>3258</v>
      </c>
      <c r="Y241" s="99" t="str">
        <f>+VLOOKUP(A241,[3]Sheet1!$B$11:$I$388,8,0)</f>
        <v>60 - 004</v>
      </c>
      <c r="Z241" s="99" t="s">
        <v>1787</v>
      </c>
      <c r="AA241" s="201" t="s">
        <v>3113</v>
      </c>
      <c r="AB241" s="100" t="s">
        <v>3113</v>
      </c>
      <c r="AC241" s="99"/>
      <c r="AD241" s="205"/>
      <c r="AE241" s="99" t="s">
        <v>2427</v>
      </c>
      <c r="AF241" s="99" t="s">
        <v>3404</v>
      </c>
      <c r="AG241" s="316"/>
      <c r="AH241" s="251"/>
      <c r="AI241" s="251"/>
      <c r="AJ241" s="251"/>
      <c r="AK241" s="251"/>
      <c r="AL241" s="326" t="s">
        <v>3025</v>
      </c>
      <c r="AM241" s="247"/>
      <c r="AN241" s="251"/>
      <c r="AO241" s="251"/>
      <c r="AP241" s="247"/>
      <c r="AQ241" s="247"/>
      <c r="AR241" s="247"/>
      <c r="AS241" s="321"/>
      <c r="AT241" s="251" t="s">
        <v>3490</v>
      </c>
      <c r="AU241" s="379"/>
      <c r="AV241" s="380"/>
    </row>
    <row r="242" spans="1:48" x14ac:dyDescent="0.25">
      <c r="A242" s="355" t="s">
        <v>3263</v>
      </c>
      <c r="B242" s="400" t="s">
        <v>3542</v>
      </c>
      <c r="C242" s="100" t="s">
        <v>3264</v>
      </c>
      <c r="D242" s="205">
        <v>38121</v>
      </c>
      <c r="E242" s="97">
        <f t="shared" si="38"/>
        <v>58940</v>
      </c>
      <c r="F242" s="97">
        <f t="shared" si="39"/>
        <v>58958</v>
      </c>
      <c r="G242" s="97">
        <v>57771</v>
      </c>
      <c r="H242" s="97">
        <v>45597</v>
      </c>
      <c r="I242" s="206" t="s">
        <v>723</v>
      </c>
      <c r="J242" s="207" t="s">
        <v>287</v>
      </c>
      <c r="K242" s="118" t="s">
        <v>281</v>
      </c>
      <c r="L242" s="97">
        <v>45047</v>
      </c>
      <c r="M242" s="117"/>
      <c r="N242" s="329" t="s">
        <v>72</v>
      </c>
      <c r="O242" s="118">
        <v>1.41</v>
      </c>
      <c r="P242" s="119"/>
      <c r="Q242" s="99">
        <v>0.1</v>
      </c>
      <c r="R242" s="314">
        <f t="shared" si="40"/>
        <v>6669300</v>
      </c>
      <c r="S242" s="314">
        <f t="shared" si="41"/>
        <v>0</v>
      </c>
      <c r="T242" s="314">
        <f t="shared" si="37"/>
        <v>234000</v>
      </c>
      <c r="U242" s="314">
        <f t="shared" si="36"/>
        <v>6903300</v>
      </c>
      <c r="V242" s="314"/>
      <c r="W242" s="319">
        <v>6020570054</v>
      </c>
      <c r="X242" s="99" t="s">
        <v>3285</v>
      </c>
      <c r="Y242" s="99"/>
      <c r="Z242" s="99" t="s">
        <v>1787</v>
      </c>
      <c r="AA242" s="223" t="s">
        <v>3274</v>
      </c>
      <c r="AB242" s="100"/>
      <c r="AC242" s="99"/>
      <c r="AD242" s="205"/>
      <c r="AE242" s="99" t="s">
        <v>2427</v>
      </c>
      <c r="AF242" s="99" t="s">
        <v>3266</v>
      </c>
      <c r="AG242" s="316"/>
      <c r="AH242" s="251"/>
      <c r="AI242" s="251"/>
      <c r="AJ242" s="251" t="s">
        <v>3650</v>
      </c>
      <c r="AK242" s="251"/>
      <c r="AL242" s="326" t="s">
        <v>3025</v>
      </c>
      <c r="AM242" s="247">
        <v>45566</v>
      </c>
      <c r="AN242" s="251"/>
      <c r="AO242" s="247">
        <v>45597</v>
      </c>
      <c r="AP242" s="247"/>
      <c r="AQ242" s="247"/>
      <c r="AR242" s="247"/>
      <c r="AS242" s="340" t="s">
        <v>3278</v>
      </c>
      <c r="AT242" s="251" t="s">
        <v>3490</v>
      </c>
      <c r="AU242" s="379"/>
      <c r="AV242" s="380"/>
    </row>
    <row r="243" spans="1:48" x14ac:dyDescent="0.25">
      <c r="A243" s="357" t="s">
        <v>3037</v>
      </c>
      <c r="B243" s="400" t="s">
        <v>3542</v>
      </c>
      <c r="C243" s="100" t="s">
        <v>3038</v>
      </c>
      <c r="D243" s="205">
        <v>34027</v>
      </c>
      <c r="E243" s="97">
        <f t="shared" si="38"/>
        <v>54846</v>
      </c>
      <c r="F243" s="97">
        <f>+EOMONTH(E243,0)+1</f>
        <v>54848</v>
      </c>
      <c r="G243" s="97">
        <v>54848</v>
      </c>
      <c r="H243" s="97">
        <v>45047</v>
      </c>
      <c r="I243" s="206" t="s">
        <v>723</v>
      </c>
      <c r="J243" s="207" t="s">
        <v>287</v>
      </c>
      <c r="K243" s="118" t="s">
        <v>281</v>
      </c>
      <c r="L243" s="97">
        <v>45139</v>
      </c>
      <c r="M243" s="204"/>
      <c r="N243" s="329" t="s">
        <v>72</v>
      </c>
      <c r="O243" s="118">
        <v>1.41</v>
      </c>
      <c r="P243" s="119"/>
      <c r="Q243" s="99">
        <v>0.1</v>
      </c>
      <c r="R243" s="314">
        <f t="shared" si="40"/>
        <v>6669300</v>
      </c>
      <c r="S243" s="314">
        <f>+P243*4410000</f>
        <v>0</v>
      </c>
      <c r="T243" s="314">
        <f>+Q243*2340000</f>
        <v>234000</v>
      </c>
      <c r="U243" s="314">
        <f>+R243+S243+T243</f>
        <v>6903300</v>
      </c>
      <c r="V243" s="314">
        <f>+VLOOKUP(A243,[2]Sheet1!$B$11:$J$400,9,0)</f>
        <v>6045600</v>
      </c>
      <c r="W243" s="315" t="s">
        <v>3222</v>
      </c>
      <c r="X243" s="99"/>
      <c r="Y243" s="99" t="str">
        <f>+VLOOKUP(A243,[3]Sheet1!$B$11:$I$388,8,0)</f>
        <v>60 - 171</v>
      </c>
      <c r="Z243" s="99" t="s">
        <v>1787</v>
      </c>
      <c r="AA243" s="201" t="s">
        <v>3039</v>
      </c>
      <c r="AB243" s="100"/>
      <c r="AC243" s="201"/>
      <c r="AD243" s="205" t="s">
        <v>3040</v>
      </c>
      <c r="AE243" s="99" t="s">
        <v>2427</v>
      </c>
      <c r="AF243" s="99" t="s">
        <v>3041</v>
      </c>
      <c r="AG243" s="251"/>
      <c r="AH243" s="251"/>
      <c r="AI243" s="251"/>
      <c r="AJ243" s="251"/>
      <c r="AK243" s="251"/>
      <c r="AL243" s="321" t="s">
        <v>3025</v>
      </c>
      <c r="AM243" s="247">
        <v>45047</v>
      </c>
      <c r="AN243" s="251"/>
      <c r="AO243" s="251"/>
      <c r="AP243" s="247"/>
      <c r="AQ243" s="251"/>
      <c r="AR243" s="247"/>
      <c r="AS243" s="251"/>
      <c r="AT243" s="251" t="s">
        <v>3490</v>
      </c>
      <c r="AU243" s="379"/>
      <c r="AV243" s="380"/>
    </row>
    <row r="244" spans="1:48" x14ac:dyDescent="0.25">
      <c r="A244" s="361" t="s">
        <v>209</v>
      </c>
      <c r="B244" s="400" t="s">
        <v>3542</v>
      </c>
      <c r="C244" s="100" t="s">
        <v>416</v>
      </c>
      <c r="D244" s="97">
        <v>32275</v>
      </c>
      <c r="E244" s="97">
        <f t="shared" si="38"/>
        <v>53094</v>
      </c>
      <c r="F244" s="97">
        <f t="shared" si="39"/>
        <v>53114</v>
      </c>
      <c r="G244" s="97">
        <v>53114</v>
      </c>
      <c r="H244" s="97">
        <v>40756</v>
      </c>
      <c r="I244" s="206" t="s">
        <v>724</v>
      </c>
      <c r="J244" s="207" t="s">
        <v>287</v>
      </c>
      <c r="K244" s="118" t="s">
        <v>286</v>
      </c>
      <c r="L244" s="97">
        <v>45261</v>
      </c>
      <c r="M244" s="117"/>
      <c r="N244" s="330" t="s">
        <v>71</v>
      </c>
      <c r="O244" s="207">
        <v>1.49</v>
      </c>
      <c r="P244" s="119">
        <v>0.06</v>
      </c>
      <c r="Q244" s="99">
        <v>0.2</v>
      </c>
      <c r="R244" s="314">
        <f t="shared" si="40"/>
        <v>7047700</v>
      </c>
      <c r="S244" s="314">
        <f t="shared" si="41"/>
        <v>264600</v>
      </c>
      <c r="T244" s="314">
        <f t="shared" si="37"/>
        <v>468000</v>
      </c>
      <c r="U244" s="314">
        <f t="shared" si="36"/>
        <v>7780300</v>
      </c>
      <c r="V244" s="314">
        <f>+VLOOKUP(A244,[2]Sheet1!$B$11:$J$400,9,0)</f>
        <v>6808000</v>
      </c>
      <c r="W244" s="315" t="s">
        <v>1690</v>
      </c>
      <c r="X244" s="99" t="s">
        <v>1246</v>
      </c>
      <c r="Y244" s="99" t="str">
        <f>+VLOOKUP(A244,[3]Sheet1!$B$11:$I$388,8,0)</f>
        <v>60 - 005</v>
      </c>
      <c r="Z244" s="99" t="s">
        <v>1787</v>
      </c>
      <c r="AA244" s="99" t="s">
        <v>2882</v>
      </c>
      <c r="AB244" s="100" t="s">
        <v>2474</v>
      </c>
      <c r="AC244" s="99">
        <f>+VALUE(AB235:AB595)</f>
        <v>261025451</v>
      </c>
      <c r="AD244" s="99" t="s">
        <v>1252</v>
      </c>
      <c r="AE244" s="99" t="s">
        <v>2427</v>
      </c>
      <c r="AF244" s="99" t="s">
        <v>1253</v>
      </c>
      <c r="AG244" s="316" t="s">
        <v>1254</v>
      </c>
      <c r="AH244" s="251"/>
      <c r="AI244" s="251"/>
      <c r="AJ244" s="251"/>
      <c r="AK244" s="251" t="s">
        <v>3585</v>
      </c>
      <c r="AL244" s="251"/>
      <c r="AM244" s="251"/>
      <c r="AN244" s="251"/>
      <c r="AO244" s="251"/>
      <c r="AP244" s="251"/>
      <c r="AQ244" s="251"/>
      <c r="AR244" s="251"/>
      <c r="AS244" s="251" t="s">
        <v>2292</v>
      </c>
      <c r="AT244" s="251" t="s">
        <v>3490</v>
      </c>
      <c r="AU244" s="379"/>
      <c r="AV244" s="380"/>
    </row>
    <row r="245" spans="1:48" x14ac:dyDescent="0.25">
      <c r="A245" s="355" t="s">
        <v>212</v>
      </c>
      <c r="B245" s="400" t="s">
        <v>3542</v>
      </c>
      <c r="C245" s="100" t="s">
        <v>420</v>
      </c>
      <c r="D245" s="97">
        <v>32596</v>
      </c>
      <c r="E245" s="97">
        <f t="shared" si="38"/>
        <v>53415</v>
      </c>
      <c r="F245" s="97">
        <f t="shared" si="39"/>
        <v>53418</v>
      </c>
      <c r="G245" s="97">
        <v>53418</v>
      </c>
      <c r="H245" s="97">
        <v>41671</v>
      </c>
      <c r="I245" s="206" t="s">
        <v>724</v>
      </c>
      <c r="J245" s="207" t="s">
        <v>287</v>
      </c>
      <c r="K245" s="118" t="s">
        <v>281</v>
      </c>
      <c r="L245" s="97">
        <v>45261</v>
      </c>
      <c r="M245" s="204"/>
      <c r="N245" s="327" t="s">
        <v>71</v>
      </c>
      <c r="O245" s="118">
        <v>1.49</v>
      </c>
      <c r="P245" s="119"/>
      <c r="Q245" s="99">
        <v>0.2</v>
      </c>
      <c r="R245" s="314">
        <f t="shared" si="40"/>
        <v>7047700</v>
      </c>
      <c r="S245" s="314">
        <f t="shared" si="41"/>
        <v>0</v>
      </c>
      <c r="T245" s="314">
        <f t="shared" si="37"/>
        <v>468000</v>
      </c>
      <c r="U245" s="314">
        <f t="shared" si="36"/>
        <v>7515700</v>
      </c>
      <c r="V245" s="314">
        <f>+VLOOKUP(A245,[2]Sheet1!$B$11:$J$400,9,0)</f>
        <v>6558400</v>
      </c>
      <c r="W245" s="315" t="s">
        <v>1694</v>
      </c>
      <c r="X245" s="99" t="s">
        <v>1261</v>
      </c>
      <c r="Y245" s="99" t="str">
        <f>+VLOOKUP(A245,[3]Sheet1!$B$11:$I$388,8,0)</f>
        <v>60 - 152</v>
      </c>
      <c r="Z245" s="99" t="s">
        <v>1787</v>
      </c>
      <c r="AA245" s="99" t="s">
        <v>2889</v>
      </c>
      <c r="AB245" s="100" t="s">
        <v>2477</v>
      </c>
      <c r="AC245" s="99">
        <f>+VALUE(AB245:AB601)</f>
        <v>261219189</v>
      </c>
      <c r="AD245" s="99" t="s">
        <v>1262</v>
      </c>
      <c r="AE245" s="99" t="s">
        <v>2427</v>
      </c>
      <c r="AF245" s="99" t="s">
        <v>1188</v>
      </c>
      <c r="AG245" s="316" t="s">
        <v>1188</v>
      </c>
      <c r="AH245" s="251"/>
      <c r="AI245" s="251"/>
      <c r="AJ245" s="251"/>
      <c r="AK245" s="251"/>
      <c r="AL245" s="251" t="s">
        <v>3592</v>
      </c>
      <c r="AM245" s="251"/>
      <c r="AN245" s="251"/>
      <c r="AO245" s="251"/>
      <c r="AP245" s="251"/>
      <c r="AQ245" s="251"/>
      <c r="AR245" s="251"/>
      <c r="AS245" s="251" t="s">
        <v>2298</v>
      </c>
      <c r="AT245" s="251" t="s">
        <v>3490</v>
      </c>
      <c r="AU245" s="379"/>
      <c r="AV245" s="380"/>
    </row>
    <row r="246" spans="1:48" x14ac:dyDescent="0.25">
      <c r="A246" s="355" t="s">
        <v>213</v>
      </c>
      <c r="B246" s="400" t="s">
        <v>3542</v>
      </c>
      <c r="C246" s="100" t="s">
        <v>421</v>
      </c>
      <c r="D246" s="97">
        <v>32274</v>
      </c>
      <c r="E246" s="97">
        <f t="shared" si="38"/>
        <v>53093</v>
      </c>
      <c r="F246" s="97">
        <f t="shared" si="39"/>
        <v>53114</v>
      </c>
      <c r="G246" s="97">
        <v>53114</v>
      </c>
      <c r="H246" s="97">
        <v>41609</v>
      </c>
      <c r="I246" s="206" t="s">
        <v>724</v>
      </c>
      <c r="J246" s="207" t="s">
        <v>287</v>
      </c>
      <c r="K246" s="118" t="s">
        <v>281</v>
      </c>
      <c r="L246" s="204" t="s">
        <v>3238</v>
      </c>
      <c r="M246" s="204"/>
      <c r="N246" s="327" t="s">
        <v>71</v>
      </c>
      <c r="O246" s="118">
        <v>1.49</v>
      </c>
      <c r="P246" s="119"/>
      <c r="Q246" s="99">
        <v>0.2</v>
      </c>
      <c r="R246" s="314">
        <f t="shared" si="40"/>
        <v>7047700</v>
      </c>
      <c r="S246" s="314">
        <f t="shared" si="41"/>
        <v>0</v>
      </c>
      <c r="T246" s="314">
        <f t="shared" si="37"/>
        <v>468000</v>
      </c>
      <c r="U246" s="314">
        <f t="shared" si="36"/>
        <v>7515700</v>
      </c>
      <c r="V246" s="314">
        <f>+VLOOKUP(A246,[2]Sheet1!$B$11:$J$400,9,0)</f>
        <v>6225600</v>
      </c>
      <c r="W246" s="315" t="s">
        <v>1695</v>
      </c>
      <c r="X246" s="99" t="s">
        <v>608</v>
      </c>
      <c r="Y246" s="99" t="str">
        <f>+VLOOKUP(A246,[3]Sheet1!$B$11:$I$388,8,0)</f>
        <v>60 - 152</v>
      </c>
      <c r="Z246" s="99" t="s">
        <v>1787</v>
      </c>
      <c r="AA246" s="99" t="s">
        <v>2890</v>
      </c>
      <c r="AB246" s="100" t="s">
        <v>2478</v>
      </c>
      <c r="AC246" s="99">
        <f>+VALUE(AB246:AB602)</f>
        <v>261083783</v>
      </c>
      <c r="AD246" s="99" t="s">
        <v>1263</v>
      </c>
      <c r="AE246" s="99" t="s">
        <v>2427</v>
      </c>
      <c r="AF246" s="99" t="s">
        <v>1264</v>
      </c>
      <c r="AG246" s="316" t="s">
        <v>1265</v>
      </c>
      <c r="AH246" s="251"/>
      <c r="AI246" s="251"/>
      <c r="AJ246" s="251"/>
      <c r="AK246" s="251" t="s">
        <v>3585</v>
      </c>
      <c r="AL246" s="251"/>
      <c r="AM246" s="251"/>
      <c r="AN246" s="251"/>
      <c r="AO246" s="251"/>
      <c r="AP246" s="251"/>
      <c r="AQ246" s="251"/>
      <c r="AR246" s="251"/>
      <c r="AS246" s="251" t="s">
        <v>2299</v>
      </c>
      <c r="AT246" s="251" t="s">
        <v>3490</v>
      </c>
      <c r="AU246" s="379"/>
      <c r="AV246" s="380"/>
    </row>
    <row r="247" spans="1:48" x14ac:dyDescent="0.25">
      <c r="A247" s="361" t="s">
        <v>214</v>
      </c>
      <c r="B247" s="400" t="s">
        <v>3542</v>
      </c>
      <c r="C247" s="100" t="s">
        <v>422</v>
      </c>
      <c r="D247" s="97">
        <v>32744</v>
      </c>
      <c r="E247" s="97">
        <f t="shared" si="38"/>
        <v>53563</v>
      </c>
      <c r="F247" s="97">
        <f t="shared" si="39"/>
        <v>53571</v>
      </c>
      <c r="G247" s="97">
        <v>53571</v>
      </c>
      <c r="H247" s="97">
        <v>40787</v>
      </c>
      <c r="I247" s="206" t="s">
        <v>724</v>
      </c>
      <c r="J247" s="207" t="s">
        <v>287</v>
      </c>
      <c r="K247" s="118" t="s">
        <v>281</v>
      </c>
      <c r="L247" s="117" t="s">
        <v>3410</v>
      </c>
      <c r="M247" s="117"/>
      <c r="N247" s="327" t="s">
        <v>76</v>
      </c>
      <c r="O247" s="118">
        <v>1.58</v>
      </c>
      <c r="P247" s="119"/>
      <c r="Q247" s="99">
        <v>0.2</v>
      </c>
      <c r="R247" s="314">
        <f t="shared" si="40"/>
        <v>7473400</v>
      </c>
      <c r="S247" s="314">
        <f t="shared" si="41"/>
        <v>0</v>
      </c>
      <c r="T247" s="314">
        <f t="shared" si="37"/>
        <v>468000</v>
      </c>
      <c r="U247" s="314">
        <f t="shared" si="36"/>
        <v>7941400</v>
      </c>
      <c r="V247" s="314">
        <f>+VLOOKUP(A247,[2]Sheet1!$B$11:$J$400,9,0)</f>
        <v>6558400</v>
      </c>
      <c r="W247" s="315" t="s">
        <v>1696</v>
      </c>
      <c r="X247" s="99" t="s">
        <v>1246</v>
      </c>
      <c r="Y247" s="99" t="str">
        <f>+VLOOKUP(A247,[3]Sheet1!$B$11:$I$388,8,0)</f>
        <v>60 - 152</v>
      </c>
      <c r="Z247" s="99" t="s">
        <v>1787</v>
      </c>
      <c r="AA247" s="99" t="s">
        <v>2891</v>
      </c>
      <c r="AB247" s="100" t="s">
        <v>2479</v>
      </c>
      <c r="AC247" s="99">
        <f>+VALUE(AB247:AB603)</f>
        <v>261182381</v>
      </c>
      <c r="AD247" s="99" t="s">
        <v>1266</v>
      </c>
      <c r="AE247" s="99" t="s">
        <v>2427</v>
      </c>
      <c r="AF247" s="99" t="s">
        <v>1188</v>
      </c>
      <c r="AG247" s="316" t="s">
        <v>1188</v>
      </c>
      <c r="AH247" s="251"/>
      <c r="AI247" s="251"/>
      <c r="AJ247" s="251"/>
      <c r="AK247" s="251" t="s">
        <v>3585</v>
      </c>
      <c r="AL247" s="251"/>
      <c r="AM247" s="251"/>
      <c r="AN247" s="251"/>
      <c r="AO247" s="251"/>
      <c r="AP247" s="251"/>
      <c r="AQ247" s="251"/>
      <c r="AR247" s="251"/>
      <c r="AS247" s="251" t="s">
        <v>2300</v>
      </c>
      <c r="AT247" s="251" t="s">
        <v>3490</v>
      </c>
      <c r="AU247" s="379"/>
      <c r="AV247" s="380"/>
    </row>
    <row r="248" spans="1:48" x14ac:dyDescent="0.25">
      <c r="A248" s="355" t="s">
        <v>2015</v>
      </c>
      <c r="B248" s="400" t="s">
        <v>3542</v>
      </c>
      <c r="C248" s="100" t="s">
        <v>2016</v>
      </c>
      <c r="D248" s="205">
        <v>33981</v>
      </c>
      <c r="E248" s="97">
        <f t="shared" si="38"/>
        <v>54800</v>
      </c>
      <c r="F248" s="97">
        <f t="shared" si="39"/>
        <v>54820</v>
      </c>
      <c r="G248" s="97">
        <v>54820</v>
      </c>
      <c r="H248" s="97">
        <v>43965</v>
      </c>
      <c r="I248" s="206" t="s">
        <v>724</v>
      </c>
      <c r="J248" s="207" t="s">
        <v>287</v>
      </c>
      <c r="K248" s="118" t="s">
        <v>281</v>
      </c>
      <c r="L248" s="117" t="s">
        <v>3410</v>
      </c>
      <c r="M248" s="117"/>
      <c r="N248" s="327" t="s">
        <v>71</v>
      </c>
      <c r="O248" s="118">
        <v>1.49</v>
      </c>
      <c r="P248" s="119"/>
      <c r="Q248" s="99">
        <v>0.2</v>
      </c>
      <c r="R248" s="314">
        <f t="shared" si="40"/>
        <v>7047700</v>
      </c>
      <c r="S248" s="314">
        <f t="shared" si="41"/>
        <v>0</v>
      </c>
      <c r="T248" s="314">
        <f t="shared" si="37"/>
        <v>468000</v>
      </c>
      <c r="U248" s="314">
        <f t="shared" si="36"/>
        <v>7515700</v>
      </c>
      <c r="V248" s="314">
        <f>+VLOOKUP(A248,[2]Sheet1!$B$11:$J$400,9,0)</f>
        <v>6225600</v>
      </c>
      <c r="W248" s="315" t="s">
        <v>2708</v>
      </c>
      <c r="X248" s="99"/>
      <c r="Y248" s="99" t="str">
        <f>+VLOOKUP(A248,[3]Sheet1!$B$11:$I$388,8,0)</f>
        <v>60 - 152</v>
      </c>
      <c r="Z248" s="99" t="s">
        <v>1787</v>
      </c>
      <c r="AA248" s="99" t="s">
        <v>2892</v>
      </c>
      <c r="AB248" s="100" t="s">
        <v>2017</v>
      </c>
      <c r="AC248" s="99">
        <f>+VALUE(AB248:AB606)</f>
        <v>261286315</v>
      </c>
      <c r="AD248" s="205" t="s">
        <v>1190</v>
      </c>
      <c r="AE248" s="99" t="s">
        <v>2427</v>
      </c>
      <c r="AF248" s="99" t="s">
        <v>2018</v>
      </c>
      <c r="AG248" s="316"/>
      <c r="AH248" s="251"/>
      <c r="AI248" s="251"/>
      <c r="AJ248" s="251" t="s">
        <v>3605</v>
      </c>
      <c r="AK248" s="251"/>
      <c r="AL248" s="251"/>
      <c r="AM248" s="251"/>
      <c r="AN248" s="251"/>
      <c r="AO248" s="251"/>
      <c r="AP248" s="247">
        <v>43809</v>
      </c>
      <c r="AQ248" s="251"/>
      <c r="AR248" s="247">
        <v>44540</v>
      </c>
      <c r="AS248" s="251" t="s">
        <v>2301</v>
      </c>
      <c r="AT248" s="251" t="s">
        <v>3490</v>
      </c>
      <c r="AU248" s="379"/>
      <c r="AV248" s="380"/>
    </row>
    <row r="249" spans="1:48" x14ac:dyDescent="0.25">
      <c r="A249" s="355" t="s">
        <v>2083</v>
      </c>
      <c r="B249" s="400" t="s">
        <v>3542</v>
      </c>
      <c r="C249" s="100" t="s">
        <v>1985</v>
      </c>
      <c r="D249" s="97">
        <v>32133</v>
      </c>
      <c r="E249" s="97">
        <f t="shared" si="38"/>
        <v>52953</v>
      </c>
      <c r="F249" s="97">
        <f t="shared" si="39"/>
        <v>52963</v>
      </c>
      <c r="G249" s="97">
        <v>52963</v>
      </c>
      <c r="H249" s="97">
        <v>43678</v>
      </c>
      <c r="I249" s="206" t="s">
        <v>724</v>
      </c>
      <c r="J249" s="207" t="s">
        <v>287</v>
      </c>
      <c r="K249" s="118" t="s">
        <v>281</v>
      </c>
      <c r="L249" s="97">
        <v>45778</v>
      </c>
      <c r="M249" s="117"/>
      <c r="N249" s="238" t="s">
        <v>71</v>
      </c>
      <c r="O249" s="118">
        <v>1.49</v>
      </c>
      <c r="P249" s="119"/>
      <c r="Q249" s="99">
        <v>0.2</v>
      </c>
      <c r="R249" s="314">
        <f t="shared" si="40"/>
        <v>7047700</v>
      </c>
      <c r="S249" s="314">
        <f t="shared" si="41"/>
        <v>0</v>
      </c>
      <c r="T249" s="314">
        <f t="shared" si="37"/>
        <v>468000</v>
      </c>
      <c r="U249" s="314">
        <f t="shared" si="36"/>
        <v>7515700</v>
      </c>
      <c r="V249" s="314">
        <f>+VLOOKUP(A249,[2]Sheet1!$B$11:$J$400,9,0)</f>
        <v>6558400</v>
      </c>
      <c r="W249" s="315" t="s">
        <v>1992</v>
      </c>
      <c r="X249" s="99" t="s">
        <v>608</v>
      </c>
      <c r="Y249" s="99" t="str">
        <f>+VLOOKUP(A249,[3]Sheet1!$B$11:$I$388,8,0)</f>
        <v>60 - 152</v>
      </c>
      <c r="Z249" s="99" t="s">
        <v>1787</v>
      </c>
      <c r="AA249" s="99" t="s">
        <v>2893</v>
      </c>
      <c r="AB249" s="100" t="s">
        <v>1986</v>
      </c>
      <c r="AC249" s="99">
        <f>+VALUE(AB249:AB607)</f>
        <v>261102835</v>
      </c>
      <c r="AD249" s="205" t="s">
        <v>1987</v>
      </c>
      <c r="AE249" s="99" t="s">
        <v>2427</v>
      </c>
      <c r="AF249" s="99" t="s">
        <v>1988</v>
      </c>
      <c r="AG249" s="316" t="s">
        <v>1989</v>
      </c>
      <c r="AH249" s="251"/>
      <c r="AI249" s="251"/>
      <c r="AJ249" s="251"/>
      <c r="AK249" s="251" t="s">
        <v>3585</v>
      </c>
      <c r="AL249" s="251"/>
      <c r="AM249" s="251"/>
      <c r="AN249" s="251"/>
      <c r="AO249" s="251"/>
      <c r="AP249" s="247">
        <v>43685</v>
      </c>
      <c r="AQ249" s="251"/>
      <c r="AR249" s="247">
        <v>44416</v>
      </c>
      <c r="AS249" s="251" t="s">
        <v>2302</v>
      </c>
      <c r="AT249" s="251" t="s">
        <v>3490</v>
      </c>
      <c r="AU249" s="379"/>
      <c r="AV249" s="380"/>
    </row>
    <row r="250" spans="1:48" x14ac:dyDescent="0.25">
      <c r="A250" s="355" t="s">
        <v>2028</v>
      </c>
      <c r="B250" s="400" t="s">
        <v>3542</v>
      </c>
      <c r="C250" s="100" t="s">
        <v>3306</v>
      </c>
      <c r="D250" s="97">
        <v>35471</v>
      </c>
      <c r="E250" s="97">
        <f t="shared" si="38"/>
        <v>56290</v>
      </c>
      <c r="F250" s="97">
        <f t="shared" si="39"/>
        <v>56309</v>
      </c>
      <c r="G250" s="97">
        <v>56309</v>
      </c>
      <c r="H250" s="97">
        <v>43908</v>
      </c>
      <c r="I250" s="206" t="s">
        <v>724</v>
      </c>
      <c r="J250" s="207" t="s">
        <v>287</v>
      </c>
      <c r="K250" s="118" t="s">
        <v>285</v>
      </c>
      <c r="L250" s="97">
        <v>45839</v>
      </c>
      <c r="M250" s="117"/>
      <c r="N250" s="238" t="s">
        <v>71</v>
      </c>
      <c r="O250" s="118">
        <v>1.49</v>
      </c>
      <c r="P250" s="119">
        <v>0.04</v>
      </c>
      <c r="Q250" s="99">
        <v>0.2</v>
      </c>
      <c r="R250" s="314">
        <f t="shared" si="40"/>
        <v>7047700</v>
      </c>
      <c r="S250" s="314">
        <f t="shared" si="41"/>
        <v>176400</v>
      </c>
      <c r="T250" s="314">
        <f t="shared" si="37"/>
        <v>468000</v>
      </c>
      <c r="U250" s="314">
        <f t="shared" si="36"/>
        <v>7692100</v>
      </c>
      <c r="V250" s="314">
        <f>+VLOOKUP(A250,[2]Sheet1!$B$11:$J$400,9,0)</f>
        <v>6392000</v>
      </c>
      <c r="W250" s="315" t="s">
        <v>2709</v>
      </c>
      <c r="X250" s="99"/>
      <c r="Y250" s="99" t="str">
        <f>+VLOOKUP(A250,[3]Sheet1!$B$11:$I$388,8,0)</f>
        <v>60 - 152</v>
      </c>
      <c r="Z250" s="99" t="s">
        <v>1787</v>
      </c>
      <c r="AA250" s="99" t="s">
        <v>2894</v>
      </c>
      <c r="AB250" s="100" t="s">
        <v>2029</v>
      </c>
      <c r="AC250" s="99">
        <f>+VALUE(AB250:AB608)</f>
        <v>261396650</v>
      </c>
      <c r="AD250" s="205" t="s">
        <v>2030</v>
      </c>
      <c r="AE250" s="99" t="s">
        <v>2427</v>
      </c>
      <c r="AF250" s="99" t="s">
        <v>2031</v>
      </c>
      <c r="AG250" s="316" t="s">
        <v>2032</v>
      </c>
      <c r="AH250" s="251"/>
      <c r="AI250" s="251" t="s">
        <v>3584</v>
      </c>
      <c r="AJ250" s="251"/>
      <c r="AK250" s="251"/>
      <c r="AL250" s="251"/>
      <c r="AM250" s="251"/>
      <c r="AN250" s="251"/>
      <c r="AO250" s="251"/>
      <c r="AP250" s="247">
        <v>43907</v>
      </c>
      <c r="AQ250" s="251"/>
      <c r="AR250" s="247">
        <v>44638</v>
      </c>
      <c r="AS250" s="251" t="s">
        <v>2303</v>
      </c>
      <c r="AT250" s="251" t="s">
        <v>3490</v>
      </c>
      <c r="AU250" s="379"/>
      <c r="AV250" s="380"/>
    </row>
    <row r="251" spans="1:48" x14ac:dyDescent="0.25">
      <c r="A251" s="355" t="s">
        <v>3103</v>
      </c>
      <c r="B251" s="400" t="s">
        <v>3542</v>
      </c>
      <c r="C251" s="100" t="s">
        <v>3104</v>
      </c>
      <c r="D251" s="205">
        <v>34809</v>
      </c>
      <c r="E251" s="97">
        <f t="shared" si="38"/>
        <v>55629</v>
      </c>
      <c r="F251" s="97">
        <f t="shared" si="39"/>
        <v>55640</v>
      </c>
      <c r="G251" s="97">
        <v>58383</v>
      </c>
      <c r="H251" s="97">
        <v>45261</v>
      </c>
      <c r="I251" s="206" t="s">
        <v>724</v>
      </c>
      <c r="J251" s="207" t="s">
        <v>287</v>
      </c>
      <c r="K251" s="118" t="s">
        <v>281</v>
      </c>
      <c r="L251" s="97">
        <v>45261</v>
      </c>
      <c r="M251" s="117"/>
      <c r="N251" s="329" t="s">
        <v>72</v>
      </c>
      <c r="O251" s="118">
        <v>1.41</v>
      </c>
      <c r="P251" s="119"/>
      <c r="Q251" s="99">
        <v>0.2</v>
      </c>
      <c r="R251" s="314">
        <f t="shared" si="40"/>
        <v>6669300</v>
      </c>
      <c r="S251" s="314">
        <f t="shared" si="41"/>
        <v>0</v>
      </c>
      <c r="T251" s="314">
        <f t="shared" si="37"/>
        <v>468000</v>
      </c>
      <c r="U251" s="314">
        <f t="shared" si="36"/>
        <v>7137300</v>
      </c>
      <c r="V251" s="314">
        <f>+VLOOKUP(A251,[2]Sheet1!$B$11:$J$400,9,0)</f>
        <v>6225600</v>
      </c>
      <c r="W251" s="315" t="s">
        <v>3227</v>
      </c>
      <c r="X251" s="99"/>
      <c r="Y251" s="99" t="str">
        <f>+VLOOKUP(A251,[3]Sheet1!$B$11:$I$388,8,0)</f>
        <v>60 - 170</v>
      </c>
      <c r="Z251" s="99" t="s">
        <v>1787</v>
      </c>
      <c r="AA251" s="201" t="s">
        <v>3105</v>
      </c>
      <c r="AB251" s="100"/>
      <c r="AC251" s="99"/>
      <c r="AD251" s="205" t="s">
        <v>3040</v>
      </c>
      <c r="AE251" s="99" t="s">
        <v>2427</v>
      </c>
      <c r="AF251" s="99" t="s">
        <v>3106</v>
      </c>
      <c r="AG251" s="316"/>
      <c r="AH251" s="251"/>
      <c r="AI251" s="251"/>
      <c r="AJ251" s="251"/>
      <c r="AK251" s="251"/>
      <c r="AL251" s="251" t="s">
        <v>3643</v>
      </c>
      <c r="AM251" s="247">
        <v>45261</v>
      </c>
      <c r="AN251" s="251"/>
      <c r="AO251" s="247">
        <v>45292</v>
      </c>
      <c r="AP251" s="247"/>
      <c r="AQ251" s="247"/>
      <c r="AR251" s="247">
        <v>46023</v>
      </c>
      <c r="AS251" s="321" t="s">
        <v>3107</v>
      </c>
      <c r="AT251" s="251" t="s">
        <v>3490</v>
      </c>
      <c r="AU251" s="379"/>
      <c r="AV251" s="380"/>
    </row>
    <row r="252" spans="1:48" x14ac:dyDescent="0.25">
      <c r="A252" s="355" t="s">
        <v>3140</v>
      </c>
      <c r="B252" s="400" t="s">
        <v>3542</v>
      </c>
      <c r="C252" s="100" t="s">
        <v>3141</v>
      </c>
      <c r="D252" s="205">
        <v>36851</v>
      </c>
      <c r="E252" s="97">
        <f t="shared" si="38"/>
        <v>57670</v>
      </c>
      <c r="F252" s="97">
        <f t="shared" si="39"/>
        <v>57680</v>
      </c>
      <c r="G252" s="97">
        <v>58385</v>
      </c>
      <c r="H252" s="97">
        <v>45383</v>
      </c>
      <c r="I252" s="206" t="s">
        <v>724</v>
      </c>
      <c r="J252" s="207" t="s">
        <v>287</v>
      </c>
      <c r="K252" s="118" t="s">
        <v>281</v>
      </c>
      <c r="L252" s="97">
        <v>45383</v>
      </c>
      <c r="M252" s="117"/>
      <c r="N252" s="329" t="s">
        <v>72</v>
      </c>
      <c r="O252" s="118">
        <v>1.41</v>
      </c>
      <c r="P252" s="119"/>
      <c r="Q252" s="99">
        <v>0.2</v>
      </c>
      <c r="R252" s="314">
        <f t="shared" si="40"/>
        <v>6669300</v>
      </c>
      <c r="S252" s="314">
        <f t="shared" si="41"/>
        <v>0</v>
      </c>
      <c r="T252" s="314">
        <f t="shared" si="37"/>
        <v>468000</v>
      </c>
      <c r="U252" s="314">
        <f t="shared" si="36"/>
        <v>7137300</v>
      </c>
      <c r="V252" s="314">
        <f>+VLOOKUP(A252,[2]Sheet1!$B$11:$J$400,9,0)</f>
        <v>6225600</v>
      </c>
      <c r="W252" s="315" t="s">
        <v>3229</v>
      </c>
      <c r="X252" s="99"/>
      <c r="Y252" s="99" t="e">
        <f>+VLOOKUP(A252,[3]Sheet1!$B$11:$I$388,8,0)</f>
        <v>#N/A</v>
      </c>
      <c r="Z252" s="99" t="s">
        <v>1787</v>
      </c>
      <c r="AA252" s="201" t="s">
        <v>3142</v>
      </c>
      <c r="AB252" s="100"/>
      <c r="AC252" s="99"/>
      <c r="AD252" s="205" t="s">
        <v>3143</v>
      </c>
      <c r="AE252" s="99" t="s">
        <v>2427</v>
      </c>
      <c r="AF252" s="99" t="s">
        <v>2518</v>
      </c>
      <c r="AG252" s="316">
        <v>23119</v>
      </c>
      <c r="AH252" s="251"/>
      <c r="AI252" s="251"/>
      <c r="AJ252" s="251"/>
      <c r="AK252" s="251"/>
      <c r="AL252" s="321" t="s">
        <v>3025</v>
      </c>
      <c r="AM252" s="247">
        <v>45383</v>
      </c>
      <c r="AN252" s="251"/>
      <c r="AO252" s="251"/>
      <c r="AP252" s="247"/>
      <c r="AQ252" s="247"/>
      <c r="AR252" s="247"/>
      <c r="AS252" s="321" t="s">
        <v>3144</v>
      </c>
      <c r="AT252" s="251" t="s">
        <v>3490</v>
      </c>
      <c r="AU252" s="379"/>
      <c r="AV252" s="380"/>
    </row>
    <row r="253" spans="1:48" x14ac:dyDescent="0.25">
      <c r="A253" s="355" t="s">
        <v>3353</v>
      </c>
      <c r="B253" s="400" t="s">
        <v>3542</v>
      </c>
      <c r="C253" s="100" t="s">
        <v>3354</v>
      </c>
      <c r="D253" s="205">
        <v>34211</v>
      </c>
      <c r="E253" s="97">
        <f t="shared" si="38"/>
        <v>55030</v>
      </c>
      <c r="F253" s="97">
        <f>+EOMONTH(E253,0)+1</f>
        <v>55032</v>
      </c>
      <c r="G253" s="97">
        <v>55032</v>
      </c>
      <c r="H253" s="97">
        <v>45717</v>
      </c>
      <c r="I253" s="206" t="s">
        <v>724</v>
      </c>
      <c r="J253" s="207" t="s">
        <v>287</v>
      </c>
      <c r="K253" s="118" t="s">
        <v>281</v>
      </c>
      <c r="L253" s="97">
        <v>45717</v>
      </c>
      <c r="M253" s="117"/>
      <c r="N253" s="329" t="s">
        <v>72</v>
      </c>
      <c r="O253" s="118">
        <v>1.41</v>
      </c>
      <c r="P253" s="119"/>
      <c r="Q253" s="99">
        <v>0.2</v>
      </c>
      <c r="R253" s="314">
        <f t="shared" si="40"/>
        <v>6669300</v>
      </c>
      <c r="S253" s="314">
        <f>+P253*4410000</f>
        <v>0</v>
      </c>
      <c r="T253" s="314">
        <f>+Q253*2340000</f>
        <v>468000</v>
      </c>
      <c r="U253" s="314">
        <f>+R253+S253+T253</f>
        <v>7137300</v>
      </c>
      <c r="V253" s="314"/>
      <c r="W253" s="319">
        <v>6020690454</v>
      </c>
      <c r="X253" s="99" t="s">
        <v>3358</v>
      </c>
      <c r="Y253" s="99"/>
      <c r="Z253" s="99" t="s">
        <v>1787</v>
      </c>
      <c r="AA253" s="223" t="s">
        <v>3355</v>
      </c>
      <c r="AB253" s="100"/>
      <c r="AC253" s="99"/>
      <c r="AD253" s="261">
        <v>44740</v>
      </c>
      <c r="AE253" s="99" t="s">
        <v>2427</v>
      </c>
      <c r="AF253" s="99" t="s">
        <v>3357</v>
      </c>
      <c r="AG253" s="316"/>
      <c r="AH253" s="251"/>
      <c r="AI253" s="251"/>
      <c r="AJ253" s="251"/>
      <c r="AK253" s="251"/>
      <c r="AL253" s="326" t="s">
        <v>3603</v>
      </c>
      <c r="AM253" s="247">
        <v>45689</v>
      </c>
      <c r="AN253" s="251"/>
      <c r="AO253" s="247">
        <v>45717</v>
      </c>
      <c r="AP253" s="247"/>
      <c r="AQ253" s="247"/>
      <c r="AR253" s="247"/>
      <c r="AS253" s="340"/>
      <c r="AT253" s="251" t="s">
        <v>3490</v>
      </c>
      <c r="AU253" s="379"/>
      <c r="AV253" s="380"/>
    </row>
    <row r="254" spans="1:48" x14ac:dyDescent="0.25">
      <c r="A254" s="355" t="s">
        <v>3449</v>
      </c>
      <c r="B254" s="400" t="s">
        <v>3542</v>
      </c>
      <c r="C254" s="100" t="s">
        <v>3394</v>
      </c>
      <c r="D254" s="205">
        <v>36843</v>
      </c>
      <c r="E254" s="97">
        <f t="shared" si="38"/>
        <v>57662</v>
      </c>
      <c r="F254" s="97">
        <f t="shared" si="39"/>
        <v>57680</v>
      </c>
      <c r="G254" s="97">
        <v>57680</v>
      </c>
      <c r="H254" s="97">
        <v>45778</v>
      </c>
      <c r="I254" s="206" t="s">
        <v>724</v>
      </c>
      <c r="J254" s="207" t="s">
        <v>287</v>
      </c>
      <c r="K254" s="118" t="s">
        <v>281</v>
      </c>
      <c r="L254" s="97">
        <v>45778</v>
      </c>
      <c r="M254" s="117"/>
      <c r="N254" s="329" t="s">
        <v>72</v>
      </c>
      <c r="O254" s="118">
        <v>1.41</v>
      </c>
      <c r="P254" s="119"/>
      <c r="Q254" s="99">
        <v>0.2</v>
      </c>
      <c r="R254" s="314">
        <f t="shared" si="40"/>
        <v>6669300</v>
      </c>
      <c r="S254" s="314">
        <f t="shared" si="41"/>
        <v>0</v>
      </c>
      <c r="T254" s="314">
        <f t="shared" si="37"/>
        <v>468000</v>
      </c>
      <c r="U254" s="314">
        <f t="shared" ref="U254:U320" si="42">+R254+S254+T254</f>
        <v>7137300</v>
      </c>
      <c r="V254" s="314"/>
      <c r="W254" s="319">
        <v>6021297500</v>
      </c>
      <c r="X254" s="99" t="s">
        <v>3401</v>
      </c>
      <c r="Y254" s="99"/>
      <c r="Z254" s="99" t="s">
        <v>1787</v>
      </c>
      <c r="AA254" s="223" t="s">
        <v>3395</v>
      </c>
      <c r="AB254" s="100"/>
      <c r="AC254" s="99"/>
      <c r="AD254" s="205"/>
      <c r="AE254" s="99" t="s">
        <v>2427</v>
      </c>
      <c r="AF254" s="99" t="s">
        <v>3398</v>
      </c>
      <c r="AG254" s="316" t="s">
        <v>3396</v>
      </c>
      <c r="AH254" s="251"/>
      <c r="AI254" s="251" t="s">
        <v>3651</v>
      </c>
      <c r="AJ254" s="251"/>
      <c r="AK254" s="251"/>
      <c r="AL254" s="326"/>
      <c r="AM254" s="247"/>
      <c r="AN254" s="251"/>
      <c r="AO254" s="247">
        <v>45778</v>
      </c>
      <c r="AP254" s="247"/>
      <c r="AQ254" s="247"/>
      <c r="AR254" s="247"/>
      <c r="AS254" s="321"/>
      <c r="AT254" s="251" t="s">
        <v>3490</v>
      </c>
      <c r="AU254" s="379"/>
      <c r="AV254" s="380"/>
    </row>
    <row r="255" spans="1:48" x14ac:dyDescent="0.25">
      <c r="A255" s="355" t="s">
        <v>3460</v>
      </c>
      <c r="B255" s="400" t="s">
        <v>3542</v>
      </c>
      <c r="C255" s="100" t="s">
        <v>3461</v>
      </c>
      <c r="D255" s="205">
        <v>37957</v>
      </c>
      <c r="E255" s="97">
        <f t="shared" si="38"/>
        <v>58777</v>
      </c>
      <c r="F255" s="97">
        <f t="shared" si="39"/>
        <v>58807</v>
      </c>
      <c r="G255" s="97">
        <v>58807</v>
      </c>
      <c r="H255" s="97">
        <v>45931</v>
      </c>
      <c r="I255" s="206" t="s">
        <v>724</v>
      </c>
      <c r="J255" s="207" t="s">
        <v>287</v>
      </c>
      <c r="K255" s="118" t="s">
        <v>281</v>
      </c>
      <c r="L255" s="97">
        <v>45931</v>
      </c>
      <c r="M255" s="117"/>
      <c r="N255" s="329" t="s">
        <v>72</v>
      </c>
      <c r="O255" s="118">
        <v>1.41</v>
      </c>
      <c r="P255" s="119"/>
      <c r="Q255" s="99">
        <v>0.2</v>
      </c>
      <c r="R255" s="314">
        <f t="shared" si="40"/>
        <v>6669300</v>
      </c>
      <c r="S255" s="314">
        <f t="shared" si="41"/>
        <v>0</v>
      </c>
      <c r="T255" s="314">
        <f t="shared" si="37"/>
        <v>468000</v>
      </c>
      <c r="U255" s="314">
        <f t="shared" si="42"/>
        <v>7137300</v>
      </c>
      <c r="V255" s="314"/>
      <c r="W255" s="319">
        <v>6020780469</v>
      </c>
      <c r="X255" s="99" t="s">
        <v>3465</v>
      </c>
      <c r="Y255" s="99"/>
      <c r="Z255" s="99" t="s">
        <v>1787</v>
      </c>
      <c r="AA255" s="223" t="s">
        <v>3462</v>
      </c>
      <c r="AB255" s="100"/>
      <c r="AC255" s="99"/>
      <c r="AD255" s="205"/>
      <c r="AE255" s="99" t="s">
        <v>2427</v>
      </c>
      <c r="AF255" s="99" t="s">
        <v>3463</v>
      </c>
      <c r="AG255" s="316"/>
      <c r="AH255" s="251"/>
      <c r="AI255" s="251"/>
      <c r="AJ255" s="251" t="s">
        <v>3618</v>
      </c>
      <c r="AK255" s="251"/>
      <c r="AL255" s="326"/>
      <c r="AM255" s="247">
        <v>45901</v>
      </c>
      <c r="AN255" s="251"/>
      <c r="AO255" s="247">
        <v>45931</v>
      </c>
      <c r="AP255" s="247"/>
      <c r="AQ255" s="247"/>
      <c r="AR255" s="247"/>
      <c r="AS255" s="340" t="s">
        <v>3464</v>
      </c>
      <c r="AT255" s="251" t="s">
        <v>3490</v>
      </c>
      <c r="AU255" s="379"/>
      <c r="AV255" s="380"/>
    </row>
    <row r="256" spans="1:48" x14ac:dyDescent="0.25">
      <c r="A256" s="357" t="s">
        <v>215</v>
      </c>
      <c r="B256" s="400" t="s">
        <v>3542</v>
      </c>
      <c r="C256" s="100" t="s">
        <v>423</v>
      </c>
      <c r="D256" s="97">
        <v>26033</v>
      </c>
      <c r="E256" s="97">
        <f t="shared" si="38"/>
        <v>46853</v>
      </c>
      <c r="F256" s="97">
        <f t="shared" si="39"/>
        <v>46874</v>
      </c>
      <c r="G256" s="97">
        <v>46874</v>
      </c>
      <c r="H256" s="97">
        <v>33055</v>
      </c>
      <c r="I256" s="197" t="s">
        <v>725</v>
      </c>
      <c r="J256" s="207" t="s">
        <v>287</v>
      </c>
      <c r="K256" s="118" t="s">
        <v>286</v>
      </c>
      <c r="L256" s="97">
        <v>42979</v>
      </c>
      <c r="M256" s="204"/>
      <c r="N256" s="329" t="s">
        <v>74</v>
      </c>
      <c r="O256" s="118">
        <v>1.68</v>
      </c>
      <c r="P256" s="119">
        <v>0.06</v>
      </c>
      <c r="Q256" s="99">
        <v>0.2</v>
      </c>
      <c r="R256" s="314">
        <f t="shared" si="40"/>
        <v>7946400</v>
      </c>
      <c r="S256" s="314">
        <f t="shared" si="41"/>
        <v>264600</v>
      </c>
      <c r="T256" s="314">
        <f t="shared" si="37"/>
        <v>468000</v>
      </c>
      <c r="U256" s="314">
        <f t="shared" si="42"/>
        <v>8679000</v>
      </c>
      <c r="V256" s="314">
        <f>+VLOOKUP(A256,[2]Sheet1!$B$11:$J$400,9,0)</f>
        <v>7598400</v>
      </c>
      <c r="W256" s="315" t="s">
        <v>1697</v>
      </c>
      <c r="X256" s="99" t="s">
        <v>1269</v>
      </c>
      <c r="Y256" s="99" t="str">
        <f>+VLOOKUP(A256,[3]Sheet1!$B$11:$I$388,8,0)</f>
        <v>60 - 019</v>
      </c>
      <c r="Z256" s="99" t="s">
        <v>1787</v>
      </c>
      <c r="AA256" s="99" t="s">
        <v>2895</v>
      </c>
      <c r="AB256" s="100" t="s">
        <v>2480</v>
      </c>
      <c r="AC256" s="99">
        <f>+VALUE(AB256:AB612)</f>
        <v>260633223</v>
      </c>
      <c r="AD256" s="99" t="s">
        <v>1270</v>
      </c>
      <c r="AE256" s="99" t="s">
        <v>2427</v>
      </c>
      <c r="AF256" s="99" t="s">
        <v>1217</v>
      </c>
      <c r="AG256" s="316" t="s">
        <v>1217</v>
      </c>
      <c r="AH256" s="251"/>
      <c r="AI256" s="251"/>
      <c r="AJ256" s="251"/>
      <c r="AK256" s="251"/>
      <c r="AL256" s="251" t="s">
        <v>3592</v>
      </c>
      <c r="AM256" s="251"/>
      <c r="AN256" s="251"/>
      <c r="AO256" s="251"/>
      <c r="AP256" s="251"/>
      <c r="AQ256" s="251"/>
      <c r="AR256" s="251"/>
      <c r="AS256" s="251" t="s">
        <v>2305</v>
      </c>
      <c r="AT256" s="251" t="s">
        <v>3490</v>
      </c>
      <c r="AU256" s="379"/>
      <c r="AV256" s="380"/>
    </row>
    <row r="257" spans="1:48" x14ac:dyDescent="0.25">
      <c r="A257" s="357" t="s">
        <v>216</v>
      </c>
      <c r="B257" s="400" t="s">
        <v>3542</v>
      </c>
      <c r="C257" s="100" t="s">
        <v>424</v>
      </c>
      <c r="D257" s="97">
        <v>25917</v>
      </c>
      <c r="E257" s="97">
        <v>46645</v>
      </c>
      <c r="F257" s="97">
        <f t="shared" si="39"/>
        <v>46661</v>
      </c>
      <c r="G257" s="97">
        <v>46661</v>
      </c>
      <c r="H257" s="97">
        <v>34608</v>
      </c>
      <c r="I257" s="197" t="s">
        <v>725</v>
      </c>
      <c r="J257" s="207" t="s">
        <v>287</v>
      </c>
      <c r="K257" s="118" t="s">
        <v>281</v>
      </c>
      <c r="L257" s="97">
        <v>39264</v>
      </c>
      <c r="M257" s="204"/>
      <c r="N257" s="329" t="s">
        <v>74</v>
      </c>
      <c r="O257" s="118">
        <v>1.68</v>
      </c>
      <c r="P257" s="119"/>
      <c r="Q257" s="99">
        <v>0.2</v>
      </c>
      <c r="R257" s="314">
        <f t="shared" si="40"/>
        <v>7946400</v>
      </c>
      <c r="S257" s="314">
        <f t="shared" si="41"/>
        <v>0</v>
      </c>
      <c r="T257" s="314">
        <f t="shared" si="37"/>
        <v>468000</v>
      </c>
      <c r="U257" s="314">
        <f t="shared" si="42"/>
        <v>8414400</v>
      </c>
      <c r="V257" s="314">
        <f>+VLOOKUP(A257,[2]Sheet1!$B$11:$J$400,9,0)</f>
        <v>7348800</v>
      </c>
      <c r="W257" s="315" t="s">
        <v>1698</v>
      </c>
      <c r="X257" s="99" t="s">
        <v>609</v>
      </c>
      <c r="Y257" s="99" t="str">
        <f>+VLOOKUP(A257,[3]Sheet1!$B$11:$I$388,8,0)</f>
        <v>60 - 013</v>
      </c>
      <c r="Z257" s="99" t="s">
        <v>1787</v>
      </c>
      <c r="AA257" s="99" t="s">
        <v>2896</v>
      </c>
      <c r="AB257" s="100" t="s">
        <v>2481</v>
      </c>
      <c r="AC257" s="99">
        <f>+VALUE(AB257:AB613)</f>
        <v>260625964</v>
      </c>
      <c r="AD257" s="99" t="s">
        <v>1271</v>
      </c>
      <c r="AE257" s="99" t="s">
        <v>2427</v>
      </c>
      <c r="AF257" s="99" t="s">
        <v>1267</v>
      </c>
      <c r="AG257" s="316" t="s">
        <v>1268</v>
      </c>
      <c r="AH257" s="251"/>
      <c r="AI257" s="251" t="s">
        <v>3597</v>
      </c>
      <c r="AJ257" s="251"/>
      <c r="AK257" s="251"/>
      <c r="AL257" s="251"/>
      <c r="AM257" s="251"/>
      <c r="AN257" s="251"/>
      <c r="AO257" s="251"/>
      <c r="AP257" s="251"/>
      <c r="AQ257" s="251"/>
      <c r="AR257" s="251"/>
      <c r="AS257" s="251" t="s">
        <v>2306</v>
      </c>
      <c r="AT257" s="251" t="s">
        <v>3490</v>
      </c>
      <c r="AU257" s="379"/>
      <c r="AV257" s="380"/>
    </row>
    <row r="258" spans="1:48" x14ac:dyDescent="0.25">
      <c r="A258" s="355" t="s">
        <v>217</v>
      </c>
      <c r="B258" s="400" t="s">
        <v>3542</v>
      </c>
      <c r="C258" s="100" t="s">
        <v>425</v>
      </c>
      <c r="D258" s="97">
        <v>27965</v>
      </c>
      <c r="E258" s="97">
        <f t="shared" ref="E258:E266" si="43">+DATE(YEAR(D258)+57,MONTH(D258),DAY(D258))</f>
        <v>48784</v>
      </c>
      <c r="F258" s="97">
        <f t="shared" si="39"/>
        <v>48792</v>
      </c>
      <c r="G258" s="97">
        <v>48792</v>
      </c>
      <c r="H258" s="97">
        <v>35796</v>
      </c>
      <c r="I258" s="197" t="s">
        <v>725</v>
      </c>
      <c r="J258" s="207" t="s">
        <v>287</v>
      </c>
      <c r="K258" s="118" t="s">
        <v>281</v>
      </c>
      <c r="L258" s="97">
        <v>42979</v>
      </c>
      <c r="M258" s="204"/>
      <c r="N258" s="204" t="s">
        <v>76</v>
      </c>
      <c r="O258" s="118">
        <v>1.58</v>
      </c>
      <c r="P258" s="119"/>
      <c r="Q258" s="99">
        <v>0.2</v>
      </c>
      <c r="R258" s="314">
        <f t="shared" si="40"/>
        <v>7473400</v>
      </c>
      <c r="S258" s="314">
        <f t="shared" si="41"/>
        <v>0</v>
      </c>
      <c r="T258" s="314">
        <f t="shared" si="37"/>
        <v>468000</v>
      </c>
      <c r="U258" s="314">
        <f t="shared" si="42"/>
        <v>7941400</v>
      </c>
      <c r="V258" s="314">
        <f>+VLOOKUP(A258,[2]Sheet1!$B$11:$J$400,9,0)</f>
        <v>6932800</v>
      </c>
      <c r="W258" s="315" t="s">
        <v>1699</v>
      </c>
      <c r="X258" s="99" t="s">
        <v>1272</v>
      </c>
      <c r="Y258" s="99" t="str">
        <f>+VLOOKUP(A258,[3]Sheet1!$B$11:$I$388,8,0)</f>
        <v>60 - 019</v>
      </c>
      <c r="Z258" s="99" t="s">
        <v>1787</v>
      </c>
      <c r="AA258" s="99" t="s">
        <v>2897</v>
      </c>
      <c r="AB258" s="100" t="s">
        <v>2482</v>
      </c>
      <c r="AC258" s="99">
        <f>+VALUE(AB258:AB615)</f>
        <v>261104468</v>
      </c>
      <c r="AD258" s="99" t="s">
        <v>1273</v>
      </c>
      <c r="AE258" s="99" t="s">
        <v>2427</v>
      </c>
      <c r="AF258" s="99" t="s">
        <v>542</v>
      </c>
      <c r="AG258" s="316" t="s">
        <v>1274</v>
      </c>
      <c r="AH258" s="251"/>
      <c r="AI258" s="251"/>
      <c r="AJ258" s="251"/>
      <c r="AK258" s="251" t="s">
        <v>3585</v>
      </c>
      <c r="AL258" s="251"/>
      <c r="AM258" s="251"/>
      <c r="AN258" s="251"/>
      <c r="AO258" s="251"/>
      <c r="AP258" s="251"/>
      <c r="AQ258" s="251"/>
      <c r="AR258" s="251"/>
      <c r="AS258" s="251" t="s">
        <v>2307</v>
      </c>
      <c r="AT258" s="251" t="s">
        <v>3490</v>
      </c>
      <c r="AU258" s="379"/>
      <c r="AV258" s="380"/>
    </row>
    <row r="259" spans="1:48" x14ac:dyDescent="0.25">
      <c r="A259" s="355" t="s">
        <v>218</v>
      </c>
      <c r="B259" s="400" t="s">
        <v>3542</v>
      </c>
      <c r="C259" s="100" t="s">
        <v>426</v>
      </c>
      <c r="D259" s="97">
        <v>34221</v>
      </c>
      <c r="E259" s="97">
        <f t="shared" si="43"/>
        <v>55040</v>
      </c>
      <c r="F259" s="97">
        <f t="shared" si="39"/>
        <v>55062</v>
      </c>
      <c r="G259" s="97">
        <v>55062</v>
      </c>
      <c r="H259" s="97">
        <v>42917</v>
      </c>
      <c r="I259" s="197" t="s">
        <v>725</v>
      </c>
      <c r="J259" s="207" t="s">
        <v>287</v>
      </c>
      <c r="K259" s="118" t="s">
        <v>281</v>
      </c>
      <c r="L259" s="97">
        <v>42917</v>
      </c>
      <c r="M259" s="204"/>
      <c r="N259" s="327" t="s">
        <v>71</v>
      </c>
      <c r="O259" s="118">
        <v>1.49</v>
      </c>
      <c r="P259" s="119">
        <v>0.04</v>
      </c>
      <c r="Q259" s="99">
        <v>0.2</v>
      </c>
      <c r="R259" s="314">
        <f t="shared" si="40"/>
        <v>7047700</v>
      </c>
      <c r="S259" s="314">
        <f t="shared" si="41"/>
        <v>176400</v>
      </c>
      <c r="T259" s="314">
        <f t="shared" si="37"/>
        <v>468000</v>
      </c>
      <c r="U259" s="314">
        <f t="shared" si="42"/>
        <v>7692100</v>
      </c>
      <c r="V259" s="314">
        <f>+VLOOKUP(A259,[2]Sheet1!$B$11:$J$400,9,0)</f>
        <v>6558400</v>
      </c>
      <c r="W259" s="315" t="s">
        <v>1700</v>
      </c>
      <c r="X259" s="99" t="s">
        <v>1122</v>
      </c>
      <c r="Y259" s="99" t="str">
        <f>+VLOOKUP(A259,[3]Sheet1!$B$11:$I$388,8,0)</f>
        <v>60 - 013</v>
      </c>
      <c r="Z259" s="99" t="s">
        <v>1787</v>
      </c>
      <c r="AA259" s="99" t="s">
        <v>2898</v>
      </c>
      <c r="AB259" s="100" t="s">
        <v>2483</v>
      </c>
      <c r="AC259" s="99">
        <f>+VALUE(AB259:AB618)</f>
        <v>272422301</v>
      </c>
      <c r="AD259" s="99" t="s">
        <v>1276</v>
      </c>
      <c r="AE259" s="99" t="s">
        <v>2427</v>
      </c>
      <c r="AF259" s="99" t="s">
        <v>1277</v>
      </c>
      <c r="AG259" s="316" t="s">
        <v>1278</v>
      </c>
      <c r="AH259" s="251"/>
      <c r="AI259" s="251"/>
      <c r="AJ259" s="251"/>
      <c r="AK259" s="251" t="s">
        <v>3585</v>
      </c>
      <c r="AL259" s="251"/>
      <c r="AM259" s="251"/>
      <c r="AN259" s="251"/>
      <c r="AO259" s="251"/>
      <c r="AP259" s="251"/>
      <c r="AQ259" s="251"/>
      <c r="AR259" s="251"/>
      <c r="AS259" s="251" t="s">
        <v>2309</v>
      </c>
      <c r="AT259" s="251" t="s">
        <v>3490</v>
      </c>
      <c r="AU259" s="379"/>
      <c r="AV259" s="380"/>
    </row>
    <row r="260" spans="1:48" x14ac:dyDescent="0.25">
      <c r="A260" s="357" t="s">
        <v>219</v>
      </c>
      <c r="B260" s="400" t="s">
        <v>3542</v>
      </c>
      <c r="C260" s="100" t="s">
        <v>427</v>
      </c>
      <c r="D260" s="97">
        <v>27262</v>
      </c>
      <c r="E260" s="97">
        <f t="shared" si="43"/>
        <v>48081</v>
      </c>
      <c r="F260" s="97">
        <f t="shared" si="39"/>
        <v>48092</v>
      </c>
      <c r="G260" s="97">
        <v>48092</v>
      </c>
      <c r="H260" s="97">
        <v>35735</v>
      </c>
      <c r="I260" s="197" t="s">
        <v>725</v>
      </c>
      <c r="J260" s="207" t="s">
        <v>287</v>
      </c>
      <c r="K260" s="118" t="s">
        <v>281</v>
      </c>
      <c r="L260" s="97">
        <v>41091</v>
      </c>
      <c r="M260" s="204"/>
      <c r="N260" s="204" t="s">
        <v>74</v>
      </c>
      <c r="O260" s="118">
        <v>1.68</v>
      </c>
      <c r="P260" s="119"/>
      <c r="Q260" s="99">
        <v>0.2</v>
      </c>
      <c r="R260" s="314">
        <f t="shared" si="40"/>
        <v>7946400</v>
      </c>
      <c r="S260" s="314">
        <f t="shared" si="41"/>
        <v>0</v>
      </c>
      <c r="T260" s="314">
        <f t="shared" si="37"/>
        <v>468000</v>
      </c>
      <c r="U260" s="314">
        <f t="shared" si="42"/>
        <v>8414400</v>
      </c>
      <c r="V260" s="314">
        <f>+VLOOKUP(A260,[2]Sheet1!$B$11:$J$400,9,0)</f>
        <v>7515200</v>
      </c>
      <c r="W260" s="315" t="s">
        <v>1701</v>
      </c>
      <c r="X260" s="99" t="s">
        <v>1168</v>
      </c>
      <c r="Y260" s="99" t="str">
        <f>+VLOOKUP(A260,[3]Sheet1!$B$11:$I$388,8,0)</f>
        <v>60 - 019</v>
      </c>
      <c r="Z260" s="99" t="s">
        <v>1787</v>
      </c>
      <c r="AA260" s="99" t="s">
        <v>2899</v>
      </c>
      <c r="AB260" s="100" t="s">
        <v>2484</v>
      </c>
      <c r="AC260" s="99">
        <f>+VALUE(AB260:AB619)</f>
        <v>261163308</v>
      </c>
      <c r="AD260" s="99" t="s">
        <v>1279</v>
      </c>
      <c r="AE260" s="99" t="s">
        <v>2427</v>
      </c>
      <c r="AF260" s="99" t="s">
        <v>542</v>
      </c>
      <c r="AG260" s="316" t="s">
        <v>1280</v>
      </c>
      <c r="AH260" s="251"/>
      <c r="AI260" s="251"/>
      <c r="AJ260" s="251"/>
      <c r="AK260" s="251" t="s">
        <v>3585</v>
      </c>
      <c r="AL260" s="251"/>
      <c r="AM260" s="251"/>
      <c r="AN260" s="251"/>
      <c r="AO260" s="251"/>
      <c r="AP260" s="251"/>
      <c r="AQ260" s="251"/>
      <c r="AR260" s="251"/>
      <c r="AS260" s="251" t="s">
        <v>2310</v>
      </c>
      <c r="AT260" s="251" t="s">
        <v>3490</v>
      </c>
      <c r="AU260" s="379"/>
      <c r="AV260" s="380"/>
    </row>
    <row r="261" spans="1:48" x14ac:dyDescent="0.25">
      <c r="A261" s="355" t="s">
        <v>220</v>
      </c>
      <c r="B261" s="400" t="s">
        <v>3542</v>
      </c>
      <c r="C261" s="100" t="s">
        <v>550</v>
      </c>
      <c r="D261" s="97">
        <v>33303</v>
      </c>
      <c r="E261" s="97">
        <f t="shared" si="43"/>
        <v>54123</v>
      </c>
      <c r="F261" s="97">
        <f t="shared" si="39"/>
        <v>54149</v>
      </c>
      <c r="G261" s="97">
        <v>54149</v>
      </c>
      <c r="H261" s="97">
        <v>43191</v>
      </c>
      <c r="I261" s="197" t="s">
        <v>725</v>
      </c>
      <c r="J261" s="207" t="s">
        <v>287</v>
      </c>
      <c r="K261" s="118" t="s">
        <v>281</v>
      </c>
      <c r="L261" s="97">
        <v>43160</v>
      </c>
      <c r="M261" s="117"/>
      <c r="N261" s="329" t="s">
        <v>72</v>
      </c>
      <c r="O261" s="118">
        <v>1.41</v>
      </c>
      <c r="P261" s="119"/>
      <c r="Q261" s="99">
        <v>0.2</v>
      </c>
      <c r="R261" s="314">
        <f t="shared" si="40"/>
        <v>6669300</v>
      </c>
      <c r="S261" s="314">
        <f t="shared" si="41"/>
        <v>0</v>
      </c>
      <c r="T261" s="314">
        <f t="shared" si="37"/>
        <v>468000</v>
      </c>
      <c r="U261" s="314">
        <f t="shared" si="42"/>
        <v>7137300</v>
      </c>
      <c r="V261" s="314">
        <f>+VLOOKUP(A261,[2]Sheet1!$B$11:$J$400,9,0)</f>
        <v>6225600</v>
      </c>
      <c r="W261" s="315" t="s">
        <v>1702</v>
      </c>
      <c r="X261" s="99" t="s">
        <v>609</v>
      </c>
      <c r="Y261" s="99" t="str">
        <f>+VLOOKUP(A261,[3]Sheet1!$B$11:$I$388,8,0)</f>
        <v>60 - 013</v>
      </c>
      <c r="Z261" s="99" t="s">
        <v>1787</v>
      </c>
      <c r="AA261" s="99" t="s">
        <v>2900</v>
      </c>
      <c r="AB261" s="100" t="s">
        <v>657</v>
      </c>
      <c r="AC261" s="99">
        <f>+VALUE(AB261:AB621)</f>
        <v>261238245</v>
      </c>
      <c r="AD261" s="201" t="s">
        <v>658</v>
      </c>
      <c r="AE261" s="99" t="s">
        <v>2427</v>
      </c>
      <c r="AF261" s="99" t="s">
        <v>659</v>
      </c>
      <c r="AG261" s="316" t="s">
        <v>659</v>
      </c>
      <c r="AH261" s="251"/>
      <c r="AI261" s="251" t="s">
        <v>3584</v>
      </c>
      <c r="AJ261" s="251"/>
      <c r="AK261" s="251"/>
      <c r="AL261" s="251"/>
      <c r="AM261" s="251"/>
      <c r="AN261" s="251"/>
      <c r="AO261" s="251"/>
      <c r="AP261" s="251"/>
      <c r="AQ261" s="251"/>
      <c r="AR261" s="251"/>
      <c r="AS261" s="251" t="s">
        <v>2311</v>
      </c>
      <c r="AT261" s="251" t="s">
        <v>3490</v>
      </c>
      <c r="AU261" s="379"/>
      <c r="AV261" s="380"/>
    </row>
    <row r="262" spans="1:48" x14ac:dyDescent="0.25">
      <c r="A262" s="355" t="s">
        <v>2118</v>
      </c>
      <c r="B262" s="400" t="s">
        <v>3542</v>
      </c>
      <c r="C262" s="100" t="s">
        <v>625</v>
      </c>
      <c r="D262" s="97">
        <v>34820</v>
      </c>
      <c r="E262" s="97">
        <f t="shared" si="43"/>
        <v>55640</v>
      </c>
      <c r="F262" s="97">
        <f t="shared" si="39"/>
        <v>55671</v>
      </c>
      <c r="G262" s="97">
        <v>55671</v>
      </c>
      <c r="H262" s="97">
        <v>44166</v>
      </c>
      <c r="I262" s="197" t="s">
        <v>725</v>
      </c>
      <c r="J262" s="207" t="s">
        <v>287</v>
      </c>
      <c r="K262" s="118" t="s">
        <v>281</v>
      </c>
      <c r="L262" s="97">
        <v>44166</v>
      </c>
      <c r="M262" s="117"/>
      <c r="N262" s="329" t="s">
        <v>72</v>
      </c>
      <c r="O262" s="118">
        <v>1.41</v>
      </c>
      <c r="P262" s="119"/>
      <c r="Q262" s="99">
        <v>0.2</v>
      </c>
      <c r="R262" s="314">
        <f t="shared" si="40"/>
        <v>6669300</v>
      </c>
      <c r="S262" s="314">
        <f t="shared" si="41"/>
        <v>0</v>
      </c>
      <c r="T262" s="314">
        <f t="shared" si="37"/>
        <v>468000</v>
      </c>
      <c r="U262" s="314">
        <f t="shared" si="42"/>
        <v>7137300</v>
      </c>
      <c r="V262" s="314">
        <f>+VLOOKUP(A262,[2]Sheet1!$B$11:$J$400,9,0)</f>
        <v>6225600</v>
      </c>
      <c r="W262" s="315" t="s">
        <v>2132</v>
      </c>
      <c r="X262" s="99"/>
      <c r="Y262" s="99" t="str">
        <f>+VLOOKUP(A262,[3]Sheet1!$B$11:$I$388,8,0)</f>
        <v>60 - 152</v>
      </c>
      <c r="Z262" s="99" t="s">
        <v>1787</v>
      </c>
      <c r="AA262" s="99" t="s">
        <v>2901</v>
      </c>
      <c r="AB262" s="100" t="s">
        <v>2129</v>
      </c>
      <c r="AC262" s="99">
        <f>+VALUE(AB256:AB611)</f>
        <v>261394993</v>
      </c>
      <c r="AD262" s="205" t="s">
        <v>1007</v>
      </c>
      <c r="AE262" s="99" t="s">
        <v>2427</v>
      </c>
      <c r="AF262" s="99" t="s">
        <v>2130</v>
      </c>
      <c r="AG262" s="251" t="s">
        <v>2130</v>
      </c>
      <c r="AH262" s="251"/>
      <c r="AI262" s="251"/>
      <c r="AJ262" s="251"/>
      <c r="AK262" s="251"/>
      <c r="AL262" s="251" t="s">
        <v>3603</v>
      </c>
      <c r="AM262" s="251"/>
      <c r="AN262" s="251"/>
      <c r="AO262" s="251"/>
      <c r="AP262" s="247">
        <v>44210</v>
      </c>
      <c r="AQ262" s="247"/>
      <c r="AR262" s="247">
        <v>44940</v>
      </c>
      <c r="AS262" s="251" t="s">
        <v>2304</v>
      </c>
      <c r="AT262" s="251" t="s">
        <v>3490</v>
      </c>
      <c r="AU262" s="379"/>
      <c r="AV262" s="380"/>
    </row>
    <row r="263" spans="1:48" x14ac:dyDescent="0.25">
      <c r="A263" s="355" t="s">
        <v>2637</v>
      </c>
      <c r="B263" s="400" t="s">
        <v>3542</v>
      </c>
      <c r="C263" s="100" t="s">
        <v>2638</v>
      </c>
      <c r="D263" s="205">
        <v>34773</v>
      </c>
      <c r="E263" s="97">
        <f t="shared" si="43"/>
        <v>55593</v>
      </c>
      <c r="F263" s="97">
        <f t="shared" si="39"/>
        <v>55610</v>
      </c>
      <c r="G263" s="97">
        <v>55610</v>
      </c>
      <c r="H263" s="97">
        <v>44896</v>
      </c>
      <c r="I263" s="197" t="s">
        <v>725</v>
      </c>
      <c r="J263" s="207" t="s">
        <v>287</v>
      </c>
      <c r="K263" s="118" t="s">
        <v>281</v>
      </c>
      <c r="L263" s="97">
        <v>44896</v>
      </c>
      <c r="M263" s="117"/>
      <c r="N263" s="329" t="s">
        <v>72</v>
      </c>
      <c r="O263" s="118">
        <v>1.41</v>
      </c>
      <c r="P263" s="119"/>
      <c r="Q263" s="99">
        <v>0.2</v>
      </c>
      <c r="R263" s="314">
        <f t="shared" si="40"/>
        <v>6669300</v>
      </c>
      <c r="S263" s="314">
        <f t="shared" si="41"/>
        <v>0</v>
      </c>
      <c r="T263" s="314">
        <f t="shared" si="37"/>
        <v>468000</v>
      </c>
      <c r="U263" s="314">
        <f t="shared" si="42"/>
        <v>7137300</v>
      </c>
      <c r="V263" s="314">
        <f>+VLOOKUP(A263,[2]Sheet1!$B$11:$J$400,9,0)</f>
        <v>6225600</v>
      </c>
      <c r="W263" s="315" t="s">
        <v>2712</v>
      </c>
      <c r="X263" s="99"/>
      <c r="Y263" s="99" t="str">
        <f>+VLOOKUP(A263,[3]Sheet1!$B$11:$I$388,8,0)</f>
        <v>60 - 040</v>
      </c>
      <c r="Z263" s="99" t="s">
        <v>1787</v>
      </c>
      <c r="AA263" s="99" t="s">
        <v>2639</v>
      </c>
      <c r="AB263" s="100" t="s">
        <v>2639</v>
      </c>
      <c r="AC263" s="99">
        <f>+VALUE(AB226:AB615)</f>
        <v>60095002252</v>
      </c>
      <c r="AD263" s="205" t="s">
        <v>2640</v>
      </c>
      <c r="AE263" s="99" t="s">
        <v>2427</v>
      </c>
      <c r="AF263" s="99" t="s">
        <v>1267</v>
      </c>
      <c r="AG263" s="316" t="s">
        <v>2641</v>
      </c>
      <c r="AH263" s="251"/>
      <c r="AI263" s="251"/>
      <c r="AJ263" s="251"/>
      <c r="AK263" s="251"/>
      <c r="AL263" s="251" t="s">
        <v>3603</v>
      </c>
      <c r="AM263" s="247">
        <v>44896</v>
      </c>
      <c r="AN263" s="251"/>
      <c r="AO263" s="251"/>
      <c r="AP263" s="247">
        <v>44927</v>
      </c>
      <c r="AQ263" s="247"/>
      <c r="AR263" s="247"/>
      <c r="AS263" s="248" t="s">
        <v>3477</v>
      </c>
      <c r="AT263" s="251" t="s">
        <v>3490</v>
      </c>
      <c r="AU263" s="379"/>
      <c r="AV263" s="380"/>
    </row>
    <row r="264" spans="1:48" x14ac:dyDescent="0.25">
      <c r="A264" s="355" t="s">
        <v>2642</v>
      </c>
      <c r="B264" s="400" t="s">
        <v>3542</v>
      </c>
      <c r="C264" s="100" t="s">
        <v>2643</v>
      </c>
      <c r="D264" s="97">
        <v>36541</v>
      </c>
      <c r="E264" s="97">
        <f t="shared" si="43"/>
        <v>57361</v>
      </c>
      <c r="F264" s="97">
        <f t="shared" si="39"/>
        <v>57377</v>
      </c>
      <c r="G264" s="97">
        <v>57377</v>
      </c>
      <c r="H264" s="97">
        <v>44896</v>
      </c>
      <c r="I264" s="197" t="s">
        <v>725</v>
      </c>
      <c r="J264" s="207" t="s">
        <v>287</v>
      </c>
      <c r="K264" s="118" t="s">
        <v>281</v>
      </c>
      <c r="L264" s="97">
        <v>44896</v>
      </c>
      <c r="M264" s="117"/>
      <c r="N264" s="329" t="s">
        <v>72</v>
      </c>
      <c r="O264" s="118">
        <v>1.41</v>
      </c>
      <c r="P264" s="119"/>
      <c r="Q264" s="99">
        <v>0.2</v>
      </c>
      <c r="R264" s="314">
        <f t="shared" si="40"/>
        <v>6669300</v>
      </c>
      <c r="S264" s="314">
        <f t="shared" si="41"/>
        <v>0</v>
      </c>
      <c r="T264" s="314">
        <f t="shared" si="37"/>
        <v>468000</v>
      </c>
      <c r="U264" s="314">
        <f t="shared" si="42"/>
        <v>7137300</v>
      </c>
      <c r="V264" s="314">
        <f>+VLOOKUP(A264,[2]Sheet1!$B$11:$J$400,9,0)</f>
        <v>6225600</v>
      </c>
      <c r="W264" s="315" t="s">
        <v>3230</v>
      </c>
      <c r="X264" s="99"/>
      <c r="Y264" s="99" t="str">
        <f>+VLOOKUP(A264,[3]Sheet1!$B$11:$I$388,8,0)</f>
        <v>60 - 013</v>
      </c>
      <c r="Z264" s="99" t="s">
        <v>1787</v>
      </c>
      <c r="AA264" s="99" t="s">
        <v>2644</v>
      </c>
      <c r="AB264" s="100" t="s">
        <v>2644</v>
      </c>
      <c r="AC264" s="99">
        <f>+VALUE(AB257:AB612)</f>
        <v>60200007348</v>
      </c>
      <c r="AD264" s="205" t="s">
        <v>2645</v>
      </c>
      <c r="AE264" s="99" t="s">
        <v>2427</v>
      </c>
      <c r="AF264" s="99" t="s">
        <v>1267</v>
      </c>
      <c r="AG264" s="251" t="s">
        <v>2641</v>
      </c>
      <c r="AH264" s="251"/>
      <c r="AI264" s="251"/>
      <c r="AJ264" s="251"/>
      <c r="AK264" s="251"/>
      <c r="AL264" s="251" t="s">
        <v>3603</v>
      </c>
      <c r="AM264" s="247">
        <v>44896</v>
      </c>
      <c r="AN264" s="251"/>
      <c r="AO264" s="251"/>
      <c r="AP264" s="247">
        <v>44927</v>
      </c>
      <c r="AQ264" s="247"/>
      <c r="AR264" s="247"/>
      <c r="AS264" s="321" t="s">
        <v>2646</v>
      </c>
      <c r="AT264" s="251" t="s">
        <v>3490</v>
      </c>
      <c r="AU264" s="379"/>
      <c r="AV264" s="380"/>
    </row>
    <row r="265" spans="1:48" x14ac:dyDescent="0.25">
      <c r="A265" s="355" t="s">
        <v>3047</v>
      </c>
      <c r="B265" s="400" t="s">
        <v>3542</v>
      </c>
      <c r="C265" s="100" t="s">
        <v>3048</v>
      </c>
      <c r="D265" s="97">
        <v>35697</v>
      </c>
      <c r="E265" s="97">
        <f t="shared" si="43"/>
        <v>56516</v>
      </c>
      <c r="F265" s="97">
        <f t="shared" si="39"/>
        <v>56523</v>
      </c>
      <c r="G265" s="97">
        <v>56523</v>
      </c>
      <c r="H265" s="97">
        <v>44896</v>
      </c>
      <c r="I265" s="197" t="s">
        <v>725</v>
      </c>
      <c r="J265" s="207" t="s">
        <v>287</v>
      </c>
      <c r="K265" s="118" t="s">
        <v>281</v>
      </c>
      <c r="L265" s="97">
        <v>44896</v>
      </c>
      <c r="M265" s="117"/>
      <c r="N265" s="329" t="s">
        <v>72</v>
      </c>
      <c r="O265" s="118">
        <v>1.41</v>
      </c>
      <c r="P265" s="119"/>
      <c r="Q265" s="99">
        <v>0.2</v>
      </c>
      <c r="R265" s="314">
        <f t="shared" si="40"/>
        <v>6669300</v>
      </c>
      <c r="S265" s="314">
        <f t="shared" si="41"/>
        <v>0</v>
      </c>
      <c r="T265" s="314">
        <f t="shared" si="37"/>
        <v>468000</v>
      </c>
      <c r="U265" s="314">
        <f t="shared" si="42"/>
        <v>7137300</v>
      </c>
      <c r="V265" s="314">
        <f>+VLOOKUP(A265,[2]Sheet1!$B$11:$J$400,9,0)</f>
        <v>6225600</v>
      </c>
      <c r="W265" s="315" t="s">
        <v>3232</v>
      </c>
      <c r="X265" s="99"/>
      <c r="Y265" s="99" t="str">
        <f>+VLOOKUP(A265,[3]Sheet1!$B$11:$I$388,8,0)</f>
        <v>60 - 152</v>
      </c>
      <c r="Z265" s="99" t="s">
        <v>1787</v>
      </c>
      <c r="AA265" s="201" t="s">
        <v>3049</v>
      </c>
      <c r="AB265" s="100"/>
      <c r="AC265" s="99"/>
      <c r="AD265" s="205" t="s">
        <v>2595</v>
      </c>
      <c r="AE265" s="99" t="s">
        <v>2427</v>
      </c>
      <c r="AF265" s="99" t="s">
        <v>3050</v>
      </c>
      <c r="AG265" s="251"/>
      <c r="AH265" s="251"/>
      <c r="AI265" s="251"/>
      <c r="AJ265" s="251" t="s">
        <v>3652</v>
      </c>
      <c r="AK265" s="251"/>
      <c r="AL265" s="251"/>
      <c r="AM265" s="247">
        <v>45078</v>
      </c>
      <c r="AN265" s="251"/>
      <c r="AO265" s="247">
        <v>45108</v>
      </c>
      <c r="AP265" s="247"/>
      <c r="AQ265" s="247"/>
      <c r="AR265" s="247">
        <v>45474</v>
      </c>
      <c r="AS265" s="321"/>
      <c r="AT265" s="251" t="s">
        <v>3490</v>
      </c>
      <c r="AU265" s="379"/>
      <c r="AV265" s="380"/>
    </row>
    <row r="266" spans="1:48" x14ac:dyDescent="0.25">
      <c r="A266" s="355" t="s">
        <v>3115</v>
      </c>
      <c r="B266" s="400" t="s">
        <v>3542</v>
      </c>
      <c r="C266" s="100" t="s">
        <v>3116</v>
      </c>
      <c r="D266" s="205">
        <v>37509</v>
      </c>
      <c r="E266" s="97">
        <f t="shared" si="43"/>
        <v>58328</v>
      </c>
      <c r="F266" s="97">
        <f>+EOMONTH(E266,0)+1</f>
        <v>58349</v>
      </c>
      <c r="G266" s="97">
        <v>58384</v>
      </c>
      <c r="H266" s="97">
        <v>45352</v>
      </c>
      <c r="I266" s="197" t="s">
        <v>725</v>
      </c>
      <c r="J266" s="207" t="s">
        <v>287</v>
      </c>
      <c r="K266" s="118" t="s">
        <v>281</v>
      </c>
      <c r="L266" s="97">
        <v>45352</v>
      </c>
      <c r="M266" s="117"/>
      <c r="N266" s="329" t="s">
        <v>72</v>
      </c>
      <c r="O266" s="118">
        <v>1.41</v>
      </c>
      <c r="P266" s="119"/>
      <c r="Q266" s="99">
        <v>0.2</v>
      </c>
      <c r="R266" s="314">
        <f t="shared" si="40"/>
        <v>6669300</v>
      </c>
      <c r="S266" s="314">
        <f>+P266*4410000</f>
        <v>0</v>
      </c>
      <c r="T266" s="314">
        <f>+Q266*2340000</f>
        <v>468000</v>
      </c>
      <c r="U266" s="314">
        <f>+R266+S266+T266</f>
        <v>7137300</v>
      </c>
      <c r="V266" s="314">
        <f>+VLOOKUP(A266,[2]Sheet1!$B$11:$J$400,9,0)</f>
        <v>6225600</v>
      </c>
      <c r="W266" s="315" t="s">
        <v>3221</v>
      </c>
      <c r="X266" s="99"/>
      <c r="Y266" s="99" t="str">
        <f>+VLOOKUP(A266,[3]Sheet1!$B$11:$I$388,8,0)</f>
        <v>60 - 013</v>
      </c>
      <c r="Z266" s="99" t="s">
        <v>1787</v>
      </c>
      <c r="AA266" s="201" t="s">
        <v>3117</v>
      </c>
      <c r="AB266" s="100"/>
      <c r="AC266" s="99"/>
      <c r="AD266" s="205" t="s">
        <v>3013</v>
      </c>
      <c r="AE266" s="99" t="s">
        <v>2427</v>
      </c>
      <c r="AF266" s="99" t="s">
        <v>1267</v>
      </c>
      <c r="AG266" s="251" t="s">
        <v>2641</v>
      </c>
      <c r="AH266" s="251"/>
      <c r="AI266" s="251"/>
      <c r="AJ266" s="251"/>
      <c r="AK266" s="251"/>
      <c r="AL266" s="321" t="s">
        <v>3025</v>
      </c>
      <c r="AM266" s="247">
        <v>45352</v>
      </c>
      <c r="AN266" s="251"/>
      <c r="AO266" s="247">
        <v>45383</v>
      </c>
      <c r="AP266" s="247"/>
      <c r="AQ266" s="247"/>
      <c r="AR266" s="247"/>
      <c r="AS266" s="321" t="s">
        <v>3156</v>
      </c>
      <c r="AT266" s="251" t="s">
        <v>3490</v>
      </c>
      <c r="AU266" s="379"/>
      <c r="AV266" s="380"/>
    </row>
    <row r="267" spans="1:48" x14ac:dyDescent="0.25">
      <c r="A267" s="361" t="s">
        <v>221</v>
      </c>
      <c r="B267" s="400" t="s">
        <v>3542</v>
      </c>
      <c r="C267" s="100" t="s">
        <v>428</v>
      </c>
      <c r="D267" s="97">
        <v>28131</v>
      </c>
      <c r="E267" s="97">
        <f>+DATE(YEAR(D267)+62,MONTH(D267),DAY(D267))</f>
        <v>50776</v>
      </c>
      <c r="F267" s="97">
        <f t="shared" si="39"/>
        <v>50802</v>
      </c>
      <c r="G267" s="97">
        <f>+VLOOKUP(A267,'[1]DATA 06.2023'!$E$2:$J$390,6,0)</f>
        <v>50802</v>
      </c>
      <c r="H267" s="97">
        <v>36220</v>
      </c>
      <c r="I267" s="197" t="s">
        <v>733</v>
      </c>
      <c r="J267" s="198" t="s">
        <v>41</v>
      </c>
      <c r="K267" s="199" t="s">
        <v>3183</v>
      </c>
      <c r="L267" s="97">
        <v>43101</v>
      </c>
      <c r="M267" s="117" t="s">
        <v>1515</v>
      </c>
      <c r="N267" s="200" t="s">
        <v>74</v>
      </c>
      <c r="O267" s="119">
        <v>1.89</v>
      </c>
      <c r="P267" s="119">
        <v>0.35</v>
      </c>
      <c r="Q267" s="99"/>
      <c r="R267" s="314">
        <f t="shared" si="40"/>
        <v>8939700</v>
      </c>
      <c r="S267" s="314">
        <f t="shared" si="41"/>
        <v>1543500</v>
      </c>
      <c r="T267" s="314">
        <f t="shared" si="37"/>
        <v>0</v>
      </c>
      <c r="U267" s="314">
        <f t="shared" si="42"/>
        <v>10483200</v>
      </c>
      <c r="V267" s="314">
        <f>+VLOOKUP(A267,[2]Sheet1!$B$11:$J$400,9,0)</f>
        <v>9318400</v>
      </c>
      <c r="W267" s="315" t="s">
        <v>1703</v>
      </c>
      <c r="X267" s="99" t="s">
        <v>1281</v>
      </c>
      <c r="Y267" s="99" t="str">
        <f>+VLOOKUP(A267,[3]Sheet1!$B$11:$I$388,8,0)</f>
        <v>56 - 177</v>
      </c>
      <c r="Z267" s="99" t="s">
        <v>3307</v>
      </c>
      <c r="AA267" s="201" t="s">
        <v>3078</v>
      </c>
      <c r="AB267" s="100" t="s">
        <v>1285</v>
      </c>
      <c r="AC267" s="99">
        <f>+VALUE(AB267:AB623)</f>
        <v>220909427</v>
      </c>
      <c r="AD267" s="99" t="s">
        <v>1286</v>
      </c>
      <c r="AE267" s="99" t="s">
        <v>2427</v>
      </c>
      <c r="AF267" s="99" t="s">
        <v>1287</v>
      </c>
      <c r="AG267" s="316" t="s">
        <v>1288</v>
      </c>
      <c r="AH267" s="251"/>
      <c r="AI267" s="251" t="s">
        <v>3597</v>
      </c>
      <c r="AJ267" s="251"/>
      <c r="AK267" s="251"/>
      <c r="AL267" s="251"/>
      <c r="AM267" s="251"/>
      <c r="AN267" s="251"/>
      <c r="AO267" s="251"/>
      <c r="AP267" s="251"/>
      <c r="AQ267" s="251"/>
      <c r="AR267" s="251"/>
      <c r="AS267" s="251" t="s">
        <v>2312</v>
      </c>
      <c r="AT267" s="251" t="s">
        <v>3490</v>
      </c>
      <c r="AU267" s="379"/>
      <c r="AV267" s="380"/>
    </row>
    <row r="268" spans="1:48" ht="24" x14ac:dyDescent="0.25">
      <c r="A268" s="361" t="s">
        <v>292</v>
      </c>
      <c r="B268" s="400" t="s">
        <v>3542</v>
      </c>
      <c r="C268" s="100" t="s">
        <v>431</v>
      </c>
      <c r="D268" s="97">
        <v>28803</v>
      </c>
      <c r="E268" s="97">
        <f>+DATE(YEAR(D268)+62,MONTH(D268),DAY(D268))</f>
        <v>51449</v>
      </c>
      <c r="F268" s="97">
        <f t="shared" si="39"/>
        <v>51471</v>
      </c>
      <c r="G268" s="97">
        <f>+VLOOKUP(A268,'[1]DATA 06.2023'!$E$2:$J$390,6,0)</f>
        <v>51471</v>
      </c>
      <c r="H268" s="97">
        <v>36831</v>
      </c>
      <c r="I268" s="197" t="s">
        <v>733</v>
      </c>
      <c r="J268" s="198" t="s">
        <v>41</v>
      </c>
      <c r="K268" s="199" t="s">
        <v>278</v>
      </c>
      <c r="L268" s="97">
        <v>42370</v>
      </c>
      <c r="M268" s="117" t="s">
        <v>1514</v>
      </c>
      <c r="N268" s="117" t="s">
        <v>74</v>
      </c>
      <c r="O268" s="119">
        <v>1.89</v>
      </c>
      <c r="P268" s="119">
        <v>0.25</v>
      </c>
      <c r="Q268" s="99"/>
      <c r="R268" s="314">
        <f t="shared" si="40"/>
        <v>8939700</v>
      </c>
      <c r="S268" s="314">
        <f t="shared" si="41"/>
        <v>1102500</v>
      </c>
      <c r="T268" s="314">
        <f t="shared" si="37"/>
        <v>0</v>
      </c>
      <c r="U268" s="314">
        <f t="shared" si="42"/>
        <v>10042200</v>
      </c>
      <c r="V268" s="314">
        <f>+VLOOKUP(A268,[2]Sheet1!$B$11:$J$400,9,0)</f>
        <v>8486400</v>
      </c>
      <c r="W268" s="315" t="s">
        <v>1706</v>
      </c>
      <c r="X268" s="99" t="s">
        <v>1296</v>
      </c>
      <c r="Y268" s="99" t="str">
        <f>+VLOOKUP(A268,[3]Sheet1!$B$11:$I$388,8,0)</f>
        <v>79 - 009</v>
      </c>
      <c r="Z268" s="99" t="s">
        <v>1792</v>
      </c>
      <c r="AA268" s="99" t="s">
        <v>2746</v>
      </c>
      <c r="AB268" s="100" t="s">
        <v>2148</v>
      </c>
      <c r="AC268" s="99">
        <f>+VALUE(AB18:AB626)</f>
        <v>221038746</v>
      </c>
      <c r="AD268" s="201" t="s">
        <v>2429</v>
      </c>
      <c r="AE268" s="99" t="s">
        <v>2427</v>
      </c>
      <c r="AF268" s="99" t="s">
        <v>1298</v>
      </c>
      <c r="AG268" s="316" t="s">
        <v>1299</v>
      </c>
      <c r="AH268" s="251"/>
      <c r="AI268" s="318" t="s">
        <v>3653</v>
      </c>
      <c r="AJ268" s="251"/>
      <c r="AK268" s="251"/>
      <c r="AL268" s="251"/>
      <c r="AM268" s="251"/>
      <c r="AN268" s="251"/>
      <c r="AO268" s="251"/>
      <c r="AP268" s="251"/>
      <c r="AQ268" s="251"/>
      <c r="AR268" s="251"/>
      <c r="AS268" s="251"/>
      <c r="AT268" s="251" t="s">
        <v>3490</v>
      </c>
      <c r="AU268" s="379"/>
      <c r="AV268" s="380"/>
    </row>
    <row r="269" spans="1:48" x14ac:dyDescent="0.25">
      <c r="A269" s="361" t="s">
        <v>222</v>
      </c>
      <c r="B269" s="400" t="s">
        <v>3542</v>
      </c>
      <c r="C269" s="100" t="s">
        <v>429</v>
      </c>
      <c r="D269" s="97">
        <v>25150</v>
      </c>
      <c r="E269" s="97">
        <f>+DATE(YEAR(D269)+62,MONTH(D269),DAY(D269))</f>
        <v>47795</v>
      </c>
      <c r="F269" s="97">
        <f t="shared" si="39"/>
        <v>47818</v>
      </c>
      <c r="G269" s="97">
        <f>+VLOOKUP(A269,'[1]DATA 06.2023'!$E$2:$J$390,6,0)</f>
        <v>47818</v>
      </c>
      <c r="H269" s="97">
        <v>32752</v>
      </c>
      <c r="I269" s="197" t="s">
        <v>733</v>
      </c>
      <c r="J269" s="198" t="s">
        <v>43</v>
      </c>
      <c r="K269" s="118" t="s">
        <v>280</v>
      </c>
      <c r="L269" s="99"/>
      <c r="M269" s="117"/>
      <c r="N269" s="118" t="s">
        <v>74</v>
      </c>
      <c r="O269" s="119">
        <v>1.89</v>
      </c>
      <c r="P269" s="119"/>
      <c r="Q269" s="99"/>
      <c r="R269" s="314">
        <f t="shared" si="40"/>
        <v>8939700</v>
      </c>
      <c r="S269" s="314">
        <f t="shared" si="41"/>
        <v>0</v>
      </c>
      <c r="T269" s="314">
        <f t="shared" ref="T269:T332" si="44">+Q269*2340000</f>
        <v>0</v>
      </c>
      <c r="U269" s="314">
        <f t="shared" si="42"/>
        <v>8939700</v>
      </c>
      <c r="V269" s="314">
        <f>+VLOOKUP(A269,[2]Sheet1!$B$11:$J$400,9,0)</f>
        <v>7862400</v>
      </c>
      <c r="W269" s="315" t="s">
        <v>1704</v>
      </c>
      <c r="X269" s="99" t="s">
        <v>1803</v>
      </c>
      <c r="Y269" s="99" t="str">
        <f>+VLOOKUP(A269,[3]Sheet1!$B$11:$I$388,8,0)</f>
        <v>56 - 001</v>
      </c>
      <c r="Z269" s="99" t="s">
        <v>40</v>
      </c>
      <c r="AA269" s="99" t="s">
        <v>2902</v>
      </c>
      <c r="AB269" s="100" t="s">
        <v>1289</v>
      </c>
      <c r="AC269" s="99">
        <f>+VALUE(AB269:AB624)</f>
        <v>220771389</v>
      </c>
      <c r="AD269" s="99" t="s">
        <v>1290</v>
      </c>
      <c r="AE269" s="99" t="s">
        <v>2427</v>
      </c>
      <c r="AF269" s="99" t="s">
        <v>1291</v>
      </c>
      <c r="AG269" s="316" t="s">
        <v>1292</v>
      </c>
      <c r="AH269" s="251"/>
      <c r="AI269" s="251" t="s">
        <v>3594</v>
      </c>
      <c r="AJ269" s="251"/>
      <c r="AK269" s="251"/>
      <c r="AL269" s="251"/>
      <c r="AM269" s="251"/>
      <c r="AN269" s="251"/>
      <c r="AO269" s="251"/>
      <c r="AP269" s="251"/>
      <c r="AQ269" s="251"/>
      <c r="AR269" s="251"/>
      <c r="AS269" s="251" t="s">
        <v>2313</v>
      </c>
      <c r="AT269" s="251" t="s">
        <v>3490</v>
      </c>
      <c r="AU269" s="379"/>
      <c r="AV269" s="380"/>
    </row>
    <row r="270" spans="1:48" x14ac:dyDescent="0.25">
      <c r="A270" s="364" t="s">
        <v>1863</v>
      </c>
      <c r="B270" s="400" t="s">
        <v>3542</v>
      </c>
      <c r="C270" s="100" t="s">
        <v>1864</v>
      </c>
      <c r="D270" s="97">
        <v>35078</v>
      </c>
      <c r="E270" s="97">
        <f>+DATE(YEAR(D270)+57,MONTH(D270),DAY(D270))</f>
        <v>55898</v>
      </c>
      <c r="F270" s="97">
        <f>+EOMONTH(E270,0)+1</f>
        <v>55916</v>
      </c>
      <c r="G270" s="97">
        <v>55916</v>
      </c>
      <c r="H270" s="97">
        <v>43440</v>
      </c>
      <c r="I270" s="197" t="s">
        <v>733</v>
      </c>
      <c r="J270" s="203" t="s">
        <v>43</v>
      </c>
      <c r="K270" s="118" t="s">
        <v>36</v>
      </c>
      <c r="L270" s="97"/>
      <c r="M270" s="204"/>
      <c r="N270" s="118" t="s">
        <v>3302</v>
      </c>
      <c r="O270" s="119">
        <v>1.56</v>
      </c>
      <c r="P270" s="119"/>
      <c r="Q270" s="99"/>
      <c r="R270" s="314">
        <f t="shared" si="40"/>
        <v>7378800</v>
      </c>
      <c r="S270" s="314">
        <f>+P270*4410000</f>
        <v>0</v>
      </c>
      <c r="T270" s="314">
        <f>+Q270*2340000</f>
        <v>0</v>
      </c>
      <c r="U270" s="314">
        <f>+R270+S270+T270</f>
        <v>7378800</v>
      </c>
      <c r="V270" s="314">
        <f>+VLOOKUP(A270,[2]Sheet1!$B$11:$J$400,9,0)</f>
        <v>6364800</v>
      </c>
      <c r="W270" s="315" t="s">
        <v>1950</v>
      </c>
      <c r="X270" s="99"/>
      <c r="Y270" s="99" t="str">
        <f>+VLOOKUP(A270,[3]Sheet1!$B$11:$I$388,8,0)</f>
        <v>56 - 158</v>
      </c>
      <c r="Z270" s="99" t="s">
        <v>1793</v>
      </c>
      <c r="AA270" s="99" t="s">
        <v>2958</v>
      </c>
      <c r="AB270" s="100" t="s">
        <v>1865</v>
      </c>
      <c r="AC270" s="99">
        <f>+VALUE(AB270:AB694)</f>
        <v>225755632</v>
      </c>
      <c r="AD270" s="205" t="s">
        <v>1866</v>
      </c>
      <c r="AE270" s="99" t="s">
        <v>2427</v>
      </c>
      <c r="AF270" s="99" t="s">
        <v>1867</v>
      </c>
      <c r="AG270" s="316" t="s">
        <v>1868</v>
      </c>
      <c r="AH270" s="251"/>
      <c r="AI270" s="251"/>
      <c r="AJ270" s="251" t="s">
        <v>3605</v>
      </c>
      <c r="AK270" s="251"/>
      <c r="AL270" s="251"/>
      <c r="AM270" s="251"/>
      <c r="AN270" s="251"/>
      <c r="AO270" s="251"/>
      <c r="AP270" s="247">
        <v>43739</v>
      </c>
      <c r="AQ270" s="251"/>
      <c r="AR270" s="247">
        <v>44470</v>
      </c>
      <c r="AS270" s="251" t="s">
        <v>2373</v>
      </c>
      <c r="AT270" s="251" t="s">
        <v>3490</v>
      </c>
      <c r="AU270" s="379"/>
      <c r="AV270" s="380"/>
    </row>
    <row r="271" spans="1:48" x14ac:dyDescent="0.25">
      <c r="A271" s="361" t="s">
        <v>223</v>
      </c>
      <c r="B271" s="400" t="s">
        <v>3542</v>
      </c>
      <c r="C271" s="100" t="s">
        <v>430</v>
      </c>
      <c r="D271" s="97">
        <v>25953</v>
      </c>
      <c r="E271" s="97">
        <f>+DATE(YEAR(D271)+62,MONTH(D271),DAY(D271))</f>
        <v>48599</v>
      </c>
      <c r="F271" s="97">
        <f t="shared" si="39"/>
        <v>48611</v>
      </c>
      <c r="G271" s="97">
        <f>+VLOOKUP(A271,'[1]DATA 06.2023'!$E$2:$J$390,6,0)</f>
        <v>48611</v>
      </c>
      <c r="H271" s="97">
        <v>33878</v>
      </c>
      <c r="I271" s="197" t="s">
        <v>733</v>
      </c>
      <c r="J271" s="198" t="s">
        <v>43</v>
      </c>
      <c r="K271" s="118" t="s">
        <v>36</v>
      </c>
      <c r="L271" s="99"/>
      <c r="M271" s="117"/>
      <c r="N271" s="118" t="s">
        <v>74</v>
      </c>
      <c r="O271" s="119">
        <v>1.89</v>
      </c>
      <c r="P271" s="119"/>
      <c r="Q271" s="99"/>
      <c r="R271" s="314">
        <f t="shared" si="40"/>
        <v>8939700</v>
      </c>
      <c r="S271" s="314">
        <f t="shared" si="41"/>
        <v>0</v>
      </c>
      <c r="T271" s="314">
        <f t="shared" si="44"/>
        <v>0</v>
      </c>
      <c r="U271" s="314">
        <f t="shared" si="42"/>
        <v>8939700</v>
      </c>
      <c r="V271" s="314">
        <f>+VLOOKUP(A271,[2]Sheet1!$B$11:$J$400,9,0)</f>
        <v>7862400</v>
      </c>
      <c r="W271" s="315" t="s">
        <v>1705</v>
      </c>
      <c r="X271" s="99" t="s">
        <v>1281</v>
      </c>
      <c r="Y271" s="99" t="str">
        <f>+VLOOKUP(A271,[3]Sheet1!$B$11:$I$388,8,0)</f>
        <v>56 - 177</v>
      </c>
      <c r="Z271" s="99" t="s">
        <v>1793</v>
      </c>
      <c r="AA271" s="99" t="s">
        <v>2904</v>
      </c>
      <c r="AB271" s="100">
        <v>220854191</v>
      </c>
      <c r="AC271" s="99">
        <f>+VALUE(AB271:AB625)</f>
        <v>220854191</v>
      </c>
      <c r="AD271" s="99" t="s">
        <v>1293</v>
      </c>
      <c r="AE271" s="99" t="s">
        <v>2427</v>
      </c>
      <c r="AF271" s="99" t="s">
        <v>1294</v>
      </c>
      <c r="AG271" s="316" t="s">
        <v>1295</v>
      </c>
      <c r="AH271" s="251"/>
      <c r="AI271" s="251" t="s">
        <v>3570</v>
      </c>
      <c r="AJ271" s="251"/>
      <c r="AK271" s="251"/>
      <c r="AL271" s="251"/>
      <c r="AM271" s="251"/>
      <c r="AN271" s="251"/>
      <c r="AO271" s="251"/>
      <c r="AP271" s="251"/>
      <c r="AQ271" s="251"/>
      <c r="AR271" s="251"/>
      <c r="AS271" s="251" t="s">
        <v>2315</v>
      </c>
      <c r="AT271" s="251" t="s">
        <v>3490</v>
      </c>
      <c r="AU271" s="379"/>
      <c r="AV271" s="380"/>
    </row>
    <row r="272" spans="1:48" x14ac:dyDescent="0.25">
      <c r="A272" s="361" t="s">
        <v>224</v>
      </c>
      <c r="B272" s="400" t="s">
        <v>3542</v>
      </c>
      <c r="C272" s="100" t="s">
        <v>432</v>
      </c>
      <c r="D272" s="97">
        <v>30825</v>
      </c>
      <c r="E272" s="97">
        <f>+DATE(YEAR(D272)+62,MONTH(D272),DAY(D272))</f>
        <v>53470</v>
      </c>
      <c r="F272" s="97">
        <f t="shared" si="39"/>
        <v>53479</v>
      </c>
      <c r="G272" s="97">
        <f>+VLOOKUP(A272,'[1]DATA 06.2023'!$E$2:$J$390,6,0)</f>
        <v>53479</v>
      </c>
      <c r="H272" s="97">
        <v>38443</v>
      </c>
      <c r="I272" s="197" t="s">
        <v>733</v>
      </c>
      <c r="J272" s="198" t="s">
        <v>43</v>
      </c>
      <c r="K272" s="118" t="s">
        <v>36</v>
      </c>
      <c r="L272" s="97">
        <v>41091</v>
      </c>
      <c r="M272" s="117"/>
      <c r="N272" s="118" t="s">
        <v>75</v>
      </c>
      <c r="O272" s="119">
        <v>1.58</v>
      </c>
      <c r="P272" s="119"/>
      <c r="Q272" s="99"/>
      <c r="R272" s="314">
        <f t="shared" si="40"/>
        <v>7473400</v>
      </c>
      <c r="S272" s="314">
        <f t="shared" si="41"/>
        <v>0</v>
      </c>
      <c r="T272" s="314">
        <f t="shared" si="44"/>
        <v>0</v>
      </c>
      <c r="U272" s="314">
        <f t="shared" si="42"/>
        <v>7473400</v>
      </c>
      <c r="V272" s="314">
        <f>+VLOOKUP(A272,[2]Sheet1!$B$11:$J$400,9,0)</f>
        <v>6572800</v>
      </c>
      <c r="W272" s="315" t="s">
        <v>1707</v>
      </c>
      <c r="X272" s="99" t="s">
        <v>1281</v>
      </c>
      <c r="Y272" s="99" t="str">
        <f>+VLOOKUP(A272,[3]Sheet1!$B$11:$I$388,8,0)</f>
        <v>56 - 177</v>
      </c>
      <c r="Z272" s="99" t="s">
        <v>288</v>
      </c>
      <c r="AA272" s="99" t="s">
        <v>2905</v>
      </c>
      <c r="AB272" s="100" t="s">
        <v>1300</v>
      </c>
      <c r="AC272" s="99">
        <f>+VALUE(AB272:AB627)</f>
        <v>225234801</v>
      </c>
      <c r="AD272" s="99" t="s">
        <v>1301</v>
      </c>
      <c r="AE272" s="99" t="s">
        <v>2427</v>
      </c>
      <c r="AF272" s="99" t="s">
        <v>1302</v>
      </c>
      <c r="AG272" s="316" t="s">
        <v>1295</v>
      </c>
      <c r="AH272" s="251"/>
      <c r="AI272" s="251"/>
      <c r="AJ272" s="251"/>
      <c r="AK272" s="251"/>
      <c r="AL272" s="251" t="s">
        <v>3613</v>
      </c>
      <c r="AM272" s="251"/>
      <c r="AN272" s="251"/>
      <c r="AO272" s="251"/>
      <c r="AP272" s="251"/>
      <c r="AQ272" s="251"/>
      <c r="AR272" s="251"/>
      <c r="AS272" s="251" t="s">
        <v>2316</v>
      </c>
      <c r="AT272" s="251" t="s">
        <v>3490</v>
      </c>
      <c r="AU272" s="379"/>
      <c r="AV272" s="380"/>
    </row>
    <row r="273" spans="1:48" x14ac:dyDescent="0.25">
      <c r="A273" s="355" t="s">
        <v>257</v>
      </c>
      <c r="B273" s="400" t="s">
        <v>3542</v>
      </c>
      <c r="C273" s="100" t="s">
        <v>470</v>
      </c>
      <c r="D273" s="97">
        <v>31463</v>
      </c>
      <c r="E273" s="97">
        <f>+DATE(YEAR(D273)+57,MONTH(D273),DAY(D273))</f>
        <v>52282</v>
      </c>
      <c r="F273" s="97">
        <f>+EOMONTH(E273,0)+1</f>
        <v>52291</v>
      </c>
      <c r="G273" s="97">
        <v>52291</v>
      </c>
      <c r="H273" s="97">
        <v>40544</v>
      </c>
      <c r="I273" s="197" t="s">
        <v>733</v>
      </c>
      <c r="J273" s="207" t="s">
        <v>43</v>
      </c>
      <c r="K273" s="118" t="s">
        <v>36</v>
      </c>
      <c r="L273" s="97">
        <v>43405</v>
      </c>
      <c r="M273" s="97"/>
      <c r="N273" s="117" t="s">
        <v>3302</v>
      </c>
      <c r="O273" s="119">
        <v>1.56</v>
      </c>
      <c r="P273" s="119"/>
      <c r="Q273" s="99"/>
      <c r="R273" s="314">
        <f t="shared" si="40"/>
        <v>7378800</v>
      </c>
      <c r="S273" s="314">
        <f>+P273*4410000</f>
        <v>0</v>
      </c>
      <c r="T273" s="314">
        <f>+Q273*2340000</f>
        <v>0</v>
      </c>
      <c r="U273" s="314">
        <f>+R273+S273+T273</f>
        <v>7378800</v>
      </c>
      <c r="V273" s="314">
        <f>+VLOOKUP(A273,[2]Sheet1!$B$11:$J$400,9,0)</f>
        <v>6572800</v>
      </c>
      <c r="W273" s="315" t="s">
        <v>1748</v>
      </c>
      <c r="X273" s="99" t="s">
        <v>669</v>
      </c>
      <c r="Y273" s="99" t="str">
        <f>+VLOOKUP(A273,[3]Sheet1!$B$11:$I$388,8,0)</f>
        <v>56 - 183</v>
      </c>
      <c r="Z273" s="99" t="s">
        <v>34</v>
      </c>
      <c r="AA273" s="99" t="s">
        <v>2961</v>
      </c>
      <c r="AB273" s="100" t="s">
        <v>1417</v>
      </c>
      <c r="AC273" s="99">
        <f>+VALUE(AB36:AB686)</f>
        <v>212292334</v>
      </c>
      <c r="AD273" s="99" t="s">
        <v>1418</v>
      </c>
      <c r="AE273" s="99" t="s">
        <v>2427</v>
      </c>
      <c r="AF273" s="347" t="s">
        <v>1420</v>
      </c>
      <c r="AG273" s="316" t="s">
        <v>1420</v>
      </c>
      <c r="AH273" s="251"/>
      <c r="AI273" s="251"/>
      <c r="AJ273" s="251"/>
      <c r="AK273" s="251" t="s">
        <v>3585</v>
      </c>
      <c r="AL273" s="251"/>
      <c r="AM273" s="251"/>
      <c r="AN273" s="251"/>
      <c r="AO273" s="251"/>
      <c r="AP273" s="251"/>
      <c r="AQ273" s="251"/>
      <c r="AR273" s="251"/>
      <c r="AS273" s="251"/>
      <c r="AT273" s="251" t="s">
        <v>3491</v>
      </c>
      <c r="AU273" s="379"/>
      <c r="AV273" s="380"/>
    </row>
    <row r="274" spans="1:48" x14ac:dyDescent="0.25">
      <c r="A274" s="361" t="s">
        <v>293</v>
      </c>
      <c r="B274" s="400" t="s">
        <v>3542</v>
      </c>
      <c r="C274" s="100" t="s">
        <v>433</v>
      </c>
      <c r="D274" s="97">
        <v>29466</v>
      </c>
      <c r="E274" s="97">
        <f>+DATE(YEAR(D274)+57,MONTH(D274),DAY(D274))</f>
        <v>50285</v>
      </c>
      <c r="F274" s="97">
        <f t="shared" si="39"/>
        <v>50314</v>
      </c>
      <c r="G274" s="97">
        <v>50314</v>
      </c>
      <c r="H274" s="97">
        <v>38200</v>
      </c>
      <c r="I274" s="206" t="s">
        <v>734</v>
      </c>
      <c r="J274" s="207" t="s">
        <v>287</v>
      </c>
      <c r="K274" s="118" t="s">
        <v>282</v>
      </c>
      <c r="L274" s="97">
        <v>41456</v>
      </c>
      <c r="M274" s="117"/>
      <c r="N274" s="118" t="s">
        <v>74</v>
      </c>
      <c r="O274" s="119">
        <v>1.68</v>
      </c>
      <c r="P274" s="119">
        <v>0.06</v>
      </c>
      <c r="Q274" s="99"/>
      <c r="R274" s="314">
        <f t="shared" si="40"/>
        <v>7946400</v>
      </c>
      <c r="S274" s="314">
        <f t="shared" si="41"/>
        <v>264600</v>
      </c>
      <c r="T274" s="314">
        <f t="shared" si="44"/>
        <v>0</v>
      </c>
      <c r="U274" s="314">
        <f t="shared" si="42"/>
        <v>8211000</v>
      </c>
      <c r="V274" s="314">
        <f>+VLOOKUP(A274,[2]Sheet1!$B$11:$J$400,9,0)</f>
        <v>7238400</v>
      </c>
      <c r="W274" s="315" t="s">
        <v>1708</v>
      </c>
      <c r="X274" s="99" t="s">
        <v>1303</v>
      </c>
      <c r="Y274" s="99" t="str">
        <f>+VLOOKUP(A274,[3]Sheet1!$B$11:$I$388,8,0)</f>
        <v>56 - 012</v>
      </c>
      <c r="Z274" s="99" t="s">
        <v>1795</v>
      </c>
      <c r="AA274" s="99" t="s">
        <v>2906</v>
      </c>
      <c r="AB274" s="100" t="s">
        <v>1304</v>
      </c>
      <c r="AC274" s="99">
        <f>+VALUE(AB274:AB628)</f>
        <v>225129077</v>
      </c>
      <c r="AD274" s="99" t="s">
        <v>1305</v>
      </c>
      <c r="AE274" s="99" t="s">
        <v>2427</v>
      </c>
      <c r="AF274" s="347" t="s">
        <v>1306</v>
      </c>
      <c r="AG274" s="316" t="s">
        <v>1307</v>
      </c>
      <c r="AH274" s="251"/>
      <c r="AI274" s="251" t="s">
        <v>3654</v>
      </c>
      <c r="AJ274" s="251"/>
      <c r="AK274" s="251"/>
      <c r="AL274" s="251"/>
      <c r="AM274" s="251"/>
      <c r="AN274" s="251"/>
      <c r="AO274" s="251"/>
      <c r="AP274" s="251"/>
      <c r="AQ274" s="251"/>
      <c r="AR274" s="251"/>
      <c r="AS274" s="251" t="s">
        <v>2317</v>
      </c>
      <c r="AT274" s="251" t="s">
        <v>3491</v>
      </c>
      <c r="AU274" s="379"/>
      <c r="AV274" s="380"/>
    </row>
    <row r="275" spans="1:48" x14ac:dyDescent="0.25">
      <c r="A275" s="361" t="s">
        <v>2152</v>
      </c>
      <c r="B275" s="400" t="s">
        <v>3542</v>
      </c>
      <c r="C275" s="100" t="s">
        <v>660</v>
      </c>
      <c r="D275" s="97">
        <v>31813</v>
      </c>
      <c r="E275" s="97">
        <f>+DATE(YEAR(D275)+57,MONTH(D275),DAY(D275))</f>
        <v>52632</v>
      </c>
      <c r="F275" s="97">
        <f t="shared" si="39"/>
        <v>52657</v>
      </c>
      <c r="G275" s="97">
        <v>52657</v>
      </c>
      <c r="H275" s="97">
        <v>40878</v>
      </c>
      <c r="I275" s="206" t="s">
        <v>734</v>
      </c>
      <c r="J275" s="207" t="s">
        <v>287</v>
      </c>
      <c r="K275" s="118" t="s">
        <v>281</v>
      </c>
      <c r="L275" s="97">
        <v>45505</v>
      </c>
      <c r="M275" s="117"/>
      <c r="N275" s="117" t="s">
        <v>76</v>
      </c>
      <c r="O275" s="119">
        <v>1.58</v>
      </c>
      <c r="P275" s="119"/>
      <c r="Q275" s="99"/>
      <c r="R275" s="314">
        <f t="shared" si="40"/>
        <v>7473400</v>
      </c>
      <c r="S275" s="314">
        <f t="shared" si="41"/>
        <v>0</v>
      </c>
      <c r="T275" s="314">
        <f t="shared" si="44"/>
        <v>0</v>
      </c>
      <c r="U275" s="314">
        <f t="shared" si="42"/>
        <v>7473400</v>
      </c>
      <c r="V275" s="314">
        <v>6198400</v>
      </c>
      <c r="W275" s="315" t="s">
        <v>3213</v>
      </c>
      <c r="X275" s="99" t="s">
        <v>1269</v>
      </c>
      <c r="Y275" s="99" t="e">
        <f>+VLOOKUP(A275,[3]Sheet1!$B$11:$I$388,8,0)</f>
        <v>#N/A</v>
      </c>
      <c r="Z275" s="99" t="s">
        <v>1795</v>
      </c>
      <c r="AA275" s="99" t="s">
        <v>3004</v>
      </c>
      <c r="AB275" s="100" t="s">
        <v>661</v>
      </c>
      <c r="AC275" s="99">
        <f>+VALUE(AB275:AB629)</f>
        <v>225319098</v>
      </c>
      <c r="AD275" s="201" t="s">
        <v>2143</v>
      </c>
      <c r="AE275" s="99" t="s">
        <v>2427</v>
      </c>
      <c r="AF275" s="347" t="s">
        <v>662</v>
      </c>
      <c r="AG275" s="316" t="s">
        <v>1851</v>
      </c>
      <c r="AH275" s="251"/>
      <c r="AI275" s="251" t="s">
        <v>3655</v>
      </c>
      <c r="AJ275" s="251"/>
      <c r="AK275" s="251" t="s">
        <v>3615</v>
      </c>
      <c r="AL275" s="251"/>
      <c r="AM275" s="251"/>
      <c r="AN275" s="251"/>
      <c r="AO275" s="251"/>
      <c r="AP275" s="251"/>
      <c r="AQ275" s="251"/>
      <c r="AR275" s="251"/>
      <c r="AS275" s="251" t="s">
        <v>2318</v>
      </c>
      <c r="AT275" s="251" t="s">
        <v>3491</v>
      </c>
      <c r="AU275" s="379"/>
      <c r="AV275" s="380"/>
    </row>
    <row r="276" spans="1:48" x14ac:dyDescent="0.25">
      <c r="A276" s="361" t="s">
        <v>3069</v>
      </c>
      <c r="B276" s="400" t="s">
        <v>3542</v>
      </c>
      <c r="C276" s="100" t="s">
        <v>3070</v>
      </c>
      <c r="D276" s="97">
        <v>35796</v>
      </c>
      <c r="E276" s="97">
        <f>+DATE(YEAR(D276)+57,MONTH(D276),DAY(D276))</f>
        <v>56615</v>
      </c>
      <c r="F276" s="97">
        <f t="shared" si="39"/>
        <v>56646</v>
      </c>
      <c r="G276" s="97">
        <v>56646</v>
      </c>
      <c r="H276" s="97">
        <v>45139</v>
      </c>
      <c r="I276" s="206" t="s">
        <v>734</v>
      </c>
      <c r="J276" s="207" t="s">
        <v>287</v>
      </c>
      <c r="K276" s="118" t="s">
        <v>281</v>
      </c>
      <c r="L276" s="97">
        <v>45170</v>
      </c>
      <c r="M276" s="117"/>
      <c r="N276" s="118" t="s">
        <v>72</v>
      </c>
      <c r="O276" s="119">
        <v>1.41</v>
      </c>
      <c r="P276" s="119"/>
      <c r="Q276" s="99"/>
      <c r="R276" s="314">
        <f t="shared" si="40"/>
        <v>6669300</v>
      </c>
      <c r="S276" s="314">
        <f t="shared" si="41"/>
        <v>0</v>
      </c>
      <c r="T276" s="314">
        <f t="shared" si="44"/>
        <v>0</v>
      </c>
      <c r="U276" s="314">
        <f t="shared" si="42"/>
        <v>6669300</v>
      </c>
      <c r="V276" s="314">
        <f>+VLOOKUP(A276,[2]Sheet1!$B$11:$J$400,9,0)</f>
        <v>5865600</v>
      </c>
      <c r="W276" s="315" t="s">
        <v>3233</v>
      </c>
      <c r="X276" s="99"/>
      <c r="Y276" s="99" t="str">
        <f>+VLOOKUP(A276,[3]Sheet1!$B$11:$I$388,8,0)</f>
        <v>56 - 012</v>
      </c>
      <c r="Z276" s="99" t="s">
        <v>1795</v>
      </c>
      <c r="AA276" s="201" t="s">
        <v>3071</v>
      </c>
      <c r="AB276" s="100"/>
      <c r="AC276" s="99"/>
      <c r="AD276" s="205" t="s">
        <v>3072</v>
      </c>
      <c r="AE276" s="99" t="s">
        <v>2427</v>
      </c>
      <c r="AF276" s="347" t="s">
        <v>3073</v>
      </c>
      <c r="AG276" s="251" t="s">
        <v>3073</v>
      </c>
      <c r="AH276" s="251"/>
      <c r="AI276" s="251" t="s">
        <v>3598</v>
      </c>
      <c r="AJ276" s="251"/>
      <c r="AK276" s="251"/>
      <c r="AL276" s="251"/>
      <c r="AM276" s="247">
        <v>45139</v>
      </c>
      <c r="AN276" s="251"/>
      <c r="AO276" s="247">
        <v>45170</v>
      </c>
      <c r="AP276" s="251"/>
      <c r="AQ276" s="251"/>
      <c r="AR276" s="251"/>
      <c r="AS276" s="321" t="s">
        <v>3074</v>
      </c>
      <c r="AT276" s="251" t="s">
        <v>3491</v>
      </c>
      <c r="AU276" s="379"/>
      <c r="AV276" s="380"/>
    </row>
    <row r="277" spans="1:48" x14ac:dyDescent="0.25">
      <c r="A277" s="362" t="s">
        <v>225</v>
      </c>
      <c r="B277" s="397" t="s">
        <v>3543</v>
      </c>
      <c r="C277" s="209" t="s">
        <v>434</v>
      </c>
      <c r="D277" s="97">
        <v>32164</v>
      </c>
      <c r="E277" s="97">
        <f>+DATE(YEAR(D277)+55,MONTH(D277),DAY(D277))</f>
        <v>52253</v>
      </c>
      <c r="F277" s="97">
        <f t="shared" si="39"/>
        <v>52263</v>
      </c>
      <c r="G277" s="97">
        <v>52263</v>
      </c>
      <c r="H277" s="97">
        <v>41030</v>
      </c>
      <c r="I277" s="206" t="s">
        <v>734</v>
      </c>
      <c r="J277" s="207" t="s">
        <v>287</v>
      </c>
      <c r="K277" s="118" t="s">
        <v>281</v>
      </c>
      <c r="L277" s="97">
        <v>41640</v>
      </c>
      <c r="M277" s="117"/>
      <c r="N277" s="200" t="s">
        <v>71</v>
      </c>
      <c r="O277" s="119">
        <v>1.49</v>
      </c>
      <c r="P277" s="119"/>
      <c r="Q277" s="99"/>
      <c r="R277" s="314">
        <f t="shared" si="40"/>
        <v>7047700</v>
      </c>
      <c r="S277" s="314">
        <f t="shared" si="41"/>
        <v>0</v>
      </c>
      <c r="T277" s="314">
        <f t="shared" si="44"/>
        <v>0</v>
      </c>
      <c r="U277" s="314">
        <f t="shared" si="42"/>
        <v>7047700</v>
      </c>
      <c r="V277" s="314">
        <f>+VLOOKUP(A277,[2]Sheet1!$B$11:$J$400,9,0)</f>
        <v>6198400</v>
      </c>
      <c r="W277" s="315" t="s">
        <v>1709</v>
      </c>
      <c r="X277" s="99" t="s">
        <v>1303</v>
      </c>
      <c r="Y277" s="99" t="str">
        <f>+VLOOKUP(A277,[3]Sheet1!$B$11:$I$388,8,0)</f>
        <v>56 - 012</v>
      </c>
      <c r="Z277" s="99" t="s">
        <v>1795</v>
      </c>
      <c r="AA277" s="99" t="s">
        <v>2907</v>
      </c>
      <c r="AB277" s="100" t="s">
        <v>1308</v>
      </c>
      <c r="AC277" s="99">
        <f>+VALUE(AB277:AB630)</f>
        <v>225309769</v>
      </c>
      <c r="AD277" s="99" t="s">
        <v>849</v>
      </c>
      <c r="AE277" s="99" t="s">
        <v>2427</v>
      </c>
      <c r="AF277" s="347" t="s">
        <v>1310</v>
      </c>
      <c r="AG277" s="316" t="s">
        <v>1311</v>
      </c>
      <c r="AH277" s="251"/>
      <c r="AI277" s="251" t="s">
        <v>3577</v>
      </c>
      <c r="AJ277" s="251"/>
      <c r="AK277" s="251"/>
      <c r="AL277" s="251"/>
      <c r="AM277" s="251"/>
      <c r="AN277" s="251"/>
      <c r="AO277" s="251"/>
      <c r="AP277" s="251"/>
      <c r="AQ277" s="251"/>
      <c r="AR277" s="251"/>
      <c r="AS277" s="251" t="s">
        <v>2319</v>
      </c>
      <c r="AT277" s="251" t="s">
        <v>3491</v>
      </c>
      <c r="AU277" s="379"/>
      <c r="AV277" s="380"/>
    </row>
    <row r="278" spans="1:48" x14ac:dyDescent="0.25">
      <c r="A278" s="362" t="s">
        <v>227</v>
      </c>
      <c r="B278" s="397" t="s">
        <v>3543</v>
      </c>
      <c r="C278" s="209" t="s">
        <v>436</v>
      </c>
      <c r="D278" s="97">
        <v>29984</v>
      </c>
      <c r="E278" s="97">
        <f>+DATE(YEAR(D278)+55,MONTH(D278),DAY(D278))</f>
        <v>50073</v>
      </c>
      <c r="F278" s="97">
        <f t="shared" si="39"/>
        <v>50100</v>
      </c>
      <c r="G278" s="97">
        <v>50100</v>
      </c>
      <c r="H278" s="97">
        <v>39814</v>
      </c>
      <c r="I278" s="206" t="s">
        <v>734</v>
      </c>
      <c r="J278" s="207" t="s">
        <v>287</v>
      </c>
      <c r="K278" s="118" t="s">
        <v>281</v>
      </c>
      <c r="L278" s="97">
        <v>41456</v>
      </c>
      <c r="M278" s="117"/>
      <c r="N278" s="210" t="s">
        <v>74</v>
      </c>
      <c r="O278" s="119">
        <v>1.5</v>
      </c>
      <c r="P278" s="119"/>
      <c r="Q278" s="99"/>
      <c r="R278" s="314">
        <f t="shared" si="40"/>
        <v>7095000</v>
      </c>
      <c r="S278" s="314">
        <f t="shared" si="41"/>
        <v>0</v>
      </c>
      <c r="T278" s="314">
        <f t="shared" si="44"/>
        <v>0</v>
      </c>
      <c r="U278" s="314">
        <f t="shared" si="42"/>
        <v>7095000</v>
      </c>
      <c r="V278" s="314">
        <f>+VLOOKUP(A278,[2]Sheet1!$B$11:$J$400,9,0)</f>
        <v>6240000</v>
      </c>
      <c r="W278" s="315" t="s">
        <v>1711</v>
      </c>
      <c r="X278" s="99" t="s">
        <v>1316</v>
      </c>
      <c r="Y278" s="99" t="str">
        <f>+VLOOKUP(A278,[3]Sheet1!$B$11:$I$388,8,0)</f>
        <v>56 - 184</v>
      </c>
      <c r="Z278" s="99" t="s">
        <v>1796</v>
      </c>
      <c r="AA278" s="99" t="s">
        <v>2485</v>
      </c>
      <c r="AB278" s="100" t="s">
        <v>2485</v>
      </c>
      <c r="AC278" s="99">
        <f>+VALUE(AB278:AB633)</f>
        <v>56182000592</v>
      </c>
      <c r="AD278" s="99" t="s">
        <v>1317</v>
      </c>
      <c r="AE278" s="99" t="s">
        <v>2427</v>
      </c>
      <c r="AF278" s="347" t="s">
        <v>1318</v>
      </c>
      <c r="AG278" s="316" t="s">
        <v>1295</v>
      </c>
      <c r="AH278" s="251"/>
      <c r="AI278" s="251"/>
      <c r="AJ278" s="251"/>
      <c r="AK278" s="251" t="s">
        <v>3656</v>
      </c>
      <c r="AL278" s="251"/>
      <c r="AM278" s="251"/>
      <c r="AN278" s="251"/>
      <c r="AO278" s="251"/>
      <c r="AP278" s="251"/>
      <c r="AQ278" s="251"/>
      <c r="AR278" s="251"/>
      <c r="AS278" s="251" t="s">
        <v>2320</v>
      </c>
      <c r="AT278" s="251" t="s">
        <v>3491</v>
      </c>
      <c r="AU278" s="379"/>
      <c r="AV278" s="380"/>
    </row>
    <row r="279" spans="1:48" x14ac:dyDescent="0.25">
      <c r="A279" s="362" t="s">
        <v>228</v>
      </c>
      <c r="B279" s="397" t="s">
        <v>3543</v>
      </c>
      <c r="C279" s="209" t="s">
        <v>437</v>
      </c>
      <c r="D279" s="97">
        <v>31237</v>
      </c>
      <c r="E279" s="97">
        <f>+DATE(YEAR(D279)+55,MONTH(D279),DAY(D279))</f>
        <v>51326</v>
      </c>
      <c r="F279" s="97">
        <f t="shared" si="39"/>
        <v>51349</v>
      </c>
      <c r="G279" s="97">
        <v>51349</v>
      </c>
      <c r="H279" s="97">
        <v>39934</v>
      </c>
      <c r="I279" s="206" t="s">
        <v>734</v>
      </c>
      <c r="J279" s="207" t="s">
        <v>287</v>
      </c>
      <c r="K279" s="118" t="s">
        <v>281</v>
      </c>
      <c r="L279" s="97">
        <v>42979</v>
      </c>
      <c r="M279" s="117"/>
      <c r="N279" s="210" t="s">
        <v>74</v>
      </c>
      <c r="O279" s="119">
        <v>1.5</v>
      </c>
      <c r="P279" s="119"/>
      <c r="Q279" s="99"/>
      <c r="R279" s="314">
        <f t="shared" si="40"/>
        <v>7095000</v>
      </c>
      <c r="S279" s="314">
        <f t="shared" si="41"/>
        <v>0</v>
      </c>
      <c r="T279" s="314">
        <f t="shared" si="44"/>
        <v>0</v>
      </c>
      <c r="U279" s="314">
        <f t="shared" si="42"/>
        <v>7095000</v>
      </c>
      <c r="V279" s="314">
        <f>+VLOOKUP(A279,[2]Sheet1!$B$11:$J$400,9,0)</f>
        <v>6240000</v>
      </c>
      <c r="W279" s="315" t="s">
        <v>1712</v>
      </c>
      <c r="X279" s="99" t="s">
        <v>1316</v>
      </c>
      <c r="Y279" s="99" t="str">
        <f>+VLOOKUP(A279,[3]Sheet1!$B$11:$I$388,8,0)</f>
        <v>56 - 181</v>
      </c>
      <c r="Z279" s="99" t="s">
        <v>1796</v>
      </c>
      <c r="AA279" s="99" t="s">
        <v>2908</v>
      </c>
      <c r="AB279" s="100" t="s">
        <v>1319</v>
      </c>
      <c r="AC279" s="99">
        <f>+VALUE(AB279:AB634)</f>
        <v>225249922</v>
      </c>
      <c r="AD279" s="99" t="s">
        <v>1320</v>
      </c>
      <c r="AE279" s="99" t="s">
        <v>2427</v>
      </c>
      <c r="AF279" s="347" t="s">
        <v>1321</v>
      </c>
      <c r="AG279" s="316" t="s">
        <v>1315</v>
      </c>
      <c r="AH279" s="251"/>
      <c r="AI279" s="251"/>
      <c r="AJ279" s="251"/>
      <c r="AK279" s="251"/>
      <c r="AL279" s="251"/>
      <c r="AM279" s="251"/>
      <c r="AN279" s="251"/>
      <c r="AO279" s="251"/>
      <c r="AP279" s="251"/>
      <c r="AQ279" s="251"/>
      <c r="AR279" s="251"/>
      <c r="AS279" s="251" t="s">
        <v>2321</v>
      </c>
      <c r="AT279" s="251" t="s">
        <v>3491</v>
      </c>
      <c r="AU279" s="379"/>
      <c r="AV279" s="380"/>
    </row>
    <row r="280" spans="1:48" x14ac:dyDescent="0.25">
      <c r="A280" s="362" t="s">
        <v>1877</v>
      </c>
      <c r="B280" s="397" t="s">
        <v>3543</v>
      </c>
      <c r="C280" s="209" t="s">
        <v>438</v>
      </c>
      <c r="D280" s="97">
        <v>27337</v>
      </c>
      <c r="E280" s="97">
        <v>46330</v>
      </c>
      <c r="F280" s="97">
        <f t="shared" si="39"/>
        <v>46357</v>
      </c>
      <c r="G280" s="97">
        <v>46357</v>
      </c>
      <c r="H280" s="97">
        <v>35643</v>
      </c>
      <c r="I280" s="206" t="s">
        <v>734</v>
      </c>
      <c r="J280" s="207" t="s">
        <v>287</v>
      </c>
      <c r="K280" s="118" t="s">
        <v>281</v>
      </c>
      <c r="L280" s="97">
        <v>39630</v>
      </c>
      <c r="M280" s="117"/>
      <c r="N280" s="118" t="s">
        <v>74</v>
      </c>
      <c r="O280" s="119">
        <v>1.5</v>
      </c>
      <c r="P280" s="119"/>
      <c r="Q280" s="99"/>
      <c r="R280" s="314">
        <f t="shared" si="40"/>
        <v>7095000</v>
      </c>
      <c r="S280" s="314">
        <f t="shared" si="41"/>
        <v>0</v>
      </c>
      <c r="T280" s="314">
        <f t="shared" si="44"/>
        <v>0</v>
      </c>
      <c r="U280" s="314">
        <f t="shared" si="42"/>
        <v>7095000</v>
      </c>
      <c r="V280" s="314">
        <f>+VLOOKUP(A280,[2]Sheet1!$B$11:$J$400,9,0)</f>
        <v>6240000</v>
      </c>
      <c r="W280" s="315" t="s">
        <v>1713</v>
      </c>
      <c r="X280" s="99" t="s">
        <v>1316</v>
      </c>
      <c r="Y280" s="99" t="str">
        <f>+VLOOKUP(A280,[3]Sheet1!$B$11:$I$388,8,0)</f>
        <v>56 - 181</v>
      </c>
      <c r="Z280" s="99" t="s">
        <v>1796</v>
      </c>
      <c r="AA280" s="99" t="s">
        <v>2909</v>
      </c>
      <c r="AB280" s="100" t="s">
        <v>1322</v>
      </c>
      <c r="AC280" s="99">
        <f>+VALUE(AB280:AB635)</f>
        <v>225023941</v>
      </c>
      <c r="AD280" s="99" t="s">
        <v>1323</v>
      </c>
      <c r="AE280" s="99" t="s">
        <v>2427</v>
      </c>
      <c r="AF280" s="347" t="s">
        <v>1324</v>
      </c>
      <c r="AG280" s="316" t="s">
        <v>1325</v>
      </c>
      <c r="AH280" s="251"/>
      <c r="AI280" s="251" t="s">
        <v>3583</v>
      </c>
      <c r="AJ280" s="251"/>
      <c r="AK280" s="251"/>
      <c r="AL280" s="251"/>
      <c r="AM280" s="251"/>
      <c r="AN280" s="251"/>
      <c r="AO280" s="251"/>
      <c r="AP280" s="251"/>
      <c r="AQ280" s="251"/>
      <c r="AR280" s="251"/>
      <c r="AS280" s="251" t="s">
        <v>2322</v>
      </c>
      <c r="AT280" s="251" t="s">
        <v>3491</v>
      </c>
      <c r="AU280" s="379"/>
      <c r="AV280" s="380"/>
    </row>
    <row r="281" spans="1:48" x14ac:dyDescent="0.25">
      <c r="A281" s="362" t="s">
        <v>237</v>
      </c>
      <c r="B281" s="397" t="s">
        <v>3543</v>
      </c>
      <c r="C281" s="209" t="s">
        <v>454</v>
      </c>
      <c r="D281" s="97">
        <v>30498</v>
      </c>
      <c r="E281" s="97">
        <f>+DATE(YEAR(D281)+55,MONTH(D281),DAY(D281))</f>
        <v>50587</v>
      </c>
      <c r="F281" s="97">
        <f t="shared" si="39"/>
        <v>50618</v>
      </c>
      <c r="G281" s="97">
        <v>50618</v>
      </c>
      <c r="H281" s="97">
        <v>39934</v>
      </c>
      <c r="I281" s="206" t="s">
        <v>734</v>
      </c>
      <c r="J281" s="207" t="s">
        <v>287</v>
      </c>
      <c r="K281" s="199" t="s">
        <v>281</v>
      </c>
      <c r="L281" s="97">
        <v>42186</v>
      </c>
      <c r="M281" s="117"/>
      <c r="N281" s="117" t="s">
        <v>76</v>
      </c>
      <c r="O281" s="119">
        <v>1.58</v>
      </c>
      <c r="P281" s="119"/>
      <c r="Q281" s="99"/>
      <c r="R281" s="314">
        <f t="shared" si="40"/>
        <v>7473400</v>
      </c>
      <c r="S281" s="314">
        <f t="shared" si="41"/>
        <v>0</v>
      </c>
      <c r="T281" s="314">
        <f t="shared" si="44"/>
        <v>0</v>
      </c>
      <c r="U281" s="314">
        <f t="shared" si="42"/>
        <v>7473400</v>
      </c>
      <c r="V281" s="314">
        <f>+VLOOKUP(A281,[2]Sheet1!$B$11:$J$400,9,0)</f>
        <v>6240000</v>
      </c>
      <c r="W281" s="315" t="s">
        <v>3056</v>
      </c>
      <c r="X281" s="99" t="s">
        <v>1316</v>
      </c>
      <c r="Y281" s="99" t="str">
        <f>+VLOOKUP(A281,[3]Sheet1!$B$11:$I$388,8,0)</f>
        <v>56 - 001</v>
      </c>
      <c r="Z281" s="99" t="s">
        <v>1797</v>
      </c>
      <c r="AA281" s="99" t="s">
        <v>2926</v>
      </c>
      <c r="AB281" s="100" t="s">
        <v>1373</v>
      </c>
      <c r="AC281" s="99">
        <f>+VALUE(AB281:AB653)</f>
        <v>225223977</v>
      </c>
      <c r="AD281" s="99" t="s">
        <v>1374</v>
      </c>
      <c r="AE281" s="99" t="s">
        <v>2427</v>
      </c>
      <c r="AF281" s="347" t="s">
        <v>1375</v>
      </c>
      <c r="AG281" s="316" t="s">
        <v>1376</v>
      </c>
      <c r="AH281" s="251"/>
      <c r="AI281" s="251" t="s">
        <v>3583</v>
      </c>
      <c r="AJ281" s="251"/>
      <c r="AK281" s="251"/>
      <c r="AL281" s="251"/>
      <c r="AM281" s="251"/>
      <c r="AN281" s="251"/>
      <c r="AO281" s="251"/>
      <c r="AP281" s="251"/>
      <c r="AQ281" s="251"/>
      <c r="AR281" s="251"/>
      <c r="AS281" s="251" t="s">
        <v>2339</v>
      </c>
      <c r="AT281" s="251" t="s">
        <v>3491</v>
      </c>
      <c r="AU281" s="379"/>
      <c r="AV281" s="380"/>
    </row>
    <row r="282" spans="1:48" x14ac:dyDescent="0.25">
      <c r="A282" s="361" t="s">
        <v>229</v>
      </c>
      <c r="B282" s="396" t="s">
        <v>3542</v>
      </c>
      <c r="C282" s="100" t="s">
        <v>439</v>
      </c>
      <c r="D282" s="97">
        <v>26167</v>
      </c>
      <c r="E282" s="97">
        <f>+DATE(YEAR(D282)+57,MONTH(D282),DAY(D282))</f>
        <v>46987</v>
      </c>
      <c r="F282" s="97">
        <f t="shared" si="39"/>
        <v>46997</v>
      </c>
      <c r="G282" s="97">
        <v>46997</v>
      </c>
      <c r="H282" s="97">
        <v>35096</v>
      </c>
      <c r="I282" s="206" t="s">
        <v>734</v>
      </c>
      <c r="J282" s="207" t="s">
        <v>287</v>
      </c>
      <c r="K282" s="118" t="s">
        <v>283</v>
      </c>
      <c r="L282" s="97">
        <v>42309</v>
      </c>
      <c r="M282" s="117"/>
      <c r="N282" s="118" t="s">
        <v>74</v>
      </c>
      <c r="O282" s="119">
        <v>1.68</v>
      </c>
      <c r="P282" s="119">
        <v>0.04</v>
      </c>
      <c r="Q282" s="99"/>
      <c r="R282" s="314">
        <f t="shared" si="40"/>
        <v>7946400</v>
      </c>
      <c r="S282" s="314">
        <f t="shared" si="41"/>
        <v>176400</v>
      </c>
      <c r="T282" s="314">
        <f t="shared" si="44"/>
        <v>0</v>
      </c>
      <c r="U282" s="314">
        <f t="shared" si="42"/>
        <v>8122800</v>
      </c>
      <c r="V282" s="314">
        <f>+VLOOKUP(A282,[2]Sheet1!$B$11:$J$400,9,0)</f>
        <v>7155200</v>
      </c>
      <c r="W282" s="315" t="s">
        <v>1714</v>
      </c>
      <c r="X282" s="99" t="s">
        <v>1316</v>
      </c>
      <c r="Y282" s="99" t="str">
        <f>+VLOOKUP(A282,[3]Sheet1!$B$11:$I$388,8,0)</f>
        <v>56 - 183</v>
      </c>
      <c r="Z282" s="99" t="s">
        <v>1797</v>
      </c>
      <c r="AA282" s="99" t="s">
        <v>2910</v>
      </c>
      <c r="AB282" s="100" t="s">
        <v>1326</v>
      </c>
      <c r="AC282" s="99">
        <f t="shared" ref="AC282:AC287" si="45">+VALUE(AB282:AB636)</f>
        <v>220747111</v>
      </c>
      <c r="AD282" s="99" t="s">
        <v>1327</v>
      </c>
      <c r="AE282" s="99" t="s">
        <v>2427</v>
      </c>
      <c r="AF282" s="347" t="s">
        <v>1328</v>
      </c>
      <c r="AG282" s="316" t="s">
        <v>1329</v>
      </c>
      <c r="AH282" s="251"/>
      <c r="AI282" s="251"/>
      <c r="AJ282" s="251"/>
      <c r="AK282" s="251"/>
      <c r="AL282" s="251" t="s">
        <v>3657</v>
      </c>
      <c r="AM282" s="251"/>
      <c r="AN282" s="251"/>
      <c r="AO282" s="251"/>
      <c r="AP282" s="251"/>
      <c r="AQ282" s="251"/>
      <c r="AR282" s="251"/>
      <c r="AS282" s="251" t="s">
        <v>2323</v>
      </c>
      <c r="AT282" s="251" t="s">
        <v>3491</v>
      </c>
      <c r="AU282" s="379"/>
      <c r="AV282" s="380"/>
    </row>
    <row r="283" spans="1:48" x14ac:dyDescent="0.25">
      <c r="A283" s="361" t="s">
        <v>230</v>
      </c>
      <c r="B283" s="396" t="s">
        <v>3542</v>
      </c>
      <c r="C283" s="100" t="s">
        <v>440</v>
      </c>
      <c r="D283" s="97">
        <v>29808</v>
      </c>
      <c r="E283" s="97">
        <f>+DATE(YEAR(D283)+57,MONTH(D283),DAY(D283))</f>
        <v>50627</v>
      </c>
      <c r="F283" s="97">
        <f t="shared" si="39"/>
        <v>50649</v>
      </c>
      <c r="G283" s="97">
        <v>50649</v>
      </c>
      <c r="H283" s="97">
        <v>39083</v>
      </c>
      <c r="I283" s="206" t="s">
        <v>734</v>
      </c>
      <c r="J283" s="207" t="s">
        <v>287</v>
      </c>
      <c r="K283" s="118" t="s">
        <v>281</v>
      </c>
      <c r="L283" s="97">
        <v>41456</v>
      </c>
      <c r="M283" s="117"/>
      <c r="N283" s="118" t="s">
        <v>71</v>
      </c>
      <c r="O283" s="119">
        <v>1.49</v>
      </c>
      <c r="P283" s="119"/>
      <c r="Q283" s="99"/>
      <c r="R283" s="314">
        <f t="shared" si="40"/>
        <v>7047700</v>
      </c>
      <c r="S283" s="314">
        <f t="shared" si="41"/>
        <v>0</v>
      </c>
      <c r="T283" s="314">
        <f t="shared" si="44"/>
        <v>0</v>
      </c>
      <c r="U283" s="314">
        <f t="shared" si="42"/>
        <v>7047700</v>
      </c>
      <c r="V283" s="314">
        <f>+VLOOKUP(A283,[2]Sheet1!$B$11:$J$400,9,0)</f>
        <v>6198400</v>
      </c>
      <c r="W283" s="315" t="s">
        <v>1715</v>
      </c>
      <c r="X283" s="99" t="s">
        <v>1316</v>
      </c>
      <c r="Y283" s="99" t="str">
        <f>+VLOOKUP(A283,[3]Sheet1!$B$11:$I$388,8,0)</f>
        <v>56 - 183</v>
      </c>
      <c r="Z283" s="99" t="s">
        <v>1797</v>
      </c>
      <c r="AA283" s="99" t="s">
        <v>2911</v>
      </c>
      <c r="AB283" s="100" t="s">
        <v>1330</v>
      </c>
      <c r="AC283" s="99">
        <f t="shared" si="45"/>
        <v>225581889</v>
      </c>
      <c r="AD283" s="99" t="s">
        <v>1331</v>
      </c>
      <c r="AE283" s="99" t="s">
        <v>2427</v>
      </c>
      <c r="AF283" s="347" t="s">
        <v>1332</v>
      </c>
      <c r="AG283" s="316" t="s">
        <v>1333</v>
      </c>
      <c r="AH283" s="251"/>
      <c r="AI283" s="251"/>
      <c r="AJ283" s="251"/>
      <c r="AK283" s="251"/>
      <c r="AL283" s="251" t="s">
        <v>3658</v>
      </c>
      <c r="AM283" s="251"/>
      <c r="AN283" s="251"/>
      <c r="AO283" s="251"/>
      <c r="AP283" s="251"/>
      <c r="AQ283" s="251"/>
      <c r="AR283" s="251"/>
      <c r="AS283" s="251" t="s">
        <v>2324</v>
      </c>
      <c r="AT283" s="251" t="s">
        <v>3491</v>
      </c>
      <c r="AU283" s="379"/>
      <c r="AV283" s="380"/>
    </row>
    <row r="284" spans="1:48" x14ac:dyDescent="0.25">
      <c r="A284" s="361" t="s">
        <v>231</v>
      </c>
      <c r="B284" s="396" t="s">
        <v>3542</v>
      </c>
      <c r="C284" s="100" t="s">
        <v>441</v>
      </c>
      <c r="D284" s="97">
        <v>30416</v>
      </c>
      <c r="E284" s="97">
        <f>+DATE(YEAR(D284)+57,MONTH(D284),DAY(D284))</f>
        <v>51236</v>
      </c>
      <c r="F284" s="97">
        <f t="shared" si="39"/>
        <v>51257</v>
      </c>
      <c r="G284" s="97">
        <v>51257</v>
      </c>
      <c r="H284" s="211">
        <v>39203</v>
      </c>
      <c r="I284" s="206" t="s">
        <v>734</v>
      </c>
      <c r="J284" s="207" t="s">
        <v>287</v>
      </c>
      <c r="K284" s="118" t="s">
        <v>281</v>
      </c>
      <c r="L284" s="97">
        <v>42979</v>
      </c>
      <c r="M284" s="117"/>
      <c r="N284" s="118" t="s">
        <v>76</v>
      </c>
      <c r="O284" s="119">
        <v>1.58</v>
      </c>
      <c r="P284" s="119"/>
      <c r="Q284" s="99"/>
      <c r="R284" s="314">
        <f t="shared" si="40"/>
        <v>7473400</v>
      </c>
      <c r="S284" s="314">
        <f t="shared" si="41"/>
        <v>0</v>
      </c>
      <c r="T284" s="314">
        <f t="shared" si="44"/>
        <v>0</v>
      </c>
      <c r="U284" s="314">
        <f t="shared" si="42"/>
        <v>7473400</v>
      </c>
      <c r="V284" s="314">
        <f>+VLOOKUP(A284,[2]Sheet1!$B$11:$J$400,9,0)</f>
        <v>6572800</v>
      </c>
      <c r="W284" s="315" t="s">
        <v>1716</v>
      </c>
      <c r="X284" s="99" t="s">
        <v>1334</v>
      </c>
      <c r="Y284" s="99" t="str">
        <f>+VLOOKUP(A284,[3]Sheet1!$B$11:$I$388,8,0)</f>
        <v>79 - 025</v>
      </c>
      <c r="Z284" s="99" t="s">
        <v>1797</v>
      </c>
      <c r="AA284" s="99" t="s">
        <v>2912</v>
      </c>
      <c r="AB284" s="100" t="s">
        <v>1335</v>
      </c>
      <c r="AC284" s="99">
        <f t="shared" si="45"/>
        <v>225168881</v>
      </c>
      <c r="AD284" s="99" t="s">
        <v>1336</v>
      </c>
      <c r="AE284" s="99" t="s">
        <v>2427</v>
      </c>
      <c r="AF284" s="347" t="s">
        <v>1337</v>
      </c>
      <c r="AG284" s="316" t="s">
        <v>1338</v>
      </c>
      <c r="AH284" s="251"/>
      <c r="AI284" s="251"/>
      <c r="AJ284" s="251"/>
      <c r="AK284" s="251" t="s">
        <v>3659</v>
      </c>
      <c r="AL284" s="251"/>
      <c r="AM284" s="251"/>
      <c r="AN284" s="251"/>
      <c r="AO284" s="251"/>
      <c r="AP284" s="251"/>
      <c r="AQ284" s="251"/>
      <c r="AR284" s="251"/>
      <c r="AS284" s="251" t="s">
        <v>2325</v>
      </c>
      <c r="AT284" s="251" t="s">
        <v>3491</v>
      </c>
      <c r="AU284" s="379"/>
      <c r="AV284" s="380"/>
    </row>
    <row r="285" spans="1:48" x14ac:dyDescent="0.25">
      <c r="A285" s="354" t="s">
        <v>1878</v>
      </c>
      <c r="B285" s="396" t="s">
        <v>3542</v>
      </c>
      <c r="C285" s="100" t="s">
        <v>442</v>
      </c>
      <c r="D285" s="97">
        <v>27913</v>
      </c>
      <c r="E285" s="97">
        <f>+DATE(YEAR(D285)+57,MONTH(D285),DAY(D285))</f>
        <v>48732</v>
      </c>
      <c r="F285" s="97">
        <f t="shared" ref="F285:F348" si="46">+EOMONTH(E285,0)+1</f>
        <v>48761</v>
      </c>
      <c r="G285" s="97">
        <v>48761</v>
      </c>
      <c r="H285" s="97">
        <v>37742</v>
      </c>
      <c r="I285" s="206" t="s">
        <v>735</v>
      </c>
      <c r="J285" s="207" t="s">
        <v>287</v>
      </c>
      <c r="K285" s="118" t="s">
        <v>282</v>
      </c>
      <c r="L285" s="97">
        <v>42979</v>
      </c>
      <c r="M285" s="117"/>
      <c r="N285" s="118" t="s">
        <v>74</v>
      </c>
      <c r="O285" s="119">
        <v>1.68</v>
      </c>
      <c r="P285" s="119">
        <v>0.06</v>
      </c>
      <c r="Q285" s="99"/>
      <c r="R285" s="314">
        <f t="shared" si="40"/>
        <v>7946400</v>
      </c>
      <c r="S285" s="314">
        <f t="shared" si="41"/>
        <v>264600</v>
      </c>
      <c r="T285" s="314">
        <f t="shared" si="44"/>
        <v>0</v>
      </c>
      <c r="U285" s="314">
        <f t="shared" si="42"/>
        <v>8211000</v>
      </c>
      <c r="V285" s="314">
        <f>+VLOOKUP(A285,[2]Sheet1!$B$11:$J$400,9,0)</f>
        <v>7238400</v>
      </c>
      <c r="W285" s="315" t="s">
        <v>1717</v>
      </c>
      <c r="X285" s="99" t="s">
        <v>1339</v>
      </c>
      <c r="Y285" s="99" t="str">
        <f>+VLOOKUP(A285,[3]Sheet1!$B$11:$I$388,8,0)</f>
        <v>54 - 162</v>
      </c>
      <c r="Z285" s="99" t="s">
        <v>1795</v>
      </c>
      <c r="AA285" s="99" t="s">
        <v>2913</v>
      </c>
      <c r="AB285" s="100">
        <v>220962049</v>
      </c>
      <c r="AC285" s="99">
        <f t="shared" si="45"/>
        <v>220962049</v>
      </c>
      <c r="AD285" s="99" t="s">
        <v>1340</v>
      </c>
      <c r="AE285" s="99" t="s">
        <v>2427</v>
      </c>
      <c r="AF285" s="347" t="s">
        <v>1341</v>
      </c>
      <c r="AG285" s="316" t="s">
        <v>1284</v>
      </c>
      <c r="AH285" s="251"/>
      <c r="AI285" s="251" t="s">
        <v>3577</v>
      </c>
      <c r="AJ285" s="251"/>
      <c r="AK285" s="251"/>
      <c r="AL285" s="251"/>
      <c r="AM285" s="251"/>
      <c r="AN285" s="251"/>
      <c r="AO285" s="251"/>
      <c r="AP285" s="251"/>
      <c r="AQ285" s="251"/>
      <c r="AR285" s="251"/>
      <c r="AS285" s="251" t="s">
        <v>2326</v>
      </c>
      <c r="AT285" s="251" t="s">
        <v>3491</v>
      </c>
      <c r="AU285" s="379"/>
      <c r="AV285" s="380"/>
    </row>
    <row r="286" spans="1:48" x14ac:dyDescent="0.25">
      <c r="A286" s="356" t="s">
        <v>1879</v>
      </c>
      <c r="B286" s="392" t="s">
        <v>3543</v>
      </c>
      <c r="C286" s="209" t="s">
        <v>443</v>
      </c>
      <c r="D286" s="97">
        <v>29935</v>
      </c>
      <c r="E286" s="97">
        <f>+DATE(YEAR(D286)+55,MONTH(D286),DAY(D286))</f>
        <v>50024</v>
      </c>
      <c r="F286" s="97">
        <f t="shared" si="46"/>
        <v>50041</v>
      </c>
      <c r="G286" s="97">
        <v>50041</v>
      </c>
      <c r="H286" s="97">
        <v>38108</v>
      </c>
      <c r="I286" s="206" t="s">
        <v>735</v>
      </c>
      <c r="J286" s="207" t="s">
        <v>287</v>
      </c>
      <c r="K286" s="118" t="s">
        <v>281</v>
      </c>
      <c r="L286" s="97">
        <v>42309</v>
      </c>
      <c r="M286" s="117"/>
      <c r="N286" s="118" t="s">
        <v>74</v>
      </c>
      <c r="O286" s="119">
        <v>1.68</v>
      </c>
      <c r="P286" s="119"/>
      <c r="Q286" s="99"/>
      <c r="R286" s="314">
        <f t="shared" si="40"/>
        <v>7946400</v>
      </c>
      <c r="S286" s="314">
        <f t="shared" si="41"/>
        <v>0</v>
      </c>
      <c r="T286" s="314">
        <f t="shared" si="44"/>
        <v>0</v>
      </c>
      <c r="U286" s="314">
        <f t="shared" si="42"/>
        <v>7946400</v>
      </c>
      <c r="V286" s="314">
        <f>+VLOOKUP(A286,[2]Sheet1!$B$11:$J$400,9,0)</f>
        <v>6988800</v>
      </c>
      <c r="W286" s="315" t="s">
        <v>1718</v>
      </c>
      <c r="X286" s="99" t="s">
        <v>1339</v>
      </c>
      <c r="Y286" s="99" t="str">
        <f>+VLOOKUP(A286,[3]Sheet1!$B$11:$I$388,8,0)</f>
        <v>54 - 162</v>
      </c>
      <c r="Z286" s="99" t="s">
        <v>1795</v>
      </c>
      <c r="AA286" s="99" t="s">
        <v>2914</v>
      </c>
      <c r="AB286" s="100">
        <v>221077073</v>
      </c>
      <c r="AC286" s="99">
        <f t="shared" si="45"/>
        <v>221077073</v>
      </c>
      <c r="AD286" s="99" t="s">
        <v>1342</v>
      </c>
      <c r="AE286" s="99" t="s">
        <v>2427</v>
      </c>
      <c r="AF286" s="347" t="s">
        <v>1343</v>
      </c>
      <c r="AG286" s="316" t="s">
        <v>1344</v>
      </c>
      <c r="AH286" s="251"/>
      <c r="AI286" s="251"/>
      <c r="AJ286" s="251" t="s">
        <v>3660</v>
      </c>
      <c r="AK286" s="251"/>
      <c r="AL286" s="251"/>
      <c r="AM286" s="251"/>
      <c r="AN286" s="251"/>
      <c r="AO286" s="251"/>
      <c r="AP286" s="251"/>
      <c r="AQ286" s="251"/>
      <c r="AR286" s="251"/>
      <c r="AS286" s="251" t="s">
        <v>2327</v>
      </c>
      <c r="AT286" s="251" t="s">
        <v>3491</v>
      </c>
      <c r="AU286" s="379"/>
      <c r="AV286" s="380"/>
    </row>
    <row r="287" spans="1:48" x14ac:dyDescent="0.25">
      <c r="A287" s="354" t="s">
        <v>1880</v>
      </c>
      <c r="B287" s="391" t="s">
        <v>3542</v>
      </c>
      <c r="C287" s="100" t="s">
        <v>444</v>
      </c>
      <c r="D287" s="97">
        <v>26582</v>
      </c>
      <c r="E287" s="97">
        <f>+DATE(YEAR(D287)+57,MONTH(D287),DAY(D287))</f>
        <v>47401</v>
      </c>
      <c r="F287" s="97">
        <f t="shared" si="46"/>
        <v>47423</v>
      </c>
      <c r="G287" s="97">
        <v>51622</v>
      </c>
      <c r="H287" s="97">
        <v>35004</v>
      </c>
      <c r="I287" s="206" t="s">
        <v>735</v>
      </c>
      <c r="J287" s="207" t="s">
        <v>287</v>
      </c>
      <c r="K287" s="118" t="s">
        <v>283</v>
      </c>
      <c r="L287" s="97">
        <v>41091</v>
      </c>
      <c r="M287" s="117"/>
      <c r="N287" s="118" t="s">
        <v>74</v>
      </c>
      <c r="O287" s="119">
        <v>1.68</v>
      </c>
      <c r="P287" s="119">
        <v>0.04</v>
      </c>
      <c r="Q287" s="99"/>
      <c r="R287" s="314">
        <f t="shared" si="40"/>
        <v>7946400</v>
      </c>
      <c r="S287" s="314">
        <f t="shared" si="41"/>
        <v>176400</v>
      </c>
      <c r="T287" s="314">
        <f t="shared" si="44"/>
        <v>0</v>
      </c>
      <c r="U287" s="314">
        <f t="shared" si="42"/>
        <v>8122800</v>
      </c>
      <c r="V287" s="314">
        <f>+VLOOKUP(A287,[2]Sheet1!$B$11:$J$400,9,0)</f>
        <v>7155200</v>
      </c>
      <c r="W287" s="315" t="s">
        <v>1719</v>
      </c>
      <c r="X287" s="99" t="s">
        <v>1339</v>
      </c>
      <c r="Y287" s="99" t="str">
        <f>+VLOOKUP(A287,[3]Sheet1!$B$11:$I$388,8,0)</f>
        <v>54 - 162</v>
      </c>
      <c r="Z287" s="99" t="s">
        <v>1797</v>
      </c>
      <c r="AA287" s="99" t="s">
        <v>2915</v>
      </c>
      <c r="AB287" s="100">
        <v>220734992</v>
      </c>
      <c r="AC287" s="99">
        <f t="shared" si="45"/>
        <v>220734992</v>
      </c>
      <c r="AD287" s="99" t="s">
        <v>1345</v>
      </c>
      <c r="AE287" s="99" t="s">
        <v>2427</v>
      </c>
      <c r="AF287" s="347" t="s">
        <v>1346</v>
      </c>
      <c r="AG287" s="316" t="s">
        <v>1347</v>
      </c>
      <c r="AH287" s="251"/>
      <c r="AI287" s="251" t="s">
        <v>3661</v>
      </c>
      <c r="AJ287" s="251"/>
      <c r="AK287" s="251"/>
      <c r="AL287" s="251"/>
      <c r="AM287" s="251"/>
      <c r="AN287" s="251"/>
      <c r="AO287" s="251"/>
      <c r="AP287" s="251"/>
      <c r="AQ287" s="251"/>
      <c r="AR287" s="251"/>
      <c r="AS287" s="251" t="s">
        <v>2328</v>
      </c>
      <c r="AT287" s="251" t="s">
        <v>3491</v>
      </c>
      <c r="AU287" s="379"/>
      <c r="AV287" s="380"/>
    </row>
    <row r="288" spans="1:48" x14ac:dyDescent="0.25">
      <c r="A288" s="361" t="s">
        <v>1881</v>
      </c>
      <c r="B288" s="391" t="s">
        <v>3542</v>
      </c>
      <c r="C288" s="100" t="s">
        <v>446</v>
      </c>
      <c r="D288" s="97">
        <v>29878</v>
      </c>
      <c r="E288" s="97">
        <f>+DATE(YEAR(D288)+57,MONTH(D288),DAY(D288))</f>
        <v>50697</v>
      </c>
      <c r="F288" s="97">
        <f t="shared" si="46"/>
        <v>50710</v>
      </c>
      <c r="G288" s="97">
        <v>48122</v>
      </c>
      <c r="H288" s="97">
        <v>36831</v>
      </c>
      <c r="I288" s="206" t="s">
        <v>735</v>
      </c>
      <c r="J288" s="207" t="s">
        <v>287</v>
      </c>
      <c r="K288" s="118" t="s">
        <v>281</v>
      </c>
      <c r="L288" s="97">
        <v>42979</v>
      </c>
      <c r="M288" s="117"/>
      <c r="N288" s="118" t="s">
        <v>76</v>
      </c>
      <c r="O288" s="119">
        <v>1.58</v>
      </c>
      <c r="P288" s="119"/>
      <c r="Q288" s="99"/>
      <c r="R288" s="314">
        <f t="shared" si="40"/>
        <v>7473400</v>
      </c>
      <c r="S288" s="314">
        <f t="shared" si="41"/>
        <v>0</v>
      </c>
      <c r="T288" s="314">
        <f t="shared" si="44"/>
        <v>0</v>
      </c>
      <c r="U288" s="314">
        <f t="shared" si="42"/>
        <v>7473400</v>
      </c>
      <c r="V288" s="314">
        <f>+VLOOKUP(A288,[2]Sheet1!$B$11:$J$400,9,0)</f>
        <v>6572800</v>
      </c>
      <c r="W288" s="315" t="s">
        <v>1721</v>
      </c>
      <c r="X288" s="99" t="s">
        <v>1282</v>
      </c>
      <c r="Y288" s="99" t="str">
        <f>+VLOOKUP(A288,[3]Sheet1!$B$11:$I$388,8,0)</f>
        <v>54 - 162</v>
      </c>
      <c r="Z288" s="99" t="s">
        <v>1797</v>
      </c>
      <c r="AA288" s="99" t="s">
        <v>2917</v>
      </c>
      <c r="AB288" s="100">
        <v>221040651</v>
      </c>
      <c r="AC288" s="99">
        <f>+VALUE(AB288:AB643)</f>
        <v>221040651</v>
      </c>
      <c r="AD288" s="99" t="s">
        <v>1350</v>
      </c>
      <c r="AE288" s="99" t="s">
        <v>2427</v>
      </c>
      <c r="AF288" s="347" t="s">
        <v>1351</v>
      </c>
      <c r="AG288" s="316" t="s">
        <v>1352</v>
      </c>
      <c r="AH288" s="251"/>
      <c r="AI288" s="251"/>
      <c r="AJ288" s="251"/>
      <c r="AK288" s="251" t="s">
        <v>3659</v>
      </c>
      <c r="AL288" s="251"/>
      <c r="AM288" s="251"/>
      <c r="AN288" s="251"/>
      <c r="AO288" s="251"/>
      <c r="AP288" s="251"/>
      <c r="AQ288" s="251"/>
      <c r="AR288" s="251"/>
      <c r="AS288" s="251" t="s">
        <v>2330</v>
      </c>
      <c r="AT288" s="251" t="s">
        <v>3491</v>
      </c>
      <c r="AU288" s="379"/>
      <c r="AV288" s="380"/>
    </row>
    <row r="289" spans="1:56" x14ac:dyDescent="0.25">
      <c r="A289" s="354" t="s">
        <v>2509</v>
      </c>
      <c r="B289" s="391" t="s">
        <v>3542</v>
      </c>
      <c r="C289" s="100" t="s">
        <v>2510</v>
      </c>
      <c r="D289" s="205">
        <v>32051</v>
      </c>
      <c r="E289" s="97">
        <f>+DATE(YEAR(D289)+57,MONTH(D289),DAY(D289))</f>
        <v>52871</v>
      </c>
      <c r="F289" s="97">
        <f t="shared" si="46"/>
        <v>52902</v>
      </c>
      <c r="G289" s="97">
        <v>51806</v>
      </c>
      <c r="H289" s="97">
        <v>44621</v>
      </c>
      <c r="I289" s="206" t="s">
        <v>735</v>
      </c>
      <c r="J289" s="207" t="s">
        <v>287</v>
      </c>
      <c r="K289" s="118" t="s">
        <v>281</v>
      </c>
      <c r="L289" s="97">
        <v>44287</v>
      </c>
      <c r="M289" s="117"/>
      <c r="N289" s="118" t="s">
        <v>72</v>
      </c>
      <c r="O289" s="119">
        <v>1.41</v>
      </c>
      <c r="P289" s="119"/>
      <c r="Q289" s="99"/>
      <c r="R289" s="314">
        <f t="shared" ref="R289:R353" si="47">+O289*4730000</f>
        <v>6669300</v>
      </c>
      <c r="S289" s="314">
        <f t="shared" si="41"/>
        <v>0</v>
      </c>
      <c r="T289" s="314">
        <f t="shared" si="44"/>
        <v>0</v>
      </c>
      <c r="U289" s="314">
        <f t="shared" si="42"/>
        <v>6669300</v>
      </c>
      <c r="V289" s="314">
        <f>+VLOOKUP(A289,[2]Sheet1!$B$11:$J$400,9,0)</f>
        <v>5865600</v>
      </c>
      <c r="W289" s="315" t="s">
        <v>2511</v>
      </c>
      <c r="X289" s="99" t="s">
        <v>2512</v>
      </c>
      <c r="Y289" s="99" t="str">
        <f>+VLOOKUP(A289,[3]Sheet1!$B$11:$I$388,8,0)</f>
        <v>54 - 162</v>
      </c>
      <c r="Z289" s="99" t="s">
        <v>1795</v>
      </c>
      <c r="AA289" s="99" t="s">
        <v>2918</v>
      </c>
      <c r="AB289" s="100" t="e">
        <f>+VALUE(X289:X643)</f>
        <v>#VALUE!</v>
      </c>
      <c r="AC289" s="201" t="s">
        <v>2513</v>
      </c>
      <c r="AD289" s="99" t="s">
        <v>615</v>
      </c>
      <c r="AE289" s="99" t="s">
        <v>2427</v>
      </c>
      <c r="AF289" s="348" t="s">
        <v>2515</v>
      </c>
      <c r="AG289" s="251"/>
      <c r="AH289" s="251"/>
      <c r="AI289" s="251"/>
      <c r="AJ289" s="251" t="s">
        <v>3662</v>
      </c>
      <c r="AK289" s="251"/>
      <c r="AL289" s="251"/>
      <c r="AM289" s="251"/>
      <c r="AN289" s="251"/>
      <c r="AO289" s="251"/>
      <c r="AP289" s="251"/>
      <c r="AQ289" s="251"/>
      <c r="AR289" s="251"/>
      <c r="AS289" s="251" t="s">
        <v>2331</v>
      </c>
      <c r="AT289" s="251" t="s">
        <v>3491</v>
      </c>
      <c r="AU289" s="379"/>
      <c r="AV289" s="380"/>
    </row>
    <row r="290" spans="1:56" x14ac:dyDescent="0.25">
      <c r="A290" s="354" t="s">
        <v>1807</v>
      </c>
      <c r="B290" s="391" t="s">
        <v>3542</v>
      </c>
      <c r="C290" s="100" t="s">
        <v>447</v>
      </c>
      <c r="D290" s="97">
        <v>27396</v>
      </c>
      <c r="E290" s="97">
        <f>+DATE(YEAR(D290)+57,MONTH(D290),DAY(D290))</f>
        <v>48215</v>
      </c>
      <c r="F290" s="97">
        <f t="shared" si="46"/>
        <v>48245</v>
      </c>
      <c r="G290" s="97">
        <v>50618</v>
      </c>
      <c r="H290" s="97">
        <v>34851</v>
      </c>
      <c r="I290" s="206" t="s">
        <v>735</v>
      </c>
      <c r="J290" s="207" t="s">
        <v>287</v>
      </c>
      <c r="K290" s="118" t="s">
        <v>281</v>
      </c>
      <c r="L290" s="97">
        <v>41456</v>
      </c>
      <c r="M290" s="117"/>
      <c r="N290" s="118" t="s">
        <v>74</v>
      </c>
      <c r="O290" s="119">
        <v>1.68</v>
      </c>
      <c r="P290" s="119"/>
      <c r="Q290" s="99"/>
      <c r="R290" s="314">
        <f t="shared" si="47"/>
        <v>7946400</v>
      </c>
      <c r="S290" s="314">
        <f t="shared" si="41"/>
        <v>0</v>
      </c>
      <c r="T290" s="314">
        <f t="shared" si="44"/>
        <v>0</v>
      </c>
      <c r="U290" s="314">
        <f t="shared" si="42"/>
        <v>7946400</v>
      </c>
      <c r="V290" s="314">
        <f>+VLOOKUP(A290,[2]Sheet1!$B$11:$J$400,9,0)</f>
        <v>6988800</v>
      </c>
      <c r="W290" s="315" t="s">
        <v>1722</v>
      </c>
      <c r="X290" s="99" t="s">
        <v>1339</v>
      </c>
      <c r="Y290" s="99" t="str">
        <f>+VLOOKUP(A290,[3]Sheet1!$B$11:$I$388,8,0)</f>
        <v>54 - 162</v>
      </c>
      <c r="Z290" s="99" t="s">
        <v>1797</v>
      </c>
      <c r="AA290" s="99" t="s">
        <v>2919</v>
      </c>
      <c r="AB290" s="100">
        <v>220970684</v>
      </c>
      <c r="AC290" s="99">
        <f>+VALUE(AB290:AB644)</f>
        <v>220970684</v>
      </c>
      <c r="AD290" s="99" t="s">
        <v>1353</v>
      </c>
      <c r="AE290" s="99" t="s">
        <v>2427</v>
      </c>
      <c r="AF290" s="347" t="s">
        <v>1354</v>
      </c>
      <c r="AG290" s="316" t="s">
        <v>1355</v>
      </c>
      <c r="AH290" s="251"/>
      <c r="AI290" s="251"/>
      <c r="AJ290" s="251"/>
      <c r="AK290" s="251" t="s">
        <v>3585</v>
      </c>
      <c r="AL290" s="326" t="s">
        <v>3025</v>
      </c>
      <c r="AM290" s="251"/>
      <c r="AN290" s="251"/>
      <c r="AO290" s="251"/>
      <c r="AP290" s="251"/>
      <c r="AQ290" s="251"/>
      <c r="AR290" s="251"/>
      <c r="AS290" s="251" t="s">
        <v>2332</v>
      </c>
      <c r="AT290" s="251" t="s">
        <v>3491</v>
      </c>
      <c r="AU290" s="379"/>
      <c r="AV290" s="380"/>
    </row>
    <row r="291" spans="1:56" x14ac:dyDescent="0.25">
      <c r="A291" s="362" t="s">
        <v>232</v>
      </c>
      <c r="B291" s="397" t="s">
        <v>3543</v>
      </c>
      <c r="C291" s="209" t="s">
        <v>448</v>
      </c>
      <c r="D291" s="97">
        <v>31506</v>
      </c>
      <c r="E291" s="97">
        <f>+DATE(YEAR(D291)+55,MONTH(D291),DAY(D291))</f>
        <v>51595</v>
      </c>
      <c r="F291" s="97">
        <f t="shared" si="46"/>
        <v>51622</v>
      </c>
      <c r="G291" s="97">
        <v>51622</v>
      </c>
      <c r="H291" s="97">
        <v>40575</v>
      </c>
      <c r="I291" s="206" t="s">
        <v>735</v>
      </c>
      <c r="J291" s="207" t="s">
        <v>287</v>
      </c>
      <c r="K291" s="118" t="s">
        <v>281</v>
      </c>
      <c r="L291" s="97">
        <v>42979</v>
      </c>
      <c r="M291" s="117"/>
      <c r="N291" s="118" t="s">
        <v>76</v>
      </c>
      <c r="O291" s="119">
        <v>1.42</v>
      </c>
      <c r="P291" s="119"/>
      <c r="Q291" s="99"/>
      <c r="R291" s="314">
        <f t="shared" si="47"/>
        <v>6716600</v>
      </c>
      <c r="S291" s="314">
        <f t="shared" si="41"/>
        <v>0</v>
      </c>
      <c r="T291" s="314">
        <f t="shared" si="44"/>
        <v>0</v>
      </c>
      <c r="U291" s="314">
        <f t="shared" si="42"/>
        <v>6716600</v>
      </c>
      <c r="V291" s="314">
        <f>+VLOOKUP(A291,[2]Sheet1!$B$11:$J$400,9,0)</f>
        <v>5907200</v>
      </c>
      <c r="W291" s="315" t="s">
        <v>1723</v>
      </c>
      <c r="X291" s="99" t="s">
        <v>1339</v>
      </c>
      <c r="Y291" s="99" t="str">
        <f>+VLOOKUP(A291,[3]Sheet1!$B$11:$I$388,8,0)</f>
        <v>54 - 162</v>
      </c>
      <c r="Z291" s="99" t="s">
        <v>1796</v>
      </c>
      <c r="AA291" s="99" t="s">
        <v>2920</v>
      </c>
      <c r="AB291" s="100">
        <v>221168724</v>
      </c>
      <c r="AC291" s="99">
        <f>+VALUE(AB291:AB646)</f>
        <v>221168724</v>
      </c>
      <c r="AD291" s="99" t="s">
        <v>1356</v>
      </c>
      <c r="AE291" s="99" t="s">
        <v>2427</v>
      </c>
      <c r="AF291" s="347" t="s">
        <v>1357</v>
      </c>
      <c r="AG291" s="316" t="s">
        <v>1344</v>
      </c>
      <c r="AH291" s="251"/>
      <c r="AI291" s="251"/>
      <c r="AJ291" s="251"/>
      <c r="AK291" s="251"/>
      <c r="AL291" s="326" t="s">
        <v>3025</v>
      </c>
      <c r="AM291" s="251"/>
      <c r="AN291" s="251"/>
      <c r="AO291" s="251"/>
      <c r="AP291" s="251"/>
      <c r="AQ291" s="251"/>
      <c r="AR291" s="251"/>
      <c r="AS291" s="251" t="s">
        <v>2333</v>
      </c>
      <c r="AT291" s="251" t="s">
        <v>3491</v>
      </c>
      <c r="AU291" s="379"/>
      <c r="AV291" s="380"/>
    </row>
    <row r="292" spans="1:56" x14ac:dyDescent="0.25">
      <c r="A292" s="362" t="s">
        <v>233</v>
      </c>
      <c r="B292" s="397" t="s">
        <v>3543</v>
      </c>
      <c r="C292" s="209" t="s">
        <v>449</v>
      </c>
      <c r="D292" s="97">
        <v>30853</v>
      </c>
      <c r="E292" s="97">
        <f>+DATE(YEAR(D292)+55,MONTH(D292),DAY(D292))</f>
        <v>50941</v>
      </c>
      <c r="F292" s="97">
        <f t="shared" si="46"/>
        <v>50952</v>
      </c>
      <c r="G292" s="97">
        <v>50952</v>
      </c>
      <c r="H292" s="97">
        <v>41153</v>
      </c>
      <c r="I292" s="206" t="s">
        <v>735</v>
      </c>
      <c r="J292" s="118" t="s">
        <v>287</v>
      </c>
      <c r="K292" s="118" t="s">
        <v>281</v>
      </c>
      <c r="L292" s="97">
        <v>43405</v>
      </c>
      <c r="M292" s="117"/>
      <c r="N292" s="118" t="s">
        <v>76</v>
      </c>
      <c r="O292" s="119">
        <v>1.42</v>
      </c>
      <c r="P292" s="119"/>
      <c r="Q292" s="99"/>
      <c r="R292" s="314">
        <f t="shared" si="47"/>
        <v>6716600</v>
      </c>
      <c r="S292" s="314">
        <f t="shared" si="41"/>
        <v>0</v>
      </c>
      <c r="T292" s="314">
        <f t="shared" si="44"/>
        <v>0</v>
      </c>
      <c r="U292" s="314">
        <f t="shared" si="42"/>
        <v>6716600</v>
      </c>
      <c r="V292" s="314">
        <f>+VLOOKUP(A292,[2]Sheet1!$B$11:$J$400,9,0)</f>
        <v>5907200</v>
      </c>
      <c r="W292" s="315" t="s">
        <v>1724</v>
      </c>
      <c r="X292" s="99" t="s">
        <v>1282</v>
      </c>
      <c r="Y292" s="99" t="str">
        <f>+VLOOKUP(A292,[3]Sheet1!$B$11:$I$388,8,0)</f>
        <v>54 - 162</v>
      </c>
      <c r="Z292" s="99" t="s">
        <v>1796</v>
      </c>
      <c r="AA292" s="99" t="s">
        <v>2921</v>
      </c>
      <c r="AB292" s="100">
        <v>221090412</v>
      </c>
      <c r="AC292" s="99">
        <f>+VALUE(AB292:AB647)</f>
        <v>221090412</v>
      </c>
      <c r="AD292" s="99" t="s">
        <v>1358</v>
      </c>
      <c r="AE292" s="99" t="s">
        <v>2427</v>
      </c>
      <c r="AF292" s="347" t="s">
        <v>1359</v>
      </c>
      <c r="AG292" s="316" t="s">
        <v>1359</v>
      </c>
      <c r="AH292" s="251"/>
      <c r="AI292" s="251"/>
      <c r="AJ292" s="251"/>
      <c r="AK292" s="251"/>
      <c r="AL292" s="326" t="s">
        <v>3025</v>
      </c>
      <c r="AM292" s="251"/>
      <c r="AN292" s="251"/>
      <c r="AO292" s="251"/>
      <c r="AP292" s="251"/>
      <c r="AQ292" s="251"/>
      <c r="AR292" s="251"/>
      <c r="AS292" s="251" t="s">
        <v>2334</v>
      </c>
      <c r="AT292" s="251" t="s">
        <v>3491</v>
      </c>
      <c r="AU292" s="379"/>
      <c r="AV292" s="380"/>
    </row>
    <row r="293" spans="1:56" x14ac:dyDescent="0.25">
      <c r="A293" s="361" t="s">
        <v>234</v>
      </c>
      <c r="B293" s="396" t="s">
        <v>3542</v>
      </c>
      <c r="C293" s="100" t="s">
        <v>450</v>
      </c>
      <c r="D293" s="97">
        <v>31122</v>
      </c>
      <c r="E293" s="97">
        <f>+DATE(YEAR(D293)+57,MONTH(D293),DAY(D293))</f>
        <v>51941</v>
      </c>
      <c r="F293" s="97">
        <f t="shared" si="46"/>
        <v>51957</v>
      </c>
      <c r="G293" s="97">
        <v>51957</v>
      </c>
      <c r="H293" s="97">
        <v>39234</v>
      </c>
      <c r="I293" s="206" t="s">
        <v>277</v>
      </c>
      <c r="J293" s="207" t="s">
        <v>287</v>
      </c>
      <c r="K293" s="118" t="s">
        <v>283</v>
      </c>
      <c r="L293" s="97">
        <v>45839</v>
      </c>
      <c r="M293" s="117"/>
      <c r="N293" s="210" t="s">
        <v>74</v>
      </c>
      <c r="O293" s="119">
        <v>1.68</v>
      </c>
      <c r="P293" s="119">
        <v>0.04</v>
      </c>
      <c r="Q293" s="99"/>
      <c r="R293" s="314">
        <f t="shared" si="47"/>
        <v>7946400</v>
      </c>
      <c r="S293" s="314">
        <f t="shared" si="41"/>
        <v>176400</v>
      </c>
      <c r="T293" s="314">
        <f t="shared" si="44"/>
        <v>0</v>
      </c>
      <c r="U293" s="314">
        <f t="shared" si="42"/>
        <v>8122800</v>
      </c>
      <c r="V293" s="314">
        <f>+VLOOKUP(A293,[2]Sheet1!$B$11:$J$400,9,0)</f>
        <v>6572800</v>
      </c>
      <c r="W293" s="315" t="s">
        <v>1725</v>
      </c>
      <c r="X293" s="99" t="s">
        <v>1316</v>
      </c>
      <c r="Y293" s="99" t="str">
        <f>+VLOOKUP(A293,[3]Sheet1!$B$11:$I$388,8,0)</f>
        <v>56 - 001</v>
      </c>
      <c r="Z293" s="99" t="s">
        <v>1787</v>
      </c>
      <c r="AA293" s="99" t="s">
        <v>2922</v>
      </c>
      <c r="AB293" s="100">
        <v>221126383</v>
      </c>
      <c r="AC293" s="99">
        <f>+VALUE(AB293:AB649)</f>
        <v>221126383</v>
      </c>
      <c r="AD293" s="99" t="s">
        <v>1361</v>
      </c>
      <c r="AE293" s="99" t="s">
        <v>2427</v>
      </c>
      <c r="AF293" s="347" t="s">
        <v>1362</v>
      </c>
      <c r="AG293" s="316" t="s">
        <v>1363</v>
      </c>
      <c r="AH293" s="251"/>
      <c r="AI293" s="251"/>
      <c r="AJ293" s="251"/>
      <c r="AK293" s="251" t="s">
        <v>3585</v>
      </c>
      <c r="AL293" s="251"/>
      <c r="AM293" s="251"/>
      <c r="AN293" s="251"/>
      <c r="AO293" s="251"/>
      <c r="AP293" s="251"/>
      <c r="AQ293" s="251"/>
      <c r="AR293" s="251"/>
      <c r="AS293" s="251" t="s">
        <v>2335</v>
      </c>
      <c r="AT293" s="251" t="s">
        <v>3491</v>
      </c>
      <c r="AU293" s="379"/>
      <c r="AV293" s="380"/>
    </row>
    <row r="294" spans="1:56" x14ac:dyDescent="0.25">
      <c r="A294" s="362" t="s">
        <v>235</v>
      </c>
      <c r="B294" s="397" t="s">
        <v>3543</v>
      </c>
      <c r="C294" s="209" t="s">
        <v>451</v>
      </c>
      <c r="D294" s="97">
        <v>28491</v>
      </c>
      <c r="E294" s="97">
        <v>48092</v>
      </c>
      <c r="F294" s="97">
        <f t="shared" si="46"/>
        <v>48122</v>
      </c>
      <c r="G294" s="97">
        <v>48122</v>
      </c>
      <c r="H294" s="97">
        <v>33270</v>
      </c>
      <c r="I294" s="206" t="s">
        <v>277</v>
      </c>
      <c r="J294" s="207" t="s">
        <v>287</v>
      </c>
      <c r="K294" s="118" t="s">
        <v>281</v>
      </c>
      <c r="L294" s="97">
        <v>41091</v>
      </c>
      <c r="M294" s="117"/>
      <c r="N294" s="118" t="s">
        <v>76</v>
      </c>
      <c r="O294" s="119">
        <v>1.58</v>
      </c>
      <c r="P294" s="119"/>
      <c r="Q294" s="99"/>
      <c r="R294" s="314">
        <f t="shared" si="47"/>
        <v>7473400</v>
      </c>
      <c r="S294" s="314">
        <f t="shared" si="41"/>
        <v>0</v>
      </c>
      <c r="T294" s="314">
        <f t="shared" si="44"/>
        <v>0</v>
      </c>
      <c r="U294" s="314">
        <f t="shared" si="42"/>
        <v>7473400</v>
      </c>
      <c r="V294" s="314">
        <f>+VLOOKUP(A294,[2]Sheet1!$B$11:$J$400,9,0)</f>
        <v>6572800</v>
      </c>
      <c r="W294" s="315" t="s">
        <v>1726</v>
      </c>
      <c r="X294" s="99" t="s">
        <v>669</v>
      </c>
      <c r="Y294" s="99" t="str">
        <f>+VLOOKUP(A294,[3]Sheet1!$B$11:$I$388,8,0)</f>
        <v>56 - 183</v>
      </c>
      <c r="Z294" s="99" t="s">
        <v>1787</v>
      </c>
      <c r="AA294" s="99" t="s">
        <v>2923</v>
      </c>
      <c r="AB294" s="100">
        <v>225075735</v>
      </c>
      <c r="AC294" s="99">
        <f>+VALUE(AB294:AB650)</f>
        <v>225075735</v>
      </c>
      <c r="AD294" s="99" t="s">
        <v>1364</v>
      </c>
      <c r="AE294" s="99" t="s">
        <v>2427</v>
      </c>
      <c r="AF294" s="347" t="s">
        <v>1365</v>
      </c>
      <c r="AG294" s="316" t="s">
        <v>1366</v>
      </c>
      <c r="AH294" s="251"/>
      <c r="AI294" s="251" t="s">
        <v>3577</v>
      </c>
      <c r="AJ294" s="251"/>
      <c r="AK294" s="251"/>
      <c r="AL294" s="251" t="s">
        <v>3592</v>
      </c>
      <c r="AM294" s="251"/>
      <c r="AN294" s="251"/>
      <c r="AO294" s="251"/>
      <c r="AP294" s="251"/>
      <c r="AQ294" s="251"/>
      <c r="AR294" s="251"/>
      <c r="AS294" s="251" t="s">
        <v>2336</v>
      </c>
      <c r="AT294" s="251" t="s">
        <v>3491</v>
      </c>
      <c r="AU294" s="379"/>
      <c r="AV294" s="380"/>
    </row>
    <row r="295" spans="1:56" x14ac:dyDescent="0.25">
      <c r="A295" s="361" t="s">
        <v>295</v>
      </c>
      <c r="B295" s="396" t="s">
        <v>3542</v>
      </c>
      <c r="C295" s="100" t="s">
        <v>452</v>
      </c>
      <c r="D295" s="97">
        <v>31899</v>
      </c>
      <c r="E295" s="97">
        <f>+DATE(YEAR(D295)+57,MONTH(D295),DAY(D295))</f>
        <v>52719</v>
      </c>
      <c r="F295" s="97">
        <f t="shared" si="46"/>
        <v>52749</v>
      </c>
      <c r="G295" s="97">
        <v>51806</v>
      </c>
      <c r="H295" s="97">
        <v>41671</v>
      </c>
      <c r="I295" s="206" t="s">
        <v>277</v>
      </c>
      <c r="J295" s="207" t="s">
        <v>287</v>
      </c>
      <c r="K295" s="118" t="s">
        <v>282</v>
      </c>
      <c r="L295" s="97">
        <v>45505</v>
      </c>
      <c r="M295" s="117"/>
      <c r="N295" s="118" t="s">
        <v>76</v>
      </c>
      <c r="O295" s="119">
        <v>1.58</v>
      </c>
      <c r="P295" s="119">
        <v>0.06</v>
      </c>
      <c r="Q295" s="99"/>
      <c r="R295" s="314">
        <f t="shared" si="47"/>
        <v>7473400</v>
      </c>
      <c r="S295" s="314">
        <f t="shared" si="41"/>
        <v>264600</v>
      </c>
      <c r="T295" s="314">
        <f t="shared" si="44"/>
        <v>0</v>
      </c>
      <c r="U295" s="314">
        <f t="shared" si="42"/>
        <v>7738000</v>
      </c>
      <c r="V295" s="314">
        <f>+VLOOKUP(A295,[2]Sheet1!$B$11:$J$400,9,0)</f>
        <v>6198400</v>
      </c>
      <c r="W295" s="315" t="s">
        <v>1727</v>
      </c>
      <c r="X295" s="99" t="s">
        <v>1316</v>
      </c>
      <c r="Y295" s="99" t="str">
        <f>+VLOOKUP(A295,[3]Sheet1!$B$11:$I$388,8,0)</f>
        <v>56 - 001</v>
      </c>
      <c r="Z295" s="99" t="s">
        <v>1787</v>
      </c>
      <c r="AA295" s="99" t="s">
        <v>2924</v>
      </c>
      <c r="AB295" s="100">
        <v>225332743</v>
      </c>
      <c r="AC295" s="99">
        <f>+VALUE(AB295:AB651)</f>
        <v>225332743</v>
      </c>
      <c r="AD295" s="99" t="s">
        <v>1367</v>
      </c>
      <c r="AE295" s="99" t="s">
        <v>2427</v>
      </c>
      <c r="AF295" s="347" t="s">
        <v>1368</v>
      </c>
      <c r="AG295" s="316" t="s">
        <v>1369</v>
      </c>
      <c r="AH295" s="251"/>
      <c r="AI295" s="251"/>
      <c r="AJ295" s="251"/>
      <c r="AK295" s="251"/>
      <c r="AL295" s="251"/>
      <c r="AM295" s="251"/>
      <c r="AN295" s="251"/>
      <c r="AO295" s="251"/>
      <c r="AP295" s="251"/>
      <c r="AQ295" s="251"/>
      <c r="AR295" s="251"/>
      <c r="AS295" s="251" t="s">
        <v>2337</v>
      </c>
      <c r="AT295" s="251" t="s">
        <v>3491</v>
      </c>
      <c r="AU295" s="379"/>
      <c r="AV295" s="380"/>
    </row>
    <row r="296" spans="1:56" x14ac:dyDescent="0.25">
      <c r="A296" s="362" t="s">
        <v>236</v>
      </c>
      <c r="B296" s="397" t="s">
        <v>3543</v>
      </c>
      <c r="C296" s="209" t="s">
        <v>453</v>
      </c>
      <c r="D296" s="97">
        <v>31706</v>
      </c>
      <c r="E296" s="97">
        <f>+DATE(YEAR(D296)+55,MONTH(D296),DAY(D296))</f>
        <v>51795</v>
      </c>
      <c r="F296" s="97">
        <f t="shared" si="46"/>
        <v>51806</v>
      </c>
      <c r="G296" s="97">
        <v>50618</v>
      </c>
      <c r="H296" s="97">
        <v>39479</v>
      </c>
      <c r="I296" s="206" t="s">
        <v>277</v>
      </c>
      <c r="J296" s="207" t="s">
        <v>287</v>
      </c>
      <c r="K296" s="118" t="s">
        <v>281</v>
      </c>
      <c r="L296" s="97">
        <v>45839</v>
      </c>
      <c r="M296" s="117"/>
      <c r="N296" s="210" t="s">
        <v>74</v>
      </c>
      <c r="O296" s="119">
        <v>1.68</v>
      </c>
      <c r="P296" s="119"/>
      <c r="Q296" s="99"/>
      <c r="R296" s="314">
        <f t="shared" si="47"/>
        <v>7946400</v>
      </c>
      <c r="S296" s="314">
        <f t="shared" si="41"/>
        <v>0</v>
      </c>
      <c r="T296" s="314">
        <f t="shared" si="44"/>
        <v>0</v>
      </c>
      <c r="U296" s="314">
        <f t="shared" si="42"/>
        <v>7946400</v>
      </c>
      <c r="V296" s="314">
        <f>+VLOOKUP(A296,[2]Sheet1!$B$11:$J$400,9,0)</f>
        <v>6572800</v>
      </c>
      <c r="W296" s="315" t="s">
        <v>1728</v>
      </c>
      <c r="X296" s="99" t="s">
        <v>1316</v>
      </c>
      <c r="Y296" s="99" t="str">
        <f>+VLOOKUP(A296,[3]Sheet1!$B$11:$I$388,8,0)</f>
        <v>56 - 181</v>
      </c>
      <c r="Z296" s="99" t="s">
        <v>1787</v>
      </c>
      <c r="AA296" s="99" t="s">
        <v>2925</v>
      </c>
      <c r="AB296" s="100">
        <v>225569876</v>
      </c>
      <c r="AC296" s="99">
        <f>+VALUE(AB296:AB652)</f>
        <v>225569876</v>
      </c>
      <c r="AD296" s="99" t="s">
        <v>1370</v>
      </c>
      <c r="AE296" s="99" t="s">
        <v>2427</v>
      </c>
      <c r="AF296" s="347" t="s">
        <v>1371</v>
      </c>
      <c r="AG296" s="316" t="s">
        <v>1372</v>
      </c>
      <c r="AH296" s="251"/>
      <c r="AI296" s="251" t="s">
        <v>3583</v>
      </c>
      <c r="AJ296" s="251"/>
      <c r="AK296" s="251" t="s">
        <v>3585</v>
      </c>
      <c r="AL296" s="251"/>
      <c r="AM296" s="251"/>
      <c r="AN296" s="251"/>
      <c r="AO296" s="251"/>
      <c r="AP296" s="251"/>
      <c r="AQ296" s="251"/>
      <c r="AR296" s="251"/>
      <c r="AS296" s="251" t="s">
        <v>2338</v>
      </c>
      <c r="AT296" s="251" t="s">
        <v>3491</v>
      </c>
      <c r="AU296" s="379"/>
      <c r="AV296" s="380"/>
    </row>
    <row r="297" spans="1:56" x14ac:dyDescent="0.25">
      <c r="A297" s="361" t="s">
        <v>238</v>
      </c>
      <c r="B297" s="396" t="s">
        <v>3542</v>
      </c>
      <c r="C297" s="100" t="s">
        <v>455</v>
      </c>
      <c r="D297" s="97">
        <v>26625</v>
      </c>
      <c r="E297" s="97">
        <f t="shared" ref="E297:E309" si="48">+DATE(YEAR(D297)+57,MONTH(D297),DAY(D297))</f>
        <v>47444</v>
      </c>
      <c r="F297" s="97">
        <f t="shared" si="46"/>
        <v>47453</v>
      </c>
      <c r="G297" s="97">
        <v>47453</v>
      </c>
      <c r="H297" s="97">
        <v>36220</v>
      </c>
      <c r="I297" s="206" t="s">
        <v>726</v>
      </c>
      <c r="J297" s="207" t="s">
        <v>287</v>
      </c>
      <c r="K297" s="118" t="s">
        <v>286</v>
      </c>
      <c r="L297" s="97">
        <v>41821</v>
      </c>
      <c r="M297" s="117"/>
      <c r="N297" s="210" t="s">
        <v>74</v>
      </c>
      <c r="O297" s="119">
        <v>1.68</v>
      </c>
      <c r="P297" s="119">
        <v>0.06</v>
      </c>
      <c r="Q297" s="99"/>
      <c r="R297" s="314">
        <f t="shared" si="47"/>
        <v>7946400</v>
      </c>
      <c r="S297" s="314">
        <f t="shared" si="41"/>
        <v>264600</v>
      </c>
      <c r="T297" s="314">
        <f t="shared" si="44"/>
        <v>0</v>
      </c>
      <c r="U297" s="314">
        <f t="shared" si="42"/>
        <v>8211000</v>
      </c>
      <c r="V297" s="314">
        <f>+VLOOKUP(A297,[2]Sheet1!$B$11:$J$400,9,0)</f>
        <v>7238400</v>
      </c>
      <c r="W297" s="315" t="s">
        <v>1729</v>
      </c>
      <c r="X297" s="99" t="s">
        <v>1377</v>
      </c>
      <c r="Y297" s="99" t="str">
        <f>+VLOOKUP(A297,[3]Sheet1!$B$11:$I$388,8,0)</f>
        <v>56 - 002</v>
      </c>
      <c r="Z297" s="99" t="s">
        <v>1787</v>
      </c>
      <c r="AA297" s="99" t="s">
        <v>2927</v>
      </c>
      <c r="AB297" s="100">
        <v>225094329</v>
      </c>
      <c r="AC297" s="99">
        <f>+VALUE(AB297:AB654)</f>
        <v>225094329</v>
      </c>
      <c r="AD297" s="99" t="s">
        <v>1378</v>
      </c>
      <c r="AE297" s="99" t="s">
        <v>2427</v>
      </c>
      <c r="AF297" s="347" t="s">
        <v>1379</v>
      </c>
      <c r="AG297" s="316" t="s">
        <v>1380</v>
      </c>
      <c r="AH297" s="251"/>
      <c r="AI297" s="251" t="s">
        <v>3597</v>
      </c>
      <c r="AJ297" s="251"/>
      <c r="AK297" s="251"/>
      <c r="AL297" s="251"/>
      <c r="AM297" s="251"/>
      <c r="AN297" s="251"/>
      <c r="AO297" s="251"/>
      <c r="AP297" s="251"/>
      <c r="AQ297" s="251"/>
      <c r="AR297" s="251"/>
      <c r="AS297" s="251" t="s">
        <v>2340</v>
      </c>
      <c r="AT297" s="251" t="s">
        <v>3491</v>
      </c>
      <c r="AU297" s="379"/>
      <c r="AV297" s="380"/>
    </row>
    <row r="298" spans="1:56" s="170" customFormat="1" x14ac:dyDescent="0.25">
      <c r="A298" s="361" t="s">
        <v>239</v>
      </c>
      <c r="B298" s="396" t="s">
        <v>3542</v>
      </c>
      <c r="C298" s="100" t="s">
        <v>456</v>
      </c>
      <c r="D298" s="97">
        <v>26803</v>
      </c>
      <c r="E298" s="97">
        <f t="shared" si="48"/>
        <v>47622</v>
      </c>
      <c r="F298" s="97">
        <f t="shared" si="46"/>
        <v>47635</v>
      </c>
      <c r="G298" s="97">
        <v>47635</v>
      </c>
      <c r="H298" s="97">
        <v>35370</v>
      </c>
      <c r="I298" s="206" t="s">
        <v>726</v>
      </c>
      <c r="J298" s="207" t="s">
        <v>287</v>
      </c>
      <c r="K298" s="118" t="s">
        <v>281</v>
      </c>
      <c r="L298" s="97">
        <v>41091</v>
      </c>
      <c r="M298" s="117"/>
      <c r="N298" s="210" t="s">
        <v>74</v>
      </c>
      <c r="O298" s="119">
        <v>1.68</v>
      </c>
      <c r="P298" s="119"/>
      <c r="Q298" s="99"/>
      <c r="R298" s="314">
        <f t="shared" si="47"/>
        <v>7946400</v>
      </c>
      <c r="S298" s="314">
        <f t="shared" si="41"/>
        <v>0</v>
      </c>
      <c r="T298" s="314">
        <f t="shared" si="44"/>
        <v>0</v>
      </c>
      <c r="U298" s="314">
        <f t="shared" si="42"/>
        <v>7946400</v>
      </c>
      <c r="V298" s="314">
        <f>+VLOOKUP(A298,[2]Sheet1!$B$11:$J$400,9,0)</f>
        <v>6988800</v>
      </c>
      <c r="W298" s="315" t="s">
        <v>1730</v>
      </c>
      <c r="X298" s="99" t="s">
        <v>1377</v>
      </c>
      <c r="Y298" s="99" t="str">
        <f>+VLOOKUP(A298,[3]Sheet1!$B$11:$I$388,8,0)</f>
        <v>56 - 002</v>
      </c>
      <c r="Z298" s="99" t="s">
        <v>1787</v>
      </c>
      <c r="AA298" s="99" t="s">
        <v>2928</v>
      </c>
      <c r="AB298" s="100">
        <v>225246977</v>
      </c>
      <c r="AC298" s="99">
        <f>+VALUE(AB298:AB655)</f>
        <v>225246977</v>
      </c>
      <c r="AD298" s="99" t="s">
        <v>1033</v>
      </c>
      <c r="AE298" s="99" t="s">
        <v>2427</v>
      </c>
      <c r="AF298" s="347" t="s">
        <v>1381</v>
      </c>
      <c r="AG298" s="316" t="s">
        <v>1382</v>
      </c>
      <c r="AH298" s="251"/>
      <c r="AI298" s="251"/>
      <c r="AJ298" s="251"/>
      <c r="AK298" s="251" t="s">
        <v>3585</v>
      </c>
      <c r="AL298" s="251"/>
      <c r="AM298" s="251"/>
      <c r="AN298" s="251"/>
      <c r="AO298" s="251"/>
      <c r="AP298" s="251"/>
      <c r="AQ298" s="251"/>
      <c r="AR298" s="251"/>
      <c r="AS298" s="251" t="s">
        <v>2341</v>
      </c>
      <c r="AT298" s="251" t="s">
        <v>3491</v>
      </c>
      <c r="AU298" s="379"/>
      <c r="AV298" s="380"/>
      <c r="AW298" s="55"/>
      <c r="AX298" s="55"/>
      <c r="AY298" s="55"/>
      <c r="AZ298" s="55"/>
      <c r="BA298" s="55"/>
      <c r="BB298" s="55"/>
      <c r="BC298" s="55"/>
      <c r="BD298" s="55"/>
    </row>
    <row r="299" spans="1:56" s="170" customFormat="1" x14ac:dyDescent="0.25">
      <c r="A299" s="361" t="s">
        <v>240</v>
      </c>
      <c r="B299" s="396" t="s">
        <v>3542</v>
      </c>
      <c r="C299" s="100" t="s">
        <v>457</v>
      </c>
      <c r="D299" s="97">
        <v>31726</v>
      </c>
      <c r="E299" s="97">
        <f t="shared" si="48"/>
        <v>52545</v>
      </c>
      <c r="F299" s="97">
        <f t="shared" si="46"/>
        <v>52566</v>
      </c>
      <c r="G299" s="97">
        <v>52566</v>
      </c>
      <c r="H299" s="97">
        <v>39479</v>
      </c>
      <c r="I299" s="206" t="s">
        <v>726</v>
      </c>
      <c r="J299" s="207" t="s">
        <v>287</v>
      </c>
      <c r="K299" s="118" t="s">
        <v>285</v>
      </c>
      <c r="L299" s="97">
        <v>45505</v>
      </c>
      <c r="M299" s="117"/>
      <c r="N299" s="210" t="s">
        <v>74</v>
      </c>
      <c r="O299" s="119">
        <v>1.68</v>
      </c>
      <c r="P299" s="119">
        <v>0.04</v>
      </c>
      <c r="Q299" s="99"/>
      <c r="R299" s="314">
        <f t="shared" si="47"/>
        <v>7946400</v>
      </c>
      <c r="S299" s="314">
        <f t="shared" si="41"/>
        <v>176400</v>
      </c>
      <c r="T299" s="314">
        <f t="shared" si="44"/>
        <v>0</v>
      </c>
      <c r="U299" s="314">
        <f t="shared" si="42"/>
        <v>8122800</v>
      </c>
      <c r="V299" s="314">
        <f>+VLOOKUP(A299,[2]Sheet1!$B$11:$J$400,9,0)</f>
        <v>6739200</v>
      </c>
      <c r="W299" s="315" t="s">
        <v>1731</v>
      </c>
      <c r="X299" s="99" t="s">
        <v>1377</v>
      </c>
      <c r="Y299" s="99" t="str">
        <f>+VLOOKUP(A299,[3]Sheet1!$B$11:$I$388,8,0)</f>
        <v>56 - 002</v>
      </c>
      <c r="Z299" s="99" t="s">
        <v>1787</v>
      </c>
      <c r="AA299" s="99" t="s">
        <v>2929</v>
      </c>
      <c r="AB299" s="100">
        <v>225301391</v>
      </c>
      <c r="AC299" s="99">
        <f>+VALUE(AB299:AB656)</f>
        <v>225301391</v>
      </c>
      <c r="AD299" s="99" t="s">
        <v>1290</v>
      </c>
      <c r="AE299" s="99" t="s">
        <v>2427</v>
      </c>
      <c r="AF299" s="347" t="s">
        <v>1383</v>
      </c>
      <c r="AG299" s="316" t="s">
        <v>1383</v>
      </c>
      <c r="AH299" s="251"/>
      <c r="AI299" s="251"/>
      <c r="AJ299" s="251"/>
      <c r="AK299" s="251" t="s">
        <v>3585</v>
      </c>
      <c r="AL299" s="251"/>
      <c r="AM299" s="251"/>
      <c r="AN299" s="251"/>
      <c r="AO299" s="251"/>
      <c r="AP299" s="251"/>
      <c r="AQ299" s="251"/>
      <c r="AR299" s="251"/>
      <c r="AS299" s="251" t="s">
        <v>2342</v>
      </c>
      <c r="AT299" s="251" t="s">
        <v>3491</v>
      </c>
      <c r="AU299" s="379"/>
      <c r="AV299" s="380"/>
      <c r="AW299" s="55"/>
      <c r="AX299" s="55"/>
      <c r="AY299" s="55"/>
      <c r="AZ299" s="55"/>
      <c r="BA299" s="55"/>
      <c r="BB299" s="55"/>
      <c r="BC299" s="55"/>
      <c r="BD299" s="55"/>
    </row>
    <row r="300" spans="1:56" s="170" customFormat="1" x14ac:dyDescent="0.25">
      <c r="A300" s="354" t="s">
        <v>244</v>
      </c>
      <c r="B300" s="396" t="s">
        <v>3542</v>
      </c>
      <c r="C300" s="100" t="s">
        <v>617</v>
      </c>
      <c r="D300" s="97">
        <v>30748</v>
      </c>
      <c r="E300" s="97">
        <f t="shared" si="48"/>
        <v>51567</v>
      </c>
      <c r="F300" s="97">
        <f t="shared" si="46"/>
        <v>51592</v>
      </c>
      <c r="G300" s="97">
        <v>51592</v>
      </c>
      <c r="H300" s="97">
        <v>43191</v>
      </c>
      <c r="I300" s="206" t="s">
        <v>726</v>
      </c>
      <c r="J300" s="207" t="s">
        <v>287</v>
      </c>
      <c r="K300" s="118" t="s">
        <v>281</v>
      </c>
      <c r="L300" s="117" t="s">
        <v>3238</v>
      </c>
      <c r="M300" s="117"/>
      <c r="N300" s="200" t="s">
        <v>71</v>
      </c>
      <c r="O300" s="119">
        <v>1.49</v>
      </c>
      <c r="P300" s="119"/>
      <c r="Q300" s="99"/>
      <c r="R300" s="314">
        <f t="shared" si="47"/>
        <v>7047700</v>
      </c>
      <c r="S300" s="314">
        <f t="shared" ref="S300:S363" si="49">+P300*4410000</f>
        <v>0</v>
      </c>
      <c r="T300" s="314">
        <f t="shared" si="44"/>
        <v>0</v>
      </c>
      <c r="U300" s="314">
        <f t="shared" si="42"/>
        <v>7047700</v>
      </c>
      <c r="V300" s="314">
        <f>+VLOOKUP(A300,[2]Sheet1!$B$11:$J$400,9,0)</f>
        <v>5865600</v>
      </c>
      <c r="W300" s="315" t="s">
        <v>1735</v>
      </c>
      <c r="X300" s="99" t="s">
        <v>618</v>
      </c>
      <c r="Y300" s="99" t="str">
        <f>+VLOOKUP(A300,[3]Sheet1!$B$11:$I$388,8,0)</f>
        <v>56 - 002</v>
      </c>
      <c r="Z300" s="99" t="s">
        <v>1787</v>
      </c>
      <c r="AA300" s="99" t="s">
        <v>2931</v>
      </c>
      <c r="AB300" s="100" t="s">
        <v>619</v>
      </c>
      <c r="AC300" s="99">
        <f>+VALUE(AB300:AB659)</f>
        <v>225303574</v>
      </c>
      <c r="AD300" s="205" t="s">
        <v>663</v>
      </c>
      <c r="AE300" s="99" t="s">
        <v>2427</v>
      </c>
      <c r="AF300" s="347" t="s">
        <v>1524</v>
      </c>
      <c r="AG300" s="316" t="e">
        <v>#N/A</v>
      </c>
      <c r="AH300" s="251"/>
      <c r="AI300" s="251"/>
      <c r="AJ300" s="251"/>
      <c r="AK300" s="251" t="s">
        <v>3663</v>
      </c>
      <c r="AL300" s="335"/>
      <c r="AM300" s="335" t="s">
        <v>543</v>
      </c>
      <c r="AN300" s="335"/>
      <c r="AO300" s="335"/>
      <c r="AP300" s="335"/>
      <c r="AQ300" s="335"/>
      <c r="AR300" s="335"/>
      <c r="AS300" s="251" t="s">
        <v>2344</v>
      </c>
      <c r="AT300" s="251" t="s">
        <v>3491</v>
      </c>
      <c r="AU300" s="381"/>
      <c r="AV300" s="382"/>
    </row>
    <row r="301" spans="1:56" x14ac:dyDescent="0.25">
      <c r="A301" s="366" t="s">
        <v>2071</v>
      </c>
      <c r="B301" s="396" t="s">
        <v>3542</v>
      </c>
      <c r="C301" s="214" t="s">
        <v>2072</v>
      </c>
      <c r="D301" s="215">
        <v>34065</v>
      </c>
      <c r="E301" s="97">
        <f t="shared" si="48"/>
        <v>54884</v>
      </c>
      <c r="F301" s="97">
        <f t="shared" si="46"/>
        <v>54909</v>
      </c>
      <c r="G301" s="97">
        <v>54909</v>
      </c>
      <c r="H301" s="211">
        <v>40848</v>
      </c>
      <c r="I301" s="216" t="s">
        <v>726</v>
      </c>
      <c r="J301" s="207" t="s">
        <v>287</v>
      </c>
      <c r="K301" s="207" t="s">
        <v>281</v>
      </c>
      <c r="L301" s="217" t="s">
        <v>3238</v>
      </c>
      <c r="M301" s="217"/>
      <c r="N301" s="200" t="s">
        <v>71</v>
      </c>
      <c r="O301" s="218">
        <v>1.49</v>
      </c>
      <c r="P301" s="218"/>
      <c r="Q301" s="213"/>
      <c r="R301" s="314">
        <f t="shared" si="47"/>
        <v>7047700</v>
      </c>
      <c r="S301" s="314">
        <f t="shared" si="49"/>
        <v>0</v>
      </c>
      <c r="T301" s="314">
        <f t="shared" si="44"/>
        <v>0</v>
      </c>
      <c r="U301" s="314">
        <f t="shared" si="42"/>
        <v>7047700</v>
      </c>
      <c r="V301" s="314">
        <f>+VLOOKUP(A301,[2]Sheet1!$B$11:$J$400,9,0)</f>
        <v>5865600</v>
      </c>
      <c r="W301" s="315" t="s">
        <v>2073</v>
      </c>
      <c r="X301" s="99"/>
      <c r="Y301" s="99" t="str">
        <f>+VLOOKUP(A301,[3]Sheet1!$B$11:$I$388,8,0)</f>
        <v>56 - 002</v>
      </c>
      <c r="Z301" s="99" t="s">
        <v>1787</v>
      </c>
      <c r="AA301" s="201" t="s">
        <v>3085</v>
      </c>
      <c r="AB301" s="219" t="s">
        <v>2074</v>
      </c>
      <c r="AC301" s="99">
        <f>+VALUE(AB301:AB663)</f>
        <v>225507635</v>
      </c>
      <c r="AD301" s="220" t="s">
        <v>2075</v>
      </c>
      <c r="AE301" s="221" t="s">
        <v>2427</v>
      </c>
      <c r="AF301" s="349" t="s">
        <v>2076</v>
      </c>
      <c r="AG301" s="334">
        <v>22489</v>
      </c>
      <c r="AH301" s="335"/>
      <c r="AI301" s="335"/>
      <c r="AJ301" s="335"/>
      <c r="AK301" s="251"/>
      <c r="AL301" s="335"/>
      <c r="AM301" s="335"/>
      <c r="AN301" s="335"/>
      <c r="AO301" s="335"/>
      <c r="AP301" s="336">
        <v>44052</v>
      </c>
      <c r="AQ301" s="335"/>
      <c r="AR301" s="336">
        <v>44783</v>
      </c>
      <c r="AS301" s="251" t="s">
        <v>2346</v>
      </c>
      <c r="AT301" s="251" t="s">
        <v>3491</v>
      </c>
      <c r="AU301" s="381"/>
      <c r="AV301" s="382"/>
      <c r="AW301" s="170"/>
      <c r="AX301" s="170"/>
      <c r="AY301" s="170"/>
      <c r="AZ301" s="170"/>
      <c r="BA301" s="170"/>
      <c r="BB301" s="170"/>
      <c r="BC301" s="170"/>
      <c r="BD301" s="170"/>
    </row>
    <row r="302" spans="1:56" x14ac:dyDescent="0.25">
      <c r="A302" s="366" t="s">
        <v>2084</v>
      </c>
      <c r="B302" s="396" t="s">
        <v>3542</v>
      </c>
      <c r="C302" s="214" t="s">
        <v>2085</v>
      </c>
      <c r="D302" s="215">
        <v>34413</v>
      </c>
      <c r="E302" s="97">
        <f t="shared" si="48"/>
        <v>55232</v>
      </c>
      <c r="F302" s="97">
        <f t="shared" si="46"/>
        <v>55244</v>
      </c>
      <c r="G302" s="97">
        <v>55244</v>
      </c>
      <c r="H302" s="211">
        <v>44053</v>
      </c>
      <c r="I302" s="216" t="s">
        <v>726</v>
      </c>
      <c r="J302" s="207" t="s">
        <v>287</v>
      </c>
      <c r="K302" s="207" t="s">
        <v>281</v>
      </c>
      <c r="L302" s="211">
        <v>44053</v>
      </c>
      <c r="M302" s="217"/>
      <c r="N302" s="207" t="s">
        <v>72</v>
      </c>
      <c r="O302" s="218">
        <v>1.41</v>
      </c>
      <c r="P302" s="218"/>
      <c r="Q302" s="213"/>
      <c r="R302" s="314">
        <f t="shared" si="47"/>
        <v>6669300</v>
      </c>
      <c r="S302" s="314">
        <f t="shared" si="49"/>
        <v>0</v>
      </c>
      <c r="T302" s="314">
        <f t="shared" si="44"/>
        <v>0</v>
      </c>
      <c r="U302" s="314">
        <f t="shared" si="42"/>
        <v>6669300</v>
      </c>
      <c r="V302" s="314">
        <f>+VLOOKUP(A302,[2]Sheet1!$B$11:$J$400,9,0)</f>
        <v>5865600</v>
      </c>
      <c r="W302" s="315" t="s">
        <v>2106</v>
      </c>
      <c r="X302" s="99"/>
      <c r="Y302" s="99" t="str">
        <f>+VLOOKUP(A302,[3]Sheet1!$B$11:$I$388,8,0)</f>
        <v>56 - 002</v>
      </c>
      <c r="Z302" s="99" t="s">
        <v>1787</v>
      </c>
      <c r="AA302" s="99" t="s">
        <v>2933</v>
      </c>
      <c r="AB302" s="219" t="s">
        <v>2086</v>
      </c>
      <c r="AC302" s="99">
        <f>+VALUE(AB302:AB664)</f>
        <v>225605771</v>
      </c>
      <c r="AD302" s="220" t="s">
        <v>2087</v>
      </c>
      <c r="AE302" s="221" t="s">
        <v>2427</v>
      </c>
      <c r="AF302" s="349" t="s">
        <v>2088</v>
      </c>
      <c r="AG302" s="334">
        <v>22498</v>
      </c>
      <c r="AH302" s="335"/>
      <c r="AI302" s="335"/>
      <c r="AJ302" s="335"/>
      <c r="AK302" s="251" t="s">
        <v>3664</v>
      </c>
      <c r="AL302" s="335"/>
      <c r="AM302" s="335"/>
      <c r="AN302" s="335"/>
      <c r="AO302" s="335"/>
      <c r="AP302" s="336">
        <v>44165</v>
      </c>
      <c r="AQ302" s="335"/>
      <c r="AR302" s="336">
        <v>44896</v>
      </c>
      <c r="AS302" s="251" t="s">
        <v>2347</v>
      </c>
      <c r="AT302" s="251" t="s">
        <v>3491</v>
      </c>
      <c r="AU302" s="381"/>
      <c r="AV302" s="382"/>
      <c r="AW302" s="170"/>
      <c r="AX302" s="170"/>
      <c r="AY302" s="170"/>
      <c r="AZ302" s="170"/>
      <c r="BA302" s="170"/>
      <c r="BB302" s="170"/>
      <c r="BC302" s="170"/>
      <c r="BD302" s="170"/>
    </row>
    <row r="303" spans="1:56" x14ac:dyDescent="0.25">
      <c r="A303" s="366" t="s">
        <v>2108</v>
      </c>
      <c r="B303" s="396" t="s">
        <v>3542</v>
      </c>
      <c r="C303" s="214" t="s">
        <v>2109</v>
      </c>
      <c r="D303" s="215">
        <v>32937</v>
      </c>
      <c r="E303" s="97">
        <f t="shared" si="48"/>
        <v>53756</v>
      </c>
      <c r="F303" s="97">
        <f t="shared" si="46"/>
        <v>53783</v>
      </c>
      <c r="G303" s="97">
        <v>53783</v>
      </c>
      <c r="H303" s="211">
        <v>44166</v>
      </c>
      <c r="I303" s="216" t="s">
        <v>726</v>
      </c>
      <c r="J303" s="207" t="s">
        <v>287</v>
      </c>
      <c r="K303" s="207" t="s">
        <v>281</v>
      </c>
      <c r="L303" s="211">
        <v>44166</v>
      </c>
      <c r="M303" s="217"/>
      <c r="N303" s="207" t="s">
        <v>72</v>
      </c>
      <c r="O303" s="218">
        <v>1.41</v>
      </c>
      <c r="P303" s="218"/>
      <c r="Q303" s="213"/>
      <c r="R303" s="314">
        <f t="shared" si="47"/>
        <v>6669300</v>
      </c>
      <c r="S303" s="314">
        <f t="shared" si="49"/>
        <v>0</v>
      </c>
      <c r="T303" s="314">
        <f t="shared" si="44"/>
        <v>0</v>
      </c>
      <c r="U303" s="314">
        <f t="shared" si="42"/>
        <v>6669300</v>
      </c>
      <c r="V303" s="314">
        <f>+VLOOKUP(A303,[2]Sheet1!$B$11:$J$400,9,0)</f>
        <v>5865600</v>
      </c>
      <c r="W303" s="315" t="s">
        <v>2119</v>
      </c>
      <c r="X303" s="99"/>
      <c r="Y303" s="99" t="str">
        <f>+VLOOKUP(A303,[3]Sheet1!$B$11:$I$388,8,0)</f>
        <v>56 - 002</v>
      </c>
      <c r="Z303" s="99" t="s">
        <v>1787</v>
      </c>
      <c r="AA303" s="99" t="s">
        <v>2934</v>
      </c>
      <c r="AB303" s="219" t="s">
        <v>2110</v>
      </c>
      <c r="AC303" s="99">
        <f>+VALUE(AB303:AB665)</f>
        <v>225481597</v>
      </c>
      <c r="AD303" s="220" t="s">
        <v>2111</v>
      </c>
      <c r="AE303" s="221" t="s">
        <v>2427</v>
      </c>
      <c r="AF303" s="349" t="s">
        <v>2112</v>
      </c>
      <c r="AG303" s="316" t="s">
        <v>1383</v>
      </c>
      <c r="AH303" s="335"/>
      <c r="AI303" s="335"/>
      <c r="AJ303" s="335"/>
      <c r="AK303" s="251" t="s">
        <v>3664</v>
      </c>
      <c r="AL303" s="251"/>
      <c r="AM303" s="251"/>
      <c r="AN303" s="251"/>
      <c r="AO303" s="251"/>
      <c r="AP303" s="247">
        <v>43570</v>
      </c>
      <c r="AQ303" s="251"/>
      <c r="AR303" s="247">
        <v>44301</v>
      </c>
      <c r="AS303" s="251" t="s">
        <v>2348</v>
      </c>
      <c r="AT303" s="251" t="s">
        <v>3491</v>
      </c>
      <c r="AU303" s="379"/>
      <c r="AV303" s="380"/>
    </row>
    <row r="304" spans="1:56" x14ac:dyDescent="0.25">
      <c r="A304" s="354" t="s">
        <v>2495</v>
      </c>
      <c r="B304" s="396" t="s">
        <v>3542</v>
      </c>
      <c r="C304" s="100" t="s">
        <v>2496</v>
      </c>
      <c r="D304" s="205">
        <v>33598</v>
      </c>
      <c r="E304" s="97">
        <f t="shared" si="48"/>
        <v>54418</v>
      </c>
      <c r="F304" s="97">
        <f t="shared" si="46"/>
        <v>54424</v>
      </c>
      <c r="G304" s="97">
        <v>54424</v>
      </c>
      <c r="H304" s="97">
        <v>44562</v>
      </c>
      <c r="I304" s="216" t="s">
        <v>726</v>
      </c>
      <c r="J304" s="207" t="s">
        <v>287</v>
      </c>
      <c r="K304" s="118" t="s">
        <v>281</v>
      </c>
      <c r="L304" s="97">
        <v>44562</v>
      </c>
      <c r="M304" s="117"/>
      <c r="N304" s="118" t="s">
        <v>72</v>
      </c>
      <c r="O304" s="119">
        <v>1.41</v>
      </c>
      <c r="P304" s="119"/>
      <c r="Q304" s="99"/>
      <c r="R304" s="314">
        <f t="shared" si="47"/>
        <v>6669300</v>
      </c>
      <c r="S304" s="314">
        <f t="shared" si="49"/>
        <v>0</v>
      </c>
      <c r="T304" s="314">
        <f t="shared" si="44"/>
        <v>0</v>
      </c>
      <c r="U304" s="314">
        <f t="shared" si="42"/>
        <v>6669300</v>
      </c>
      <c r="V304" s="314">
        <f>+VLOOKUP(A304,[2]Sheet1!$B$11:$J$400,9,0)</f>
        <v>5865600</v>
      </c>
      <c r="W304" s="315" t="s">
        <v>2716</v>
      </c>
      <c r="X304" s="99"/>
      <c r="Y304" s="99" t="str">
        <f>+VLOOKUP(A304,[3]Sheet1!$B$11:$I$388,8,0)</f>
        <v>56 - 105</v>
      </c>
      <c r="Z304" s="99" t="s">
        <v>1787</v>
      </c>
      <c r="AA304" s="99" t="s">
        <v>2944</v>
      </c>
      <c r="AB304" s="223" t="s">
        <v>2497</v>
      </c>
      <c r="AC304" s="99">
        <v>225445852</v>
      </c>
      <c r="AD304" s="205" t="s">
        <v>2498</v>
      </c>
      <c r="AE304" s="99" t="s">
        <v>2427</v>
      </c>
      <c r="AF304" s="347" t="s">
        <v>2499</v>
      </c>
      <c r="AG304" s="251" t="s">
        <v>2500</v>
      </c>
      <c r="AH304" s="251"/>
      <c r="AI304" s="251"/>
      <c r="AJ304" s="251"/>
      <c r="AK304" s="251"/>
      <c r="AL304" s="251"/>
      <c r="AM304" s="247"/>
      <c r="AN304" s="251"/>
      <c r="AO304" s="251"/>
      <c r="AP304" s="247"/>
      <c r="AQ304" s="251"/>
      <c r="AR304" s="247"/>
      <c r="AS304" s="321" t="s">
        <v>2508</v>
      </c>
      <c r="AT304" s="251" t="s">
        <v>3491</v>
      </c>
      <c r="AU304" s="379"/>
      <c r="AV304" s="380"/>
    </row>
    <row r="305" spans="1:48" x14ac:dyDescent="0.25">
      <c r="A305" s="354" t="s">
        <v>2579</v>
      </c>
      <c r="B305" s="396" t="s">
        <v>3542</v>
      </c>
      <c r="C305" s="100" t="s">
        <v>2580</v>
      </c>
      <c r="D305" s="205">
        <v>36654</v>
      </c>
      <c r="E305" s="97">
        <f t="shared" si="48"/>
        <v>57473</v>
      </c>
      <c r="F305" s="97">
        <f t="shared" si="46"/>
        <v>57497</v>
      </c>
      <c r="G305" s="97">
        <v>57497</v>
      </c>
      <c r="H305" s="97">
        <v>44896</v>
      </c>
      <c r="I305" s="216" t="s">
        <v>726</v>
      </c>
      <c r="J305" s="207" t="s">
        <v>287</v>
      </c>
      <c r="K305" s="118" t="s">
        <v>281</v>
      </c>
      <c r="L305" s="97">
        <v>44927</v>
      </c>
      <c r="M305" s="117"/>
      <c r="N305" s="118" t="s">
        <v>72</v>
      </c>
      <c r="O305" s="119">
        <v>1.41</v>
      </c>
      <c r="P305" s="119"/>
      <c r="Q305" s="99"/>
      <c r="R305" s="314">
        <f t="shared" si="47"/>
        <v>6669300</v>
      </c>
      <c r="S305" s="314">
        <f t="shared" si="49"/>
        <v>0</v>
      </c>
      <c r="T305" s="314">
        <f t="shared" si="44"/>
        <v>0</v>
      </c>
      <c r="U305" s="314">
        <f t="shared" si="42"/>
        <v>6669300</v>
      </c>
      <c r="V305" s="314">
        <f>+VLOOKUP(A305,[2]Sheet1!$B$11:$J$400,9,0)</f>
        <v>5865600</v>
      </c>
      <c r="W305" s="315" t="s">
        <v>2713</v>
      </c>
      <c r="X305" s="99"/>
      <c r="Y305" s="99" t="str">
        <f>+VLOOKUP(A305,[3]Sheet1!$B$11:$I$388,8,0)</f>
        <v>52 - 008</v>
      </c>
      <c r="Z305" s="99" t="s">
        <v>1787</v>
      </c>
      <c r="AA305" s="99" t="s">
        <v>2936</v>
      </c>
      <c r="AB305" s="223" t="s">
        <v>2581</v>
      </c>
      <c r="AC305" s="99">
        <f>+VALUE(AB305:AB677)</f>
        <v>225621468</v>
      </c>
      <c r="AD305" s="205" t="s">
        <v>2582</v>
      </c>
      <c r="AE305" s="99" t="s">
        <v>2427</v>
      </c>
      <c r="AF305" s="347" t="s">
        <v>2583</v>
      </c>
      <c r="AG305" s="251" t="s">
        <v>2584</v>
      </c>
      <c r="AH305" s="251"/>
      <c r="AI305" s="251"/>
      <c r="AJ305" s="251"/>
      <c r="AK305" s="251"/>
      <c r="AL305" s="251" t="s">
        <v>3603</v>
      </c>
      <c r="AM305" s="247">
        <v>44896</v>
      </c>
      <c r="AN305" s="251"/>
      <c r="AO305" s="251"/>
      <c r="AP305" s="247">
        <v>44927</v>
      </c>
      <c r="AQ305" s="251"/>
      <c r="AR305" s="251"/>
      <c r="AS305" s="321" t="s">
        <v>2585</v>
      </c>
      <c r="AT305" s="251" t="s">
        <v>3491</v>
      </c>
      <c r="AU305" s="379"/>
      <c r="AV305" s="380"/>
    </row>
    <row r="306" spans="1:48" x14ac:dyDescent="0.25">
      <c r="A306" s="354" t="s">
        <v>3061</v>
      </c>
      <c r="B306" s="396" t="s">
        <v>3542</v>
      </c>
      <c r="C306" s="100" t="s">
        <v>3062</v>
      </c>
      <c r="D306" s="205">
        <v>37536</v>
      </c>
      <c r="E306" s="97">
        <f t="shared" si="48"/>
        <v>58355</v>
      </c>
      <c r="F306" s="97">
        <f t="shared" si="46"/>
        <v>58380</v>
      </c>
      <c r="G306" s="97">
        <v>58380</v>
      </c>
      <c r="H306" s="97">
        <v>45139</v>
      </c>
      <c r="I306" s="216" t="s">
        <v>726</v>
      </c>
      <c r="J306" s="207" t="s">
        <v>287</v>
      </c>
      <c r="K306" s="118" t="s">
        <v>281</v>
      </c>
      <c r="L306" s="97">
        <v>45170</v>
      </c>
      <c r="M306" s="117"/>
      <c r="N306" s="118" t="s">
        <v>72</v>
      </c>
      <c r="O306" s="119">
        <v>1.41</v>
      </c>
      <c r="P306" s="119"/>
      <c r="Q306" s="99"/>
      <c r="R306" s="314">
        <f t="shared" si="47"/>
        <v>6669300</v>
      </c>
      <c r="S306" s="314">
        <f t="shared" si="49"/>
        <v>0</v>
      </c>
      <c r="T306" s="314">
        <f t="shared" si="44"/>
        <v>0</v>
      </c>
      <c r="U306" s="314">
        <f t="shared" si="42"/>
        <v>6669300</v>
      </c>
      <c r="V306" s="314">
        <f>+VLOOKUP(A306,[2]Sheet1!$B$11:$J$400,9,0)</f>
        <v>5865600</v>
      </c>
      <c r="W306" s="315" t="s">
        <v>3093</v>
      </c>
      <c r="X306" s="99"/>
      <c r="Y306" s="99" t="str">
        <f>+VLOOKUP(A306,[3]Sheet1!$B$11:$I$388,8,0)</f>
        <v>56 - 002</v>
      </c>
      <c r="Z306" s="99" t="s">
        <v>1787</v>
      </c>
      <c r="AA306" s="201" t="s">
        <v>3063</v>
      </c>
      <c r="AB306" s="223"/>
      <c r="AC306" s="99"/>
      <c r="AD306" s="205" t="s">
        <v>3064</v>
      </c>
      <c r="AE306" s="99" t="s">
        <v>2427</v>
      </c>
      <c r="AF306" s="347" t="s">
        <v>3065</v>
      </c>
      <c r="AG306" s="251"/>
      <c r="AH306" s="251"/>
      <c r="AI306" s="251"/>
      <c r="AJ306" s="251" t="s">
        <v>3605</v>
      </c>
      <c r="AK306" s="251"/>
      <c r="AL306" s="251"/>
      <c r="AM306" s="247">
        <v>45139</v>
      </c>
      <c r="AN306" s="251"/>
      <c r="AO306" s="247">
        <v>45170</v>
      </c>
      <c r="AP306" s="247"/>
      <c r="AQ306" s="251"/>
      <c r="AR306" s="251"/>
      <c r="AS306" s="321" t="s">
        <v>3068</v>
      </c>
      <c r="AT306" s="251" t="s">
        <v>3491</v>
      </c>
      <c r="AU306" s="379"/>
      <c r="AV306" s="380"/>
    </row>
    <row r="307" spans="1:48" x14ac:dyDescent="0.25">
      <c r="A307" s="354" t="s">
        <v>3092</v>
      </c>
      <c r="B307" s="396" t="s">
        <v>3542</v>
      </c>
      <c r="C307" s="223" t="s">
        <v>2505</v>
      </c>
      <c r="D307" s="205">
        <v>33856</v>
      </c>
      <c r="E307" s="97">
        <f t="shared" si="48"/>
        <v>54675</v>
      </c>
      <c r="F307" s="97">
        <f t="shared" si="46"/>
        <v>54697</v>
      </c>
      <c r="G307" s="97">
        <v>58381</v>
      </c>
      <c r="H307" s="97">
        <v>45261</v>
      </c>
      <c r="I307" s="216" t="s">
        <v>726</v>
      </c>
      <c r="J307" s="207" t="s">
        <v>287</v>
      </c>
      <c r="K307" s="118" t="s">
        <v>281</v>
      </c>
      <c r="L307" s="97">
        <v>45292</v>
      </c>
      <c r="M307" s="117"/>
      <c r="N307" s="118" t="s">
        <v>72</v>
      </c>
      <c r="O307" s="119">
        <v>1.41</v>
      </c>
      <c r="P307" s="119"/>
      <c r="Q307" s="99"/>
      <c r="R307" s="314">
        <f t="shared" si="47"/>
        <v>6669300</v>
      </c>
      <c r="S307" s="314">
        <f t="shared" si="49"/>
        <v>0</v>
      </c>
      <c r="T307" s="314">
        <f t="shared" si="44"/>
        <v>0</v>
      </c>
      <c r="U307" s="314">
        <f t="shared" si="42"/>
        <v>6669300</v>
      </c>
      <c r="V307" s="314">
        <f>+VLOOKUP(A307,[2]Sheet1!$B$11:$J$400,9,0)</f>
        <v>5865600</v>
      </c>
      <c r="W307" s="315" t="s">
        <v>3234</v>
      </c>
      <c r="X307" s="99"/>
      <c r="Y307" s="99" t="e">
        <f>+VLOOKUP(A307,[3]Sheet1!$B$11:$I$388,8,0)</f>
        <v>#N/A</v>
      </c>
      <c r="Z307" s="99" t="s">
        <v>1787</v>
      </c>
      <c r="AA307" s="201" t="s">
        <v>3094</v>
      </c>
      <c r="AB307" s="223"/>
      <c r="AC307" s="99"/>
      <c r="AD307" s="205" t="s">
        <v>3067</v>
      </c>
      <c r="AE307" s="99" t="s">
        <v>2427</v>
      </c>
      <c r="AF307" s="347" t="s">
        <v>3095</v>
      </c>
      <c r="AG307" s="251"/>
      <c r="AH307" s="251"/>
      <c r="AI307" s="251"/>
      <c r="AJ307" s="251" t="s">
        <v>3665</v>
      </c>
      <c r="AK307" s="251"/>
      <c r="AL307" s="251"/>
      <c r="AM307" s="247">
        <v>45261</v>
      </c>
      <c r="AN307" s="251"/>
      <c r="AO307" s="247">
        <v>45292</v>
      </c>
      <c r="AP307" s="247"/>
      <c r="AQ307" s="251"/>
      <c r="AR307" s="247">
        <v>45658</v>
      </c>
      <c r="AS307" s="321" t="s">
        <v>3097</v>
      </c>
      <c r="AT307" s="251" t="s">
        <v>3491</v>
      </c>
      <c r="AU307" s="379"/>
      <c r="AV307" s="380"/>
    </row>
    <row r="308" spans="1:48" x14ac:dyDescent="0.25">
      <c r="A308" s="355" t="s">
        <v>2625</v>
      </c>
      <c r="B308" s="396" t="s">
        <v>3542</v>
      </c>
      <c r="C308" s="100" t="s">
        <v>2626</v>
      </c>
      <c r="D308" s="205">
        <v>36717</v>
      </c>
      <c r="E308" s="97">
        <f t="shared" si="48"/>
        <v>57536</v>
      </c>
      <c r="F308" s="97">
        <f t="shared" si="46"/>
        <v>57558</v>
      </c>
      <c r="G308" s="97">
        <v>57558</v>
      </c>
      <c r="H308" s="97">
        <v>44896</v>
      </c>
      <c r="I308" s="216" t="s">
        <v>726</v>
      </c>
      <c r="J308" s="207" t="s">
        <v>287</v>
      </c>
      <c r="K308" s="118" t="s">
        <v>281</v>
      </c>
      <c r="L308" s="97"/>
      <c r="M308" s="117"/>
      <c r="N308" s="329" t="s">
        <v>72</v>
      </c>
      <c r="O308" s="118">
        <v>1.41</v>
      </c>
      <c r="P308" s="119"/>
      <c r="Q308" s="99"/>
      <c r="R308" s="314">
        <f t="shared" si="47"/>
        <v>6669300</v>
      </c>
      <c r="S308" s="314">
        <f t="shared" si="49"/>
        <v>0</v>
      </c>
      <c r="T308" s="314">
        <f t="shared" si="44"/>
        <v>0</v>
      </c>
      <c r="U308" s="314">
        <f t="shared" si="42"/>
        <v>6669300</v>
      </c>
      <c r="V308" s="314">
        <f>+VLOOKUP(A308,[2]Sheet1!$B$11:$J$400,9,0)</f>
        <v>5865600</v>
      </c>
      <c r="W308" s="315" t="s">
        <v>2710</v>
      </c>
      <c r="X308" s="99"/>
      <c r="Y308" s="99" t="str">
        <f>+VLOOKUP(A308,[3]Sheet1!$B$11:$I$388,8,0)</f>
        <v>60 - 004</v>
      </c>
      <c r="Z308" s="99" t="s">
        <v>1787</v>
      </c>
      <c r="AA308" s="99" t="s">
        <v>2627</v>
      </c>
      <c r="AB308" s="100" t="s">
        <v>2627</v>
      </c>
      <c r="AC308" s="99">
        <f>+VALUE(AB204:AB613)</f>
        <v>56200008543</v>
      </c>
      <c r="AD308" s="205" t="s">
        <v>2628</v>
      </c>
      <c r="AE308" s="99" t="s">
        <v>2427</v>
      </c>
      <c r="AF308" s="347" t="s">
        <v>2629</v>
      </c>
      <c r="AG308" s="316"/>
      <c r="AH308" s="251"/>
      <c r="AI308" s="251"/>
      <c r="AJ308" s="251"/>
      <c r="AK308" s="251"/>
      <c r="AL308" s="251" t="s">
        <v>3603</v>
      </c>
      <c r="AM308" s="247">
        <v>44896</v>
      </c>
      <c r="AN308" s="251"/>
      <c r="AO308" s="251"/>
      <c r="AP308" s="247">
        <v>44927</v>
      </c>
      <c r="AQ308" s="247"/>
      <c r="AR308" s="247"/>
      <c r="AS308" s="321" t="s">
        <v>2631</v>
      </c>
      <c r="AT308" s="251" t="s">
        <v>3491</v>
      </c>
      <c r="AU308" s="379"/>
      <c r="AV308" s="380"/>
    </row>
    <row r="309" spans="1:48" x14ac:dyDescent="0.25">
      <c r="A309" s="354" t="s">
        <v>3150</v>
      </c>
      <c r="B309" s="396" t="s">
        <v>3542</v>
      </c>
      <c r="C309" s="223" t="s">
        <v>3151</v>
      </c>
      <c r="D309" s="205">
        <v>37266</v>
      </c>
      <c r="E309" s="97">
        <f t="shared" si="48"/>
        <v>58085</v>
      </c>
      <c r="F309" s="97">
        <f t="shared" si="46"/>
        <v>58107</v>
      </c>
      <c r="G309" s="97">
        <v>57559</v>
      </c>
      <c r="H309" s="97">
        <v>45292</v>
      </c>
      <c r="I309" s="216" t="s">
        <v>726</v>
      </c>
      <c r="J309" s="207" t="s">
        <v>287</v>
      </c>
      <c r="K309" s="118" t="s">
        <v>281</v>
      </c>
      <c r="L309" s="97">
        <v>45292</v>
      </c>
      <c r="M309" s="117"/>
      <c r="N309" s="118" t="s">
        <v>72</v>
      </c>
      <c r="O309" s="119">
        <v>1.41</v>
      </c>
      <c r="P309" s="119"/>
      <c r="Q309" s="99"/>
      <c r="R309" s="314">
        <f t="shared" si="47"/>
        <v>6669300</v>
      </c>
      <c r="S309" s="314">
        <f t="shared" si="49"/>
        <v>0</v>
      </c>
      <c r="T309" s="314">
        <f t="shared" si="44"/>
        <v>0</v>
      </c>
      <c r="U309" s="314">
        <f t="shared" si="42"/>
        <v>6669300</v>
      </c>
      <c r="V309" s="314">
        <f>+VLOOKUP(A309,[2]Sheet1!$B$11:$J$400,9,0)</f>
        <v>5865600</v>
      </c>
      <c r="W309" s="315" t="s">
        <v>3152</v>
      </c>
      <c r="X309" s="99"/>
      <c r="Y309" s="99" t="e">
        <f>+VLOOKUP(A309,[3]Sheet1!$B$11:$I$388,8,0)</f>
        <v>#N/A</v>
      </c>
      <c r="Z309" s="99" t="s">
        <v>1787</v>
      </c>
      <c r="AA309" s="201" t="s">
        <v>3153</v>
      </c>
      <c r="AB309" s="223"/>
      <c r="AC309" s="99"/>
      <c r="AD309" s="205" t="s">
        <v>3154</v>
      </c>
      <c r="AE309" s="99" t="s">
        <v>2427</v>
      </c>
      <c r="AF309" s="347" t="s">
        <v>2088</v>
      </c>
      <c r="AG309" s="251"/>
      <c r="AH309" s="251"/>
      <c r="AI309" s="251"/>
      <c r="AJ309" s="251" t="s">
        <v>3605</v>
      </c>
      <c r="AK309" s="251"/>
      <c r="AL309" s="251"/>
      <c r="AM309" s="247">
        <v>45261</v>
      </c>
      <c r="AN309" s="251"/>
      <c r="AO309" s="247">
        <v>45292</v>
      </c>
      <c r="AP309" s="247"/>
      <c r="AQ309" s="251"/>
      <c r="AR309" s="247">
        <v>45658</v>
      </c>
      <c r="AS309" s="321" t="s">
        <v>3155</v>
      </c>
      <c r="AT309" s="251" t="s">
        <v>3491</v>
      </c>
      <c r="AU309" s="379"/>
      <c r="AV309" s="380"/>
    </row>
    <row r="310" spans="1:48" x14ac:dyDescent="0.25">
      <c r="A310" s="361" t="s">
        <v>245</v>
      </c>
      <c r="B310" s="396" t="s">
        <v>3542</v>
      </c>
      <c r="C310" s="100" t="s">
        <v>459</v>
      </c>
      <c r="D310" s="97">
        <v>25690</v>
      </c>
      <c r="E310" s="97">
        <v>46328</v>
      </c>
      <c r="F310" s="97">
        <f t="shared" si="46"/>
        <v>46357</v>
      </c>
      <c r="G310" s="97">
        <v>46357</v>
      </c>
      <c r="H310" s="97">
        <v>35370</v>
      </c>
      <c r="I310" s="206" t="s">
        <v>727</v>
      </c>
      <c r="J310" s="207" t="s">
        <v>287</v>
      </c>
      <c r="K310" s="118" t="s">
        <v>286</v>
      </c>
      <c r="L310" s="97">
        <v>41091</v>
      </c>
      <c r="M310" s="117"/>
      <c r="N310" s="118" t="s">
        <v>74</v>
      </c>
      <c r="O310" s="119">
        <v>1.68</v>
      </c>
      <c r="P310" s="119">
        <v>0.06</v>
      </c>
      <c r="Q310" s="99"/>
      <c r="R310" s="314">
        <f t="shared" si="47"/>
        <v>7946400</v>
      </c>
      <c r="S310" s="314">
        <f t="shared" si="49"/>
        <v>264600</v>
      </c>
      <c r="T310" s="314">
        <f t="shared" si="44"/>
        <v>0</v>
      </c>
      <c r="U310" s="314">
        <f t="shared" si="42"/>
        <v>8211000</v>
      </c>
      <c r="V310" s="314">
        <f>+VLOOKUP(A310,[2]Sheet1!$B$11:$J$400,9,0)</f>
        <v>7238400</v>
      </c>
      <c r="W310" s="315" t="s">
        <v>1736</v>
      </c>
      <c r="X310" s="99" t="s">
        <v>666</v>
      </c>
      <c r="Y310" s="99" t="str">
        <f>+VLOOKUP(A310,[3]Sheet1!$B$11:$I$388,8,0)</f>
        <v>56 - 105</v>
      </c>
      <c r="Z310" s="99" t="s">
        <v>1787</v>
      </c>
      <c r="AA310" s="99" t="s">
        <v>3157</v>
      </c>
      <c r="AB310" s="100">
        <v>220776744</v>
      </c>
      <c r="AC310" s="99">
        <f>+VALUE(AB310:AB662)</f>
        <v>220776744</v>
      </c>
      <c r="AD310" s="99" t="s">
        <v>3158</v>
      </c>
      <c r="AE310" s="99" t="s">
        <v>2427</v>
      </c>
      <c r="AF310" s="347" t="s">
        <v>1392</v>
      </c>
      <c r="AG310" s="316" t="s">
        <v>1391</v>
      </c>
      <c r="AH310" s="251"/>
      <c r="AI310" s="251" t="s">
        <v>3597</v>
      </c>
      <c r="AJ310" s="251"/>
      <c r="AK310" s="251"/>
      <c r="AL310" s="251" t="s">
        <v>3592</v>
      </c>
      <c r="AM310" s="251"/>
      <c r="AN310" s="251"/>
      <c r="AO310" s="251"/>
      <c r="AP310" s="251"/>
      <c r="AQ310" s="251"/>
      <c r="AR310" s="251"/>
      <c r="AS310" s="251" t="s">
        <v>3159</v>
      </c>
      <c r="AT310" s="251" t="s">
        <v>3491</v>
      </c>
      <c r="AU310" s="379"/>
      <c r="AV310" s="380"/>
    </row>
    <row r="311" spans="1:48" x14ac:dyDescent="0.25">
      <c r="A311" s="361" t="s">
        <v>246</v>
      </c>
      <c r="B311" s="396" t="s">
        <v>3542</v>
      </c>
      <c r="C311" s="100" t="s">
        <v>460</v>
      </c>
      <c r="D311" s="97">
        <v>26826</v>
      </c>
      <c r="E311" s="97">
        <f>+DATE(YEAR(D311)+57,MONTH(D311),DAY(D311))</f>
        <v>47645</v>
      </c>
      <c r="F311" s="97">
        <f t="shared" si="46"/>
        <v>47665</v>
      </c>
      <c r="G311" s="97">
        <v>47665</v>
      </c>
      <c r="H311" s="97">
        <v>35004</v>
      </c>
      <c r="I311" s="206" t="s">
        <v>727</v>
      </c>
      <c r="J311" s="207" t="s">
        <v>287</v>
      </c>
      <c r="K311" s="118" t="s">
        <v>281</v>
      </c>
      <c r="L311" s="97">
        <v>40725</v>
      </c>
      <c r="M311" s="117"/>
      <c r="N311" s="118" t="s">
        <v>74</v>
      </c>
      <c r="O311" s="119">
        <v>1.68</v>
      </c>
      <c r="P311" s="119"/>
      <c r="Q311" s="99"/>
      <c r="R311" s="314">
        <f t="shared" si="47"/>
        <v>7946400</v>
      </c>
      <c r="S311" s="314">
        <f t="shared" si="49"/>
        <v>0</v>
      </c>
      <c r="T311" s="314">
        <f t="shared" si="44"/>
        <v>0</v>
      </c>
      <c r="U311" s="314">
        <f t="shared" si="42"/>
        <v>7946400</v>
      </c>
      <c r="V311" s="314">
        <f>+VLOOKUP(A311,[2]Sheet1!$B$11:$J$400,9,0)</f>
        <v>6988800</v>
      </c>
      <c r="W311" s="315" t="s">
        <v>1737</v>
      </c>
      <c r="X311" s="99" t="s">
        <v>666</v>
      </c>
      <c r="Y311" s="99" t="str">
        <f>+VLOOKUP(A311,[3]Sheet1!$B$11:$I$388,8,0)</f>
        <v>56 - 105</v>
      </c>
      <c r="Z311" s="99" t="s">
        <v>1787</v>
      </c>
      <c r="AA311" s="209" t="s">
        <v>3362</v>
      </c>
      <c r="AB311" s="100">
        <v>220760545</v>
      </c>
      <c r="AC311" s="99">
        <f t="shared" ref="AC311:AC316" si="50">+VALUE(AB311:AB667)</f>
        <v>220760545</v>
      </c>
      <c r="AD311" s="99" t="s">
        <v>1393</v>
      </c>
      <c r="AE311" s="99" t="s">
        <v>2427</v>
      </c>
      <c r="AF311" s="347" t="s">
        <v>1392</v>
      </c>
      <c r="AG311" s="316" t="s">
        <v>1394</v>
      </c>
      <c r="AH311" s="251"/>
      <c r="AI311" s="251"/>
      <c r="AJ311" s="251"/>
      <c r="AK311" s="251"/>
      <c r="AL311" s="251" t="s">
        <v>3592</v>
      </c>
      <c r="AM311" s="251"/>
      <c r="AN311" s="251"/>
      <c r="AO311" s="251"/>
      <c r="AP311" s="251"/>
      <c r="AQ311" s="251"/>
      <c r="AR311" s="251"/>
      <c r="AS311" s="251" t="s">
        <v>2350</v>
      </c>
      <c r="AT311" s="251" t="s">
        <v>3491</v>
      </c>
      <c r="AU311" s="379"/>
      <c r="AV311" s="380"/>
    </row>
    <row r="312" spans="1:48" x14ac:dyDescent="0.25">
      <c r="A312" s="361" t="s">
        <v>247</v>
      </c>
      <c r="B312" s="396" t="s">
        <v>3542</v>
      </c>
      <c r="C312" s="100" t="s">
        <v>461</v>
      </c>
      <c r="D312" s="97">
        <v>25965</v>
      </c>
      <c r="E312" s="97">
        <v>46692</v>
      </c>
      <c r="F312" s="97">
        <f t="shared" si="46"/>
        <v>46722</v>
      </c>
      <c r="G312" s="97">
        <v>46722</v>
      </c>
      <c r="H312" s="97">
        <v>33878</v>
      </c>
      <c r="I312" s="206" t="s">
        <v>727</v>
      </c>
      <c r="J312" s="207" t="s">
        <v>287</v>
      </c>
      <c r="K312" s="118" t="s">
        <v>281</v>
      </c>
      <c r="L312" s="97">
        <v>42979</v>
      </c>
      <c r="M312" s="117"/>
      <c r="N312" s="238" t="s">
        <v>74</v>
      </c>
      <c r="O312" s="118">
        <v>1.68</v>
      </c>
      <c r="P312" s="119"/>
      <c r="Q312" s="99"/>
      <c r="R312" s="314">
        <f t="shared" si="47"/>
        <v>7946400</v>
      </c>
      <c r="S312" s="314">
        <f t="shared" si="49"/>
        <v>0</v>
      </c>
      <c r="T312" s="314">
        <f t="shared" si="44"/>
        <v>0</v>
      </c>
      <c r="U312" s="314">
        <f t="shared" si="42"/>
        <v>7946400</v>
      </c>
      <c r="V312" s="314">
        <f>+VLOOKUP(A312,[2]Sheet1!$B$11:$J$400,9,0)</f>
        <v>6988800</v>
      </c>
      <c r="W312" s="315" t="s">
        <v>1738</v>
      </c>
      <c r="X312" s="99" t="s">
        <v>1390</v>
      </c>
      <c r="Y312" s="99" t="str">
        <f>+VLOOKUP(A312,[3]Sheet1!$B$11:$I$388,8,0)</f>
        <v>56 - 003</v>
      </c>
      <c r="Z312" s="99" t="s">
        <v>1787</v>
      </c>
      <c r="AA312" s="99" t="s">
        <v>2938</v>
      </c>
      <c r="AB312" s="100">
        <v>225066442</v>
      </c>
      <c r="AC312" s="99">
        <f t="shared" si="50"/>
        <v>225066442</v>
      </c>
      <c r="AD312" s="99" t="s">
        <v>1241</v>
      </c>
      <c r="AE312" s="99" t="s">
        <v>2427</v>
      </c>
      <c r="AF312" s="347" t="s">
        <v>1395</v>
      </c>
      <c r="AG312" s="316" t="s">
        <v>1391</v>
      </c>
      <c r="AH312" s="251"/>
      <c r="AI312" s="251"/>
      <c r="AJ312" s="251"/>
      <c r="AK312" s="251"/>
      <c r="AL312" s="251" t="s">
        <v>3592</v>
      </c>
      <c r="AM312" s="251"/>
      <c r="AN312" s="251"/>
      <c r="AO312" s="251"/>
      <c r="AP312" s="251"/>
      <c r="AQ312" s="251"/>
      <c r="AR312" s="251"/>
      <c r="AS312" s="251" t="s">
        <v>2351</v>
      </c>
      <c r="AT312" s="251" t="s">
        <v>3491</v>
      </c>
      <c r="AU312" s="379"/>
      <c r="AV312" s="380"/>
    </row>
    <row r="313" spans="1:48" x14ac:dyDescent="0.25">
      <c r="A313" s="361" t="s">
        <v>248</v>
      </c>
      <c r="B313" s="396" t="s">
        <v>3542</v>
      </c>
      <c r="C313" s="100" t="s">
        <v>462</v>
      </c>
      <c r="D313" s="97">
        <v>25843</v>
      </c>
      <c r="E313" s="97">
        <v>46570</v>
      </c>
      <c r="F313" s="97">
        <f t="shared" si="46"/>
        <v>46600</v>
      </c>
      <c r="G313" s="97">
        <v>46600</v>
      </c>
      <c r="H313" s="97">
        <v>34639</v>
      </c>
      <c r="I313" s="206" t="s">
        <v>727</v>
      </c>
      <c r="J313" s="207" t="s">
        <v>287</v>
      </c>
      <c r="K313" s="118" t="s">
        <v>281</v>
      </c>
      <c r="L313" s="97">
        <v>39995</v>
      </c>
      <c r="M313" s="117"/>
      <c r="N313" s="118" t="s">
        <v>74</v>
      </c>
      <c r="O313" s="119">
        <v>1.68</v>
      </c>
      <c r="P313" s="119"/>
      <c r="Q313" s="99"/>
      <c r="R313" s="314">
        <f t="shared" si="47"/>
        <v>7946400</v>
      </c>
      <c r="S313" s="314">
        <f t="shared" si="49"/>
        <v>0</v>
      </c>
      <c r="T313" s="314">
        <f t="shared" si="44"/>
        <v>0</v>
      </c>
      <c r="U313" s="314">
        <f t="shared" si="42"/>
        <v>7946400</v>
      </c>
      <c r="V313" s="314">
        <f>+VLOOKUP(A313,[2]Sheet1!$B$11:$J$400,9,0)</f>
        <v>6988800</v>
      </c>
      <c r="W313" s="315" t="s">
        <v>1739</v>
      </c>
      <c r="X313" s="99" t="s">
        <v>666</v>
      </c>
      <c r="Y313" s="99" t="str">
        <f>+VLOOKUP(A313,[3]Sheet1!$B$11:$I$388,8,0)</f>
        <v>56 - 105</v>
      </c>
      <c r="Z313" s="99" t="s">
        <v>1787</v>
      </c>
      <c r="AA313" s="99" t="s">
        <v>2939</v>
      </c>
      <c r="AB313" s="100">
        <v>220765793</v>
      </c>
      <c r="AC313" s="99">
        <f t="shared" si="50"/>
        <v>220765793</v>
      </c>
      <c r="AD313" s="99" t="s">
        <v>1396</v>
      </c>
      <c r="AE313" s="99" t="s">
        <v>2427</v>
      </c>
      <c r="AF313" s="347" t="s">
        <v>1392</v>
      </c>
      <c r="AG313" s="316" t="s">
        <v>1391</v>
      </c>
      <c r="AH313" s="251"/>
      <c r="AI313" s="251"/>
      <c r="AJ313" s="251"/>
      <c r="AK313" s="251"/>
      <c r="AL313" s="251" t="s">
        <v>3592</v>
      </c>
      <c r="AM313" s="251"/>
      <c r="AN313" s="251"/>
      <c r="AO313" s="251"/>
      <c r="AP313" s="251"/>
      <c r="AQ313" s="251"/>
      <c r="AR313" s="251"/>
      <c r="AS313" s="251" t="s">
        <v>2352</v>
      </c>
      <c r="AT313" s="251" t="s">
        <v>3491</v>
      </c>
      <c r="AU313" s="379"/>
      <c r="AV313" s="380"/>
    </row>
    <row r="314" spans="1:48" x14ac:dyDescent="0.25">
      <c r="A314" s="361" t="s">
        <v>249</v>
      </c>
      <c r="B314" s="396" t="s">
        <v>3542</v>
      </c>
      <c r="C314" s="100" t="s">
        <v>463</v>
      </c>
      <c r="D314" s="97">
        <v>33260</v>
      </c>
      <c r="E314" s="97">
        <f>+DATE(YEAR(D314)+57,MONTH(D314),DAY(D314))</f>
        <v>54079</v>
      </c>
      <c r="F314" s="97">
        <f t="shared" si="46"/>
        <v>54089</v>
      </c>
      <c r="G314" s="97">
        <v>54089</v>
      </c>
      <c r="H314" s="97">
        <v>41671</v>
      </c>
      <c r="I314" s="206" t="s">
        <v>727</v>
      </c>
      <c r="J314" s="207" t="s">
        <v>287</v>
      </c>
      <c r="K314" s="118" t="s">
        <v>285</v>
      </c>
      <c r="L314" s="97">
        <v>45505</v>
      </c>
      <c r="M314" s="117"/>
      <c r="N314" s="118" t="s">
        <v>76</v>
      </c>
      <c r="O314" s="119">
        <v>1.58</v>
      </c>
      <c r="P314" s="119">
        <v>0.04</v>
      </c>
      <c r="Q314" s="99"/>
      <c r="R314" s="314">
        <f t="shared" si="47"/>
        <v>7473400</v>
      </c>
      <c r="S314" s="314">
        <f t="shared" si="49"/>
        <v>176400</v>
      </c>
      <c r="T314" s="314">
        <f t="shared" si="44"/>
        <v>0</v>
      </c>
      <c r="U314" s="314">
        <f t="shared" si="42"/>
        <v>7649800</v>
      </c>
      <c r="V314" s="314">
        <f>+VLOOKUP(A314,[2]Sheet1!$B$11:$J$400,9,0)</f>
        <v>6364800</v>
      </c>
      <c r="W314" s="315" t="s">
        <v>1740</v>
      </c>
      <c r="X314" s="99" t="s">
        <v>666</v>
      </c>
      <c r="Y314" s="99" t="str">
        <f>+VLOOKUP(A314,[3]Sheet1!$B$11:$I$388,8,0)</f>
        <v>56 - 105</v>
      </c>
      <c r="Z314" s="99" t="s">
        <v>1787</v>
      </c>
      <c r="AA314" s="99" t="s">
        <v>2940</v>
      </c>
      <c r="AB314" s="100">
        <v>225514175</v>
      </c>
      <c r="AC314" s="99">
        <f t="shared" si="50"/>
        <v>225514175</v>
      </c>
      <c r="AD314" s="99" t="s">
        <v>983</v>
      </c>
      <c r="AE314" s="99" t="s">
        <v>2427</v>
      </c>
      <c r="AF314" s="347" t="s">
        <v>1392</v>
      </c>
      <c r="AG314" s="316" t="s">
        <v>1391</v>
      </c>
      <c r="AH314" s="251"/>
      <c r="AI314" s="251"/>
      <c r="AJ314" s="251"/>
      <c r="AK314" s="251"/>
      <c r="AL314" s="251" t="s">
        <v>3592</v>
      </c>
      <c r="AM314" s="251"/>
      <c r="AN314" s="251"/>
      <c r="AO314" s="251"/>
      <c r="AP314" s="251"/>
      <c r="AQ314" s="251"/>
      <c r="AR314" s="251"/>
      <c r="AS314" s="251" t="s">
        <v>2353</v>
      </c>
      <c r="AT314" s="251" t="s">
        <v>3491</v>
      </c>
      <c r="AU314" s="379"/>
      <c r="AV314" s="380"/>
    </row>
    <row r="315" spans="1:48" x14ac:dyDescent="0.25">
      <c r="A315" s="354" t="s">
        <v>250</v>
      </c>
      <c r="B315" s="396" t="s">
        <v>3542</v>
      </c>
      <c r="C315" s="100" t="s">
        <v>464</v>
      </c>
      <c r="D315" s="97">
        <v>34396</v>
      </c>
      <c r="E315" s="97">
        <f>+DATE(YEAR(D315)+57,MONTH(D315),DAY(D315))</f>
        <v>55215</v>
      </c>
      <c r="F315" s="97">
        <f t="shared" si="46"/>
        <v>55244</v>
      </c>
      <c r="G315" s="97">
        <v>55244</v>
      </c>
      <c r="H315" s="97">
        <v>41671</v>
      </c>
      <c r="I315" s="206" t="s">
        <v>727</v>
      </c>
      <c r="J315" s="207" t="s">
        <v>287</v>
      </c>
      <c r="K315" s="118" t="s">
        <v>281</v>
      </c>
      <c r="L315" s="97">
        <v>45839</v>
      </c>
      <c r="M315" s="117"/>
      <c r="N315" s="118" t="s">
        <v>76</v>
      </c>
      <c r="O315" s="119">
        <v>1.58</v>
      </c>
      <c r="P315" s="119"/>
      <c r="Q315" s="99"/>
      <c r="R315" s="314">
        <f t="shared" si="47"/>
        <v>7473400</v>
      </c>
      <c r="S315" s="314">
        <f t="shared" si="49"/>
        <v>0</v>
      </c>
      <c r="T315" s="314">
        <f t="shared" si="44"/>
        <v>0</v>
      </c>
      <c r="U315" s="314">
        <f t="shared" si="42"/>
        <v>7473400</v>
      </c>
      <c r="V315" s="314">
        <f>+VLOOKUP(A315,[2]Sheet1!$B$11:$J$400,9,0)</f>
        <v>6198400</v>
      </c>
      <c r="W315" s="315" t="s">
        <v>1741</v>
      </c>
      <c r="X315" s="99" t="s">
        <v>666</v>
      </c>
      <c r="Y315" s="99" t="str">
        <f>+VLOOKUP(A315,[3]Sheet1!$B$11:$I$388,8,0)</f>
        <v>56 - 105</v>
      </c>
      <c r="Z315" s="99" t="s">
        <v>1787</v>
      </c>
      <c r="AA315" s="99" t="s">
        <v>2941</v>
      </c>
      <c r="AB315" s="100" t="s">
        <v>1397</v>
      </c>
      <c r="AC315" s="99">
        <f t="shared" si="50"/>
        <v>225551177</v>
      </c>
      <c r="AD315" s="99" t="s">
        <v>1398</v>
      </c>
      <c r="AE315" s="99" t="s">
        <v>2427</v>
      </c>
      <c r="AF315" s="347" t="s">
        <v>1392</v>
      </c>
      <c r="AG315" s="316" t="s">
        <v>1391</v>
      </c>
      <c r="AH315" s="251"/>
      <c r="AI315" s="251"/>
      <c r="AJ315" s="251"/>
      <c r="AK315" s="251"/>
      <c r="AL315" s="251" t="s">
        <v>3592</v>
      </c>
      <c r="AM315" s="251"/>
      <c r="AN315" s="251"/>
      <c r="AO315" s="251"/>
      <c r="AP315" s="251"/>
      <c r="AQ315" s="251"/>
      <c r="AR315" s="251"/>
      <c r="AS315" s="251" t="s">
        <v>2354</v>
      </c>
      <c r="AT315" s="251" t="s">
        <v>3491</v>
      </c>
      <c r="AU315" s="379"/>
      <c r="AV315" s="380"/>
    </row>
    <row r="316" spans="1:48" x14ac:dyDescent="0.25">
      <c r="A316" s="361" t="s">
        <v>251</v>
      </c>
      <c r="B316" s="396" t="s">
        <v>3542</v>
      </c>
      <c r="C316" s="100" t="s">
        <v>465</v>
      </c>
      <c r="D316" s="97">
        <v>25756</v>
      </c>
      <c r="E316" s="97">
        <v>46484</v>
      </c>
      <c r="F316" s="97">
        <f t="shared" si="46"/>
        <v>46508</v>
      </c>
      <c r="G316" s="97">
        <v>46508</v>
      </c>
      <c r="H316" s="97">
        <v>36586</v>
      </c>
      <c r="I316" s="206" t="s">
        <v>727</v>
      </c>
      <c r="J316" s="207" t="s">
        <v>287</v>
      </c>
      <c r="K316" s="118" t="s">
        <v>281</v>
      </c>
      <c r="L316" s="97">
        <v>45839</v>
      </c>
      <c r="M316" s="117"/>
      <c r="N316" s="118" t="s">
        <v>74</v>
      </c>
      <c r="O316" s="119">
        <v>1.68</v>
      </c>
      <c r="P316" s="119"/>
      <c r="Q316" s="99"/>
      <c r="R316" s="314">
        <f t="shared" si="47"/>
        <v>7946400</v>
      </c>
      <c r="S316" s="314">
        <f t="shared" si="49"/>
        <v>0</v>
      </c>
      <c r="T316" s="314">
        <f t="shared" si="44"/>
        <v>0</v>
      </c>
      <c r="U316" s="314">
        <f t="shared" si="42"/>
        <v>7946400</v>
      </c>
      <c r="V316" s="314">
        <f>+VLOOKUP(A316,[2]Sheet1!$B$11:$J$400,9,0)</f>
        <v>6572800</v>
      </c>
      <c r="W316" s="315" t="s">
        <v>1742</v>
      </c>
      <c r="X316" s="99" t="s">
        <v>669</v>
      </c>
      <c r="Y316" s="99" t="str">
        <f>+VLOOKUP(A316,[3]Sheet1!$B$11:$I$388,8,0)</f>
        <v>56 - 183</v>
      </c>
      <c r="Z316" s="99" t="s">
        <v>1787</v>
      </c>
      <c r="AA316" s="99" t="s">
        <v>2942</v>
      </c>
      <c r="AB316" s="100">
        <v>220785057</v>
      </c>
      <c r="AC316" s="99">
        <f t="shared" si="50"/>
        <v>220785057</v>
      </c>
      <c r="AD316" s="99" t="s">
        <v>1399</v>
      </c>
      <c r="AE316" s="99" t="s">
        <v>2427</v>
      </c>
      <c r="AF316" s="347" t="s">
        <v>1400</v>
      </c>
      <c r="AG316" s="316" t="s">
        <v>1401</v>
      </c>
      <c r="AH316" s="251"/>
      <c r="AI316" s="251"/>
      <c r="AJ316" s="251"/>
      <c r="AK316" s="251" t="s">
        <v>3666</v>
      </c>
      <c r="AL316" s="251"/>
      <c r="AM316" s="251"/>
      <c r="AN316" s="251"/>
      <c r="AO316" s="251"/>
      <c r="AP316" s="251"/>
      <c r="AQ316" s="251"/>
      <c r="AR316" s="251"/>
      <c r="AS316" s="251" t="s">
        <v>2355</v>
      </c>
      <c r="AT316" s="251" t="s">
        <v>3491</v>
      </c>
      <c r="AU316" s="379"/>
      <c r="AV316" s="380"/>
    </row>
    <row r="317" spans="1:48" x14ac:dyDescent="0.25">
      <c r="A317" s="354" t="s">
        <v>1897</v>
      </c>
      <c r="B317" s="396" t="s">
        <v>3542</v>
      </c>
      <c r="C317" s="100" t="s">
        <v>1898</v>
      </c>
      <c r="D317" s="97">
        <v>34634</v>
      </c>
      <c r="E317" s="97">
        <f t="shared" ref="E317:E364" si="51">+DATE(YEAR(D317)+57,MONTH(D317),DAY(D317))</f>
        <v>55453</v>
      </c>
      <c r="F317" s="97">
        <f t="shared" si="46"/>
        <v>55458</v>
      </c>
      <c r="G317" s="97">
        <v>55458</v>
      </c>
      <c r="H317" s="97">
        <v>43542</v>
      </c>
      <c r="I317" s="206" t="s">
        <v>727</v>
      </c>
      <c r="J317" s="207" t="s">
        <v>287</v>
      </c>
      <c r="K317" s="118" t="s">
        <v>281</v>
      </c>
      <c r="L317" s="97">
        <v>45505</v>
      </c>
      <c r="M317" s="117"/>
      <c r="N317" s="200" t="s">
        <v>71</v>
      </c>
      <c r="O317" s="119">
        <v>1.49</v>
      </c>
      <c r="P317" s="119"/>
      <c r="Q317" s="99"/>
      <c r="R317" s="314">
        <f t="shared" si="47"/>
        <v>7047700</v>
      </c>
      <c r="S317" s="314">
        <f t="shared" si="49"/>
        <v>0</v>
      </c>
      <c r="T317" s="314">
        <f t="shared" si="44"/>
        <v>0</v>
      </c>
      <c r="U317" s="314">
        <f t="shared" si="42"/>
        <v>7047700</v>
      </c>
      <c r="V317" s="314">
        <f>+VLOOKUP(A317,[2]Sheet1!$B$11:$J$400,9,0)</f>
        <v>5865600</v>
      </c>
      <c r="W317" s="315" t="s">
        <v>1934</v>
      </c>
      <c r="X317" s="99" t="s">
        <v>666</v>
      </c>
      <c r="Y317" s="99" t="str">
        <f>+VLOOKUP(A317,[3]Sheet1!$B$11:$I$388,8,0)</f>
        <v>56 - 105</v>
      </c>
      <c r="Z317" s="99" t="s">
        <v>1787</v>
      </c>
      <c r="AA317" s="201" t="s">
        <v>3077</v>
      </c>
      <c r="AB317" s="100" t="s">
        <v>1899</v>
      </c>
      <c r="AC317" s="99">
        <f>+VALUE(AB317:AB674)</f>
        <v>225656932</v>
      </c>
      <c r="AD317" s="205" t="s">
        <v>1900</v>
      </c>
      <c r="AE317" s="99" t="s">
        <v>2427</v>
      </c>
      <c r="AF317" s="347" t="s">
        <v>1901</v>
      </c>
      <c r="AG317" s="316" t="s">
        <v>1940</v>
      </c>
      <c r="AH317" s="251"/>
      <c r="AI317" s="251"/>
      <c r="AJ317" s="251"/>
      <c r="AK317" s="251" t="s">
        <v>3649</v>
      </c>
      <c r="AL317" s="251"/>
      <c r="AM317" s="251"/>
      <c r="AN317" s="251"/>
      <c r="AO317" s="251"/>
      <c r="AP317" s="247">
        <v>44001</v>
      </c>
      <c r="AQ317" s="251"/>
      <c r="AR317" s="247">
        <v>44732</v>
      </c>
      <c r="AS317" s="251" t="s">
        <v>2358</v>
      </c>
      <c r="AT317" s="251" t="s">
        <v>3491</v>
      </c>
      <c r="AU317" s="379"/>
      <c r="AV317" s="380"/>
    </row>
    <row r="318" spans="1:48" x14ac:dyDescent="0.25">
      <c r="A318" s="354" t="s">
        <v>2077</v>
      </c>
      <c r="B318" s="396" t="s">
        <v>3542</v>
      </c>
      <c r="C318" s="100" t="s">
        <v>2081</v>
      </c>
      <c r="D318" s="205">
        <v>35177</v>
      </c>
      <c r="E318" s="97">
        <f t="shared" si="51"/>
        <v>55996</v>
      </c>
      <c r="F318" s="97">
        <f t="shared" si="46"/>
        <v>56005</v>
      </c>
      <c r="G318" s="97">
        <v>56005</v>
      </c>
      <c r="H318" s="97">
        <v>44032</v>
      </c>
      <c r="I318" s="206" t="s">
        <v>727</v>
      </c>
      <c r="J318" s="207" t="s">
        <v>287</v>
      </c>
      <c r="K318" s="118" t="s">
        <v>281</v>
      </c>
      <c r="L318" s="97">
        <v>45139</v>
      </c>
      <c r="M318" s="117"/>
      <c r="N318" s="238" t="s">
        <v>71</v>
      </c>
      <c r="O318" s="118">
        <v>1.49</v>
      </c>
      <c r="P318" s="119"/>
      <c r="Q318" s="99"/>
      <c r="R318" s="314">
        <f t="shared" si="47"/>
        <v>7047700</v>
      </c>
      <c r="S318" s="314">
        <f t="shared" si="49"/>
        <v>0</v>
      </c>
      <c r="T318" s="314">
        <f t="shared" si="44"/>
        <v>0</v>
      </c>
      <c r="U318" s="314">
        <f t="shared" si="42"/>
        <v>7047700</v>
      </c>
      <c r="V318" s="314">
        <f>+VLOOKUP(A318,[2]Sheet1!$B$11:$J$400,9,0)</f>
        <v>6198400</v>
      </c>
      <c r="W318" s="315" t="s">
        <v>2715</v>
      </c>
      <c r="X318" s="99"/>
      <c r="Y318" s="99" t="str">
        <f>+VLOOKUP(A318,[3]Sheet1!$B$11:$I$388,8,0)</f>
        <v>56 - 003</v>
      </c>
      <c r="Z318" s="99" t="s">
        <v>1787</v>
      </c>
      <c r="AA318" s="99" t="s">
        <v>2943</v>
      </c>
      <c r="AB318" s="223" t="s">
        <v>2079</v>
      </c>
      <c r="AC318" s="99">
        <f>+VALUE(AB318:AB677)</f>
        <v>225670560</v>
      </c>
      <c r="AD318" s="205" t="s">
        <v>2078</v>
      </c>
      <c r="AE318" s="99" t="s">
        <v>2427</v>
      </c>
      <c r="AF318" s="347" t="s">
        <v>2100</v>
      </c>
      <c r="AG318" s="251">
        <v>22573</v>
      </c>
      <c r="AH318" s="251"/>
      <c r="AI318" s="251"/>
      <c r="AJ318" s="251" t="s">
        <v>3667</v>
      </c>
      <c r="AK318" s="251"/>
      <c r="AL318" s="251" t="s">
        <v>3603</v>
      </c>
      <c r="AM318" s="247">
        <v>44531</v>
      </c>
      <c r="AN318" s="251"/>
      <c r="AO318" s="251"/>
      <c r="AP318" s="247">
        <v>44562</v>
      </c>
      <c r="AQ318" s="251"/>
      <c r="AR318" s="247">
        <v>45292</v>
      </c>
      <c r="AS318" s="321" t="s">
        <v>2501</v>
      </c>
      <c r="AT318" s="251" t="s">
        <v>3491</v>
      </c>
      <c r="AU318" s="379"/>
      <c r="AV318" s="380"/>
    </row>
    <row r="319" spans="1:48" x14ac:dyDescent="0.25">
      <c r="A319" s="354" t="s">
        <v>2554</v>
      </c>
      <c r="B319" s="396" t="s">
        <v>3542</v>
      </c>
      <c r="C319" s="100" t="s">
        <v>2555</v>
      </c>
      <c r="D319" s="205">
        <v>37662</v>
      </c>
      <c r="E319" s="97">
        <f t="shared" si="51"/>
        <v>58481</v>
      </c>
      <c r="F319" s="97">
        <f t="shared" si="46"/>
        <v>58501</v>
      </c>
      <c r="G319" s="97">
        <v>58501</v>
      </c>
      <c r="H319" s="97">
        <v>44896</v>
      </c>
      <c r="I319" s="206" t="s">
        <v>727</v>
      </c>
      <c r="J319" s="207" t="s">
        <v>287</v>
      </c>
      <c r="K319" s="118" t="s">
        <v>281</v>
      </c>
      <c r="L319" s="97">
        <v>44927</v>
      </c>
      <c r="M319" s="117"/>
      <c r="N319" s="118" t="s">
        <v>72</v>
      </c>
      <c r="O319" s="119">
        <v>1.41</v>
      </c>
      <c r="P319" s="119"/>
      <c r="Q319" s="99"/>
      <c r="R319" s="314">
        <f t="shared" si="47"/>
        <v>6669300</v>
      </c>
      <c r="S319" s="314">
        <f t="shared" si="49"/>
        <v>0</v>
      </c>
      <c r="T319" s="314">
        <f t="shared" si="44"/>
        <v>0</v>
      </c>
      <c r="U319" s="314">
        <f t="shared" si="42"/>
        <v>6669300</v>
      </c>
      <c r="V319" s="314">
        <f>+VLOOKUP(A319,[2]Sheet1!$B$11:$J$400,9,0)</f>
        <v>5865600</v>
      </c>
      <c r="W319" s="315" t="s">
        <v>2728</v>
      </c>
      <c r="X319" s="99" t="s">
        <v>666</v>
      </c>
      <c r="Y319" s="99" t="str">
        <f>+VLOOKUP(A319,[3]Sheet1!$B$11:$I$388,8,0)</f>
        <v>54 - 031</v>
      </c>
      <c r="Z319" s="99" t="s">
        <v>1787</v>
      </c>
      <c r="AA319" s="99" t="s">
        <v>2556</v>
      </c>
      <c r="AB319" s="100" t="s">
        <v>2556</v>
      </c>
      <c r="AC319" s="100" t="s">
        <v>2556</v>
      </c>
      <c r="AD319" s="201" t="s">
        <v>2557</v>
      </c>
      <c r="AE319" s="99" t="s">
        <v>2427</v>
      </c>
      <c r="AF319" s="347" t="s">
        <v>2558</v>
      </c>
      <c r="AG319" s="316" t="s">
        <v>2559</v>
      </c>
      <c r="AH319" s="251"/>
      <c r="AI319" s="251"/>
      <c r="AJ319" s="251"/>
      <c r="AK319" s="251"/>
      <c r="AL319" s="251" t="s">
        <v>3603</v>
      </c>
      <c r="AM319" s="247">
        <v>44896</v>
      </c>
      <c r="AN319" s="251"/>
      <c r="AO319" s="251"/>
      <c r="AP319" s="247">
        <v>44927</v>
      </c>
      <c r="AQ319" s="251"/>
      <c r="AR319" s="251"/>
      <c r="AS319" s="251"/>
      <c r="AT319" s="251" t="s">
        <v>3491</v>
      </c>
      <c r="AU319" s="379"/>
      <c r="AV319" s="380"/>
    </row>
    <row r="320" spans="1:48" x14ac:dyDescent="0.25">
      <c r="A320" s="354" t="s">
        <v>2504</v>
      </c>
      <c r="B320" s="396" t="s">
        <v>3542</v>
      </c>
      <c r="C320" s="100" t="s">
        <v>2505</v>
      </c>
      <c r="D320" s="239" t="s">
        <v>2505</v>
      </c>
      <c r="E320" s="97">
        <f t="shared" si="51"/>
        <v>54675</v>
      </c>
      <c r="F320" s="97">
        <f t="shared" si="46"/>
        <v>54697</v>
      </c>
      <c r="G320" s="97">
        <v>54697</v>
      </c>
      <c r="H320" s="97">
        <v>44621</v>
      </c>
      <c r="I320" s="206" t="s">
        <v>727</v>
      </c>
      <c r="J320" s="207" t="s">
        <v>287</v>
      </c>
      <c r="K320" s="118" t="s">
        <v>281</v>
      </c>
      <c r="L320" s="97">
        <v>44652</v>
      </c>
      <c r="M320" s="117"/>
      <c r="N320" s="118" t="s">
        <v>72</v>
      </c>
      <c r="O320" s="119">
        <v>1.41</v>
      </c>
      <c r="P320" s="119"/>
      <c r="Q320" s="99"/>
      <c r="R320" s="314">
        <f t="shared" si="47"/>
        <v>6669300</v>
      </c>
      <c r="S320" s="314">
        <f t="shared" si="49"/>
        <v>0</v>
      </c>
      <c r="T320" s="314">
        <f t="shared" si="44"/>
        <v>0</v>
      </c>
      <c r="U320" s="314">
        <f t="shared" si="42"/>
        <v>6669300</v>
      </c>
      <c r="V320" s="314">
        <f>+VLOOKUP(A320,[2]Sheet1!$B$11:$J$400,9,0)</f>
        <v>5865600</v>
      </c>
      <c r="W320" s="315" t="s">
        <v>2717</v>
      </c>
      <c r="X320" s="99"/>
      <c r="Y320" s="99" t="str">
        <f>+VLOOKUP(A320,[3]Sheet1!$B$11:$I$388,8,0)</f>
        <v>56 - 105</v>
      </c>
      <c r="Z320" s="99" t="s">
        <v>1787</v>
      </c>
      <c r="AA320" s="99" t="s">
        <v>2945</v>
      </c>
      <c r="AB320" s="223" t="s">
        <v>2506</v>
      </c>
      <c r="AC320" s="201">
        <v>225398380</v>
      </c>
      <c r="AD320" s="205" t="s">
        <v>1194</v>
      </c>
      <c r="AE320" s="99" t="s">
        <v>2427</v>
      </c>
      <c r="AF320" s="347" t="s">
        <v>2507</v>
      </c>
      <c r="AG320" s="251" t="s">
        <v>2500</v>
      </c>
      <c r="AH320" s="251"/>
      <c r="AI320" s="251"/>
      <c r="AJ320" s="251" t="s">
        <v>3605</v>
      </c>
      <c r="AK320" s="251"/>
      <c r="AL320" s="251"/>
      <c r="AM320" s="251"/>
      <c r="AN320" s="251"/>
      <c r="AO320" s="251"/>
      <c r="AP320" s="251"/>
      <c r="AQ320" s="251"/>
      <c r="AR320" s="251"/>
      <c r="AS320" s="251" t="s">
        <v>2359</v>
      </c>
      <c r="AT320" s="251" t="s">
        <v>3491</v>
      </c>
      <c r="AU320" s="379"/>
      <c r="AV320" s="380"/>
    </row>
    <row r="321" spans="1:48" x14ac:dyDescent="0.25">
      <c r="A321" s="355" t="s">
        <v>2632</v>
      </c>
      <c r="B321" s="396" t="s">
        <v>3542</v>
      </c>
      <c r="C321" s="100" t="s">
        <v>642</v>
      </c>
      <c r="D321" s="205">
        <v>34920</v>
      </c>
      <c r="E321" s="97">
        <f t="shared" si="51"/>
        <v>55740</v>
      </c>
      <c r="F321" s="97">
        <f t="shared" si="46"/>
        <v>55763</v>
      </c>
      <c r="G321" s="97">
        <v>55763</v>
      </c>
      <c r="H321" s="97">
        <v>44896</v>
      </c>
      <c r="I321" s="206" t="s">
        <v>727</v>
      </c>
      <c r="J321" s="207" t="s">
        <v>287</v>
      </c>
      <c r="K321" s="118" t="s">
        <v>281</v>
      </c>
      <c r="L321" s="97">
        <v>44927</v>
      </c>
      <c r="M321" s="117"/>
      <c r="N321" s="329" t="s">
        <v>72</v>
      </c>
      <c r="O321" s="118">
        <v>1.41</v>
      </c>
      <c r="P321" s="119"/>
      <c r="Q321" s="99"/>
      <c r="R321" s="314">
        <f t="shared" si="47"/>
        <v>6669300</v>
      </c>
      <c r="S321" s="314">
        <f t="shared" si="49"/>
        <v>0</v>
      </c>
      <c r="T321" s="314">
        <f t="shared" si="44"/>
        <v>0</v>
      </c>
      <c r="U321" s="314">
        <f t="shared" ref="U321:U384" si="52">+R321+S321+T321</f>
        <v>6669300</v>
      </c>
      <c r="V321" s="314">
        <f>+VLOOKUP(A321,[2]Sheet1!$B$11:$J$400,9,0)</f>
        <v>5865600</v>
      </c>
      <c r="W321" s="315" t="s">
        <v>2711</v>
      </c>
      <c r="X321" s="99"/>
      <c r="Y321" s="99" t="str">
        <f>+VLOOKUP(A321,[3]Sheet1!$B$11:$I$388,8,0)</f>
        <v>60 - 004</v>
      </c>
      <c r="Z321" s="99" t="s">
        <v>1787</v>
      </c>
      <c r="AA321" s="209" t="s">
        <v>3363</v>
      </c>
      <c r="AB321" s="100" t="s">
        <v>2633</v>
      </c>
      <c r="AC321" s="99">
        <f>+VALUE(AB204:AB614)</f>
        <v>225607566</v>
      </c>
      <c r="AD321" s="205" t="s">
        <v>2634</v>
      </c>
      <c r="AE321" s="99" t="s">
        <v>2427</v>
      </c>
      <c r="AF321" s="347" t="s">
        <v>2635</v>
      </c>
      <c r="AG321" s="316" t="s">
        <v>2636</v>
      </c>
      <c r="AH321" s="251"/>
      <c r="AI321" s="251"/>
      <c r="AJ321" s="251"/>
      <c r="AK321" s="251"/>
      <c r="AL321" s="251" t="s">
        <v>3603</v>
      </c>
      <c r="AM321" s="247">
        <v>44896</v>
      </c>
      <c r="AN321" s="251"/>
      <c r="AO321" s="251"/>
      <c r="AP321" s="247">
        <v>44927</v>
      </c>
      <c r="AQ321" s="247"/>
      <c r="AR321" s="247"/>
      <c r="AS321" s="321"/>
      <c r="AT321" s="251" t="s">
        <v>3491</v>
      </c>
      <c r="AU321" s="379"/>
      <c r="AV321" s="380"/>
    </row>
    <row r="322" spans="1:48" x14ac:dyDescent="0.25">
      <c r="A322" s="355" t="s">
        <v>3286</v>
      </c>
      <c r="B322" s="396" t="s">
        <v>3542</v>
      </c>
      <c r="C322" s="100" t="s">
        <v>3287</v>
      </c>
      <c r="D322" s="205">
        <v>34950</v>
      </c>
      <c r="E322" s="97">
        <f t="shared" si="51"/>
        <v>55770</v>
      </c>
      <c r="F322" s="97">
        <f t="shared" si="46"/>
        <v>55793</v>
      </c>
      <c r="G322" s="97">
        <v>55764</v>
      </c>
      <c r="H322" s="97">
        <v>45627</v>
      </c>
      <c r="I322" s="206" t="s">
        <v>727</v>
      </c>
      <c r="J322" s="207" t="s">
        <v>287</v>
      </c>
      <c r="K322" s="118" t="s">
        <v>281</v>
      </c>
      <c r="L322" s="97">
        <v>45627</v>
      </c>
      <c r="M322" s="117"/>
      <c r="N322" s="329" t="s">
        <v>72</v>
      </c>
      <c r="O322" s="118">
        <v>1.41</v>
      </c>
      <c r="P322" s="119"/>
      <c r="Q322" s="99"/>
      <c r="R322" s="314">
        <f t="shared" si="47"/>
        <v>6669300</v>
      </c>
      <c r="S322" s="314">
        <f t="shared" si="49"/>
        <v>0</v>
      </c>
      <c r="T322" s="314">
        <f t="shared" si="44"/>
        <v>0</v>
      </c>
      <c r="U322" s="314">
        <f t="shared" si="52"/>
        <v>6669300</v>
      </c>
      <c r="V322" s="314" t="e">
        <f>+VLOOKUP(A322,[2]Sheet1!$B$11:$J$400,9,0)</f>
        <v>#N/A</v>
      </c>
      <c r="W322" s="319">
        <v>5621277778</v>
      </c>
      <c r="X322" s="99" t="s">
        <v>3305</v>
      </c>
      <c r="Y322" s="99" t="e">
        <f>+VLOOKUP(A322,[3]Sheet1!$B$11:$I$388,8,0)</f>
        <v>#N/A</v>
      </c>
      <c r="Z322" s="99" t="s">
        <v>1787</v>
      </c>
      <c r="AA322" s="100" t="s">
        <v>3288</v>
      </c>
      <c r="AB322" s="100"/>
      <c r="AC322" s="99"/>
      <c r="AD322" s="261">
        <v>44417</v>
      </c>
      <c r="AE322" s="99" t="s">
        <v>2427</v>
      </c>
      <c r="AF322" s="347" t="s">
        <v>3289</v>
      </c>
      <c r="AG322" s="316"/>
      <c r="AH322" s="251"/>
      <c r="AI322" s="251"/>
      <c r="AJ322" s="251" t="s">
        <v>3668</v>
      </c>
      <c r="AK322" s="251"/>
      <c r="AL322" s="251"/>
      <c r="AM322" s="247"/>
      <c r="AN322" s="251"/>
      <c r="AO322" s="247">
        <v>45627</v>
      </c>
      <c r="AP322" s="247"/>
      <c r="AQ322" s="247"/>
      <c r="AR322" s="247"/>
      <c r="AS322" s="340" t="s">
        <v>3291</v>
      </c>
      <c r="AT322" s="251" t="s">
        <v>3491</v>
      </c>
      <c r="AU322" s="379"/>
      <c r="AV322" s="380"/>
    </row>
    <row r="323" spans="1:48" x14ac:dyDescent="0.25">
      <c r="A323" s="361" t="s">
        <v>253</v>
      </c>
      <c r="B323" s="396" t="s">
        <v>3542</v>
      </c>
      <c r="C323" s="100" t="s">
        <v>298</v>
      </c>
      <c r="D323" s="97">
        <v>28002</v>
      </c>
      <c r="E323" s="97">
        <f t="shared" si="51"/>
        <v>48821</v>
      </c>
      <c r="F323" s="97">
        <f t="shared" si="46"/>
        <v>48823</v>
      </c>
      <c r="G323" s="97">
        <v>48823</v>
      </c>
      <c r="H323" s="97">
        <v>35370</v>
      </c>
      <c r="I323" s="206" t="s">
        <v>728</v>
      </c>
      <c r="J323" s="207" t="s">
        <v>287</v>
      </c>
      <c r="K323" s="118" t="s">
        <v>281</v>
      </c>
      <c r="L323" s="97">
        <v>41456</v>
      </c>
      <c r="M323" s="117"/>
      <c r="N323" s="118" t="s">
        <v>74</v>
      </c>
      <c r="O323" s="119">
        <v>1.68</v>
      </c>
      <c r="P323" s="119"/>
      <c r="Q323" s="99"/>
      <c r="R323" s="314">
        <f t="shared" si="47"/>
        <v>7946400</v>
      </c>
      <c r="S323" s="314">
        <f t="shared" si="49"/>
        <v>0</v>
      </c>
      <c r="T323" s="314">
        <f t="shared" si="44"/>
        <v>0</v>
      </c>
      <c r="U323" s="314">
        <f t="shared" si="52"/>
        <v>7946400</v>
      </c>
      <c r="V323" s="314">
        <f>+VLOOKUP(A323,[2]Sheet1!$B$11:$J$400,9,0)</f>
        <v>6988800</v>
      </c>
      <c r="W323" s="315" t="s">
        <v>1744</v>
      </c>
      <c r="X323" s="99" t="s">
        <v>1316</v>
      </c>
      <c r="Y323" s="99" t="str">
        <f>+VLOOKUP(A323,[3]Sheet1!$B$11:$I$388,8,0)</f>
        <v>56 - 001</v>
      </c>
      <c r="Z323" s="99" t="s">
        <v>1787</v>
      </c>
      <c r="AA323" s="99" t="s">
        <v>2946</v>
      </c>
      <c r="AB323" s="100" t="s">
        <v>1402</v>
      </c>
      <c r="AC323" s="99">
        <f>+VALUE(AB323:AB678)</f>
        <v>225110668</v>
      </c>
      <c r="AD323" s="99" t="s">
        <v>1403</v>
      </c>
      <c r="AE323" s="99" t="s">
        <v>2427</v>
      </c>
      <c r="AF323" s="347" t="s">
        <v>1404</v>
      </c>
      <c r="AG323" s="316" t="s">
        <v>1405</v>
      </c>
      <c r="AH323" s="251"/>
      <c r="AI323" s="251"/>
      <c r="AJ323" s="251"/>
      <c r="AK323" s="251" t="s">
        <v>3585</v>
      </c>
      <c r="AL323" s="251"/>
      <c r="AM323" s="251"/>
      <c r="AN323" s="251"/>
      <c r="AO323" s="251"/>
      <c r="AP323" s="251"/>
      <c r="AQ323" s="251"/>
      <c r="AR323" s="251"/>
      <c r="AS323" s="251" t="s">
        <v>2360</v>
      </c>
      <c r="AT323" s="251" t="s">
        <v>3491</v>
      </c>
      <c r="AU323" s="379"/>
      <c r="AV323" s="380"/>
    </row>
    <row r="324" spans="1:48" x14ac:dyDescent="0.25">
      <c r="A324" s="361" t="s">
        <v>254</v>
      </c>
      <c r="B324" s="396" t="s">
        <v>3542</v>
      </c>
      <c r="C324" s="100" t="s">
        <v>466</v>
      </c>
      <c r="D324" s="97">
        <v>28469</v>
      </c>
      <c r="E324" s="97">
        <f t="shared" si="51"/>
        <v>49288</v>
      </c>
      <c r="F324" s="97">
        <f t="shared" si="46"/>
        <v>49310</v>
      </c>
      <c r="G324" s="97">
        <v>49310</v>
      </c>
      <c r="H324" s="97">
        <v>36220</v>
      </c>
      <c r="I324" s="206" t="s">
        <v>728</v>
      </c>
      <c r="J324" s="207" t="s">
        <v>287</v>
      </c>
      <c r="K324" s="118" t="s">
        <v>285</v>
      </c>
      <c r="L324" s="97">
        <v>41456</v>
      </c>
      <c r="M324" s="117"/>
      <c r="N324" s="118" t="s">
        <v>74</v>
      </c>
      <c r="O324" s="119">
        <v>1.68</v>
      </c>
      <c r="P324" s="119">
        <v>0.04</v>
      </c>
      <c r="Q324" s="99"/>
      <c r="R324" s="314">
        <f t="shared" si="47"/>
        <v>7946400</v>
      </c>
      <c r="S324" s="314">
        <f t="shared" si="49"/>
        <v>176400</v>
      </c>
      <c r="T324" s="314">
        <f t="shared" si="44"/>
        <v>0</v>
      </c>
      <c r="U324" s="314">
        <f t="shared" si="52"/>
        <v>8122800</v>
      </c>
      <c r="V324" s="314">
        <f>+VLOOKUP(A324,[2]Sheet1!$B$11:$J$400,9,0)</f>
        <v>7155200</v>
      </c>
      <c r="W324" s="315" t="s">
        <v>1745</v>
      </c>
      <c r="X324" s="99" t="s">
        <v>1316</v>
      </c>
      <c r="Y324" s="99" t="str">
        <f>+VLOOKUP(A324,[3]Sheet1!$B$11:$I$388,8,0)</f>
        <v>56 - 197</v>
      </c>
      <c r="Z324" s="99" t="s">
        <v>1787</v>
      </c>
      <c r="AA324" s="99" t="s">
        <v>2947</v>
      </c>
      <c r="AB324" s="100" t="s">
        <v>1406</v>
      </c>
      <c r="AC324" s="99">
        <f>+VALUE(AB324:AB679)</f>
        <v>225100693</v>
      </c>
      <c r="AD324" s="99" t="s">
        <v>1407</v>
      </c>
      <c r="AE324" s="99" t="s">
        <v>2427</v>
      </c>
      <c r="AF324" s="347" t="s">
        <v>1408</v>
      </c>
      <c r="AG324" s="316" t="s">
        <v>1352</v>
      </c>
      <c r="AH324" s="251"/>
      <c r="AI324" s="251"/>
      <c r="AJ324" s="251"/>
      <c r="AK324" s="251" t="s">
        <v>3585</v>
      </c>
      <c r="AL324" s="251"/>
      <c r="AM324" s="251"/>
      <c r="AN324" s="251"/>
      <c r="AO324" s="251"/>
      <c r="AP324" s="251"/>
      <c r="AQ324" s="251"/>
      <c r="AR324" s="251"/>
      <c r="AS324" s="251" t="s">
        <v>2361</v>
      </c>
      <c r="AT324" s="251" t="s">
        <v>3491</v>
      </c>
      <c r="AU324" s="379"/>
      <c r="AV324" s="380"/>
    </row>
    <row r="325" spans="1:48" x14ac:dyDescent="0.25">
      <c r="A325" s="361" t="s">
        <v>255</v>
      </c>
      <c r="B325" s="396" t="s">
        <v>3542</v>
      </c>
      <c r="C325" s="100" t="s">
        <v>467</v>
      </c>
      <c r="D325" s="97">
        <v>28884</v>
      </c>
      <c r="E325" s="97">
        <f t="shared" si="51"/>
        <v>49703</v>
      </c>
      <c r="F325" s="97">
        <f t="shared" si="46"/>
        <v>49706</v>
      </c>
      <c r="G325" s="97">
        <v>49706</v>
      </c>
      <c r="H325" s="97">
        <v>37165</v>
      </c>
      <c r="I325" s="206" t="s">
        <v>728</v>
      </c>
      <c r="J325" s="207" t="s">
        <v>287</v>
      </c>
      <c r="K325" s="118" t="s">
        <v>281</v>
      </c>
      <c r="L325" s="97">
        <v>42979</v>
      </c>
      <c r="M325" s="117"/>
      <c r="N325" s="118" t="s">
        <v>76</v>
      </c>
      <c r="O325" s="119">
        <v>1.58</v>
      </c>
      <c r="P325" s="119"/>
      <c r="Q325" s="99"/>
      <c r="R325" s="314">
        <f t="shared" si="47"/>
        <v>7473400</v>
      </c>
      <c r="S325" s="314">
        <f t="shared" si="49"/>
        <v>0</v>
      </c>
      <c r="T325" s="314">
        <f t="shared" si="44"/>
        <v>0</v>
      </c>
      <c r="U325" s="314">
        <f t="shared" si="52"/>
        <v>7473400</v>
      </c>
      <c r="V325" s="314">
        <f>+VLOOKUP(A325,[2]Sheet1!$B$11:$J$400,9,0)</f>
        <v>6572800</v>
      </c>
      <c r="W325" s="315" t="s">
        <v>1746</v>
      </c>
      <c r="X325" s="99" t="s">
        <v>1316</v>
      </c>
      <c r="Y325" s="99" t="str">
        <f>+VLOOKUP(A325,[3]Sheet1!$B$11:$I$388,8,0)</f>
        <v>56 - 197</v>
      </c>
      <c r="Z325" s="99" t="s">
        <v>1787</v>
      </c>
      <c r="AA325" s="99" t="s">
        <v>2948</v>
      </c>
      <c r="AB325" s="100" t="s">
        <v>1409</v>
      </c>
      <c r="AC325" s="99">
        <f>+VALUE(AB325:AB681)</f>
        <v>225518687</v>
      </c>
      <c r="AD325" s="99" t="s">
        <v>1410</v>
      </c>
      <c r="AE325" s="99" t="s">
        <v>2427</v>
      </c>
      <c r="AF325" s="347" t="s">
        <v>1411</v>
      </c>
      <c r="AG325" s="316" t="s">
        <v>1412</v>
      </c>
      <c r="AH325" s="251"/>
      <c r="AI325" s="251" t="s">
        <v>3569</v>
      </c>
      <c r="AJ325" s="251"/>
      <c r="AK325" s="251"/>
      <c r="AL325" s="251"/>
      <c r="AM325" s="251"/>
      <c r="AN325" s="251"/>
      <c r="AO325" s="251"/>
      <c r="AP325" s="251"/>
      <c r="AQ325" s="251"/>
      <c r="AR325" s="251"/>
      <c r="AS325" s="251" t="s">
        <v>2362</v>
      </c>
      <c r="AT325" s="251" t="s">
        <v>3491</v>
      </c>
      <c r="AU325" s="379"/>
      <c r="AV325" s="380"/>
    </row>
    <row r="326" spans="1:48" x14ac:dyDescent="0.25">
      <c r="A326" s="354" t="s">
        <v>264</v>
      </c>
      <c r="B326" s="396" t="s">
        <v>3542</v>
      </c>
      <c r="C326" s="100" t="s">
        <v>636</v>
      </c>
      <c r="D326" s="97">
        <v>32531</v>
      </c>
      <c r="E326" s="97">
        <f t="shared" si="51"/>
        <v>53350</v>
      </c>
      <c r="F326" s="97">
        <f t="shared" si="46"/>
        <v>53359</v>
      </c>
      <c r="G326" s="97">
        <v>53359</v>
      </c>
      <c r="H326" s="97">
        <v>43191</v>
      </c>
      <c r="I326" s="206" t="s">
        <v>728</v>
      </c>
      <c r="J326" s="207" t="s">
        <v>287</v>
      </c>
      <c r="K326" s="118" t="s">
        <v>281</v>
      </c>
      <c r="L326" s="97">
        <v>43191</v>
      </c>
      <c r="M326" s="117"/>
      <c r="N326" s="210" t="s">
        <v>71</v>
      </c>
      <c r="O326" s="119">
        <v>1.49</v>
      </c>
      <c r="P326" s="119"/>
      <c r="Q326" s="99"/>
      <c r="R326" s="314">
        <f t="shared" si="47"/>
        <v>7047700</v>
      </c>
      <c r="S326" s="314">
        <f t="shared" si="49"/>
        <v>0</v>
      </c>
      <c r="T326" s="314">
        <f t="shared" si="44"/>
        <v>0</v>
      </c>
      <c r="U326" s="314">
        <f t="shared" si="52"/>
        <v>7047700</v>
      </c>
      <c r="V326" s="314">
        <f>+VLOOKUP(A326,[2]Sheet1!$B$11:$J$400,9,0)</f>
        <v>6198400</v>
      </c>
      <c r="W326" s="315" t="s">
        <v>1754</v>
      </c>
      <c r="X326" s="99" t="s">
        <v>669</v>
      </c>
      <c r="Y326" s="99" t="str">
        <f>+VLOOKUP(A326,[3]Sheet1!$B$11:$I$388,8,0)</f>
        <v>56 - 001</v>
      </c>
      <c r="Z326" s="99" t="s">
        <v>1787</v>
      </c>
      <c r="AA326" s="201" t="s">
        <v>3066</v>
      </c>
      <c r="AB326" s="100" t="s">
        <v>673</v>
      </c>
      <c r="AC326" s="99">
        <f>+VALUE(AB326:AB682)</f>
        <v>225388540</v>
      </c>
      <c r="AD326" s="205" t="s">
        <v>3067</v>
      </c>
      <c r="AE326" s="99" t="s">
        <v>2427</v>
      </c>
      <c r="AF326" s="347" t="s">
        <v>637</v>
      </c>
      <c r="AG326" s="316" t="s">
        <v>674</v>
      </c>
      <c r="AH326" s="251"/>
      <c r="AI326" s="251"/>
      <c r="AJ326" s="251"/>
      <c r="AK326" s="251" t="s">
        <v>3649</v>
      </c>
      <c r="AL326" s="251" t="s">
        <v>3592</v>
      </c>
      <c r="AM326" s="251"/>
      <c r="AN326" s="251"/>
      <c r="AO326" s="251"/>
      <c r="AP326" s="251"/>
      <c r="AQ326" s="251"/>
      <c r="AR326" s="251"/>
      <c r="AS326" s="251" t="s">
        <v>2363</v>
      </c>
      <c r="AT326" s="251" t="s">
        <v>3491</v>
      </c>
      <c r="AU326" s="379"/>
      <c r="AV326" s="380"/>
    </row>
    <row r="327" spans="1:48" x14ac:dyDescent="0.25">
      <c r="A327" s="361" t="s">
        <v>256</v>
      </c>
      <c r="B327" s="396" t="s">
        <v>3542</v>
      </c>
      <c r="C327" s="100" t="s">
        <v>468</v>
      </c>
      <c r="D327" s="97">
        <v>32610</v>
      </c>
      <c r="E327" s="97">
        <f t="shared" si="51"/>
        <v>53429</v>
      </c>
      <c r="F327" s="97">
        <f t="shared" si="46"/>
        <v>53448</v>
      </c>
      <c r="G327" s="97">
        <v>53448</v>
      </c>
      <c r="H327" s="97">
        <v>41671</v>
      </c>
      <c r="I327" s="206" t="s">
        <v>728</v>
      </c>
      <c r="J327" s="207" t="s">
        <v>287</v>
      </c>
      <c r="K327" s="118" t="s">
        <v>281</v>
      </c>
      <c r="L327" s="117" t="s">
        <v>3238</v>
      </c>
      <c r="M327" s="117"/>
      <c r="N327" s="210" t="s">
        <v>71</v>
      </c>
      <c r="O327" s="119">
        <v>1.49</v>
      </c>
      <c r="P327" s="119"/>
      <c r="Q327" s="99"/>
      <c r="R327" s="314">
        <f t="shared" si="47"/>
        <v>7047700</v>
      </c>
      <c r="S327" s="314">
        <f t="shared" si="49"/>
        <v>0</v>
      </c>
      <c r="T327" s="314">
        <f t="shared" si="44"/>
        <v>0</v>
      </c>
      <c r="U327" s="314">
        <f t="shared" si="52"/>
        <v>7047700</v>
      </c>
      <c r="V327" s="314">
        <f>+VLOOKUP(A327,[2]Sheet1!$B$11:$J$400,9,0)</f>
        <v>5865600</v>
      </c>
      <c r="W327" s="315" t="s">
        <v>1755</v>
      </c>
      <c r="X327" s="99" t="s">
        <v>669</v>
      </c>
      <c r="Y327" s="99" t="str">
        <f>+VLOOKUP(A327,[3]Sheet1!$B$11:$I$388,8,0)</f>
        <v>56 - 001</v>
      </c>
      <c r="Z327" s="99" t="s">
        <v>1787</v>
      </c>
      <c r="AA327" s="99" t="s">
        <v>2949</v>
      </c>
      <c r="AB327" s="100" t="s">
        <v>1439</v>
      </c>
      <c r="AC327" s="99">
        <f>+VALUE(AB327:AB683)</f>
        <v>225406904</v>
      </c>
      <c r="AD327" s="99" t="s">
        <v>1440</v>
      </c>
      <c r="AE327" s="99" t="s">
        <v>2427</v>
      </c>
      <c r="AF327" s="347" t="s">
        <v>1441</v>
      </c>
      <c r="AG327" s="316" t="s">
        <v>1442</v>
      </c>
      <c r="AH327" s="251"/>
      <c r="AI327" s="251"/>
      <c r="AJ327" s="251"/>
      <c r="AK327" s="251"/>
      <c r="AL327" s="251" t="s">
        <v>3592</v>
      </c>
      <c r="AM327" s="251"/>
      <c r="AN327" s="251"/>
      <c r="AO327" s="251"/>
      <c r="AP327" s="247"/>
      <c r="AQ327" s="251"/>
      <c r="AR327" s="247"/>
      <c r="AS327" s="251"/>
      <c r="AT327" s="251" t="s">
        <v>3491</v>
      </c>
      <c r="AU327" s="379"/>
      <c r="AV327" s="380"/>
    </row>
    <row r="328" spans="1:48" x14ac:dyDescent="0.25">
      <c r="A328" s="361" t="s">
        <v>590</v>
      </c>
      <c r="B328" s="396" t="s">
        <v>3542</v>
      </c>
      <c r="C328" s="100" t="s">
        <v>675</v>
      </c>
      <c r="D328" s="97">
        <v>31729</v>
      </c>
      <c r="E328" s="97">
        <f t="shared" si="51"/>
        <v>52548</v>
      </c>
      <c r="F328" s="97">
        <f t="shared" si="46"/>
        <v>52566</v>
      </c>
      <c r="G328" s="97">
        <v>52566</v>
      </c>
      <c r="H328" s="97">
        <v>43221</v>
      </c>
      <c r="I328" s="206" t="s">
        <v>728</v>
      </c>
      <c r="J328" s="207" t="s">
        <v>287</v>
      </c>
      <c r="K328" s="118" t="s">
        <v>281</v>
      </c>
      <c r="L328" s="97">
        <v>43221</v>
      </c>
      <c r="M328" s="117"/>
      <c r="N328" s="210" t="s">
        <v>71</v>
      </c>
      <c r="O328" s="119">
        <v>1.49</v>
      </c>
      <c r="P328" s="119"/>
      <c r="Q328" s="99"/>
      <c r="R328" s="314">
        <f t="shared" si="47"/>
        <v>7047700</v>
      </c>
      <c r="S328" s="314">
        <f t="shared" si="49"/>
        <v>0</v>
      </c>
      <c r="T328" s="314">
        <f t="shared" si="44"/>
        <v>0</v>
      </c>
      <c r="U328" s="314">
        <f t="shared" si="52"/>
        <v>7047700</v>
      </c>
      <c r="V328" s="314">
        <f>+VLOOKUP(A328,[2]Sheet1!$B$11:$J$400,9,0)</f>
        <v>6198400</v>
      </c>
      <c r="W328" s="315" t="s">
        <v>1784</v>
      </c>
      <c r="X328" s="99" t="s">
        <v>669</v>
      </c>
      <c r="Y328" s="99" t="str">
        <f>+VLOOKUP(A328,[3]Sheet1!$B$11:$I$388,8,0)</f>
        <v>56 - 001</v>
      </c>
      <c r="Z328" s="99" t="s">
        <v>1787</v>
      </c>
      <c r="AA328" s="209" t="s">
        <v>3364</v>
      </c>
      <c r="AB328" s="100" t="s">
        <v>676</v>
      </c>
      <c r="AC328" s="99">
        <f>+VALUE(AB328:AB693)</f>
        <v>225318510</v>
      </c>
      <c r="AD328" s="201" t="s">
        <v>677</v>
      </c>
      <c r="AE328" s="99" t="s">
        <v>2427</v>
      </c>
      <c r="AF328" s="347" t="s">
        <v>679</v>
      </c>
      <c r="AG328" s="251" t="s">
        <v>678</v>
      </c>
      <c r="AH328" s="251"/>
      <c r="AI328" s="251"/>
      <c r="AJ328" s="251" t="s">
        <v>3625</v>
      </c>
      <c r="AK328" s="251"/>
      <c r="AL328" s="251"/>
      <c r="AM328" s="251"/>
      <c r="AN328" s="251"/>
      <c r="AO328" s="251"/>
      <c r="AP328" s="251"/>
      <c r="AQ328" s="251"/>
      <c r="AR328" s="251"/>
      <c r="AS328" s="251" t="s">
        <v>2364</v>
      </c>
      <c r="AT328" s="251" t="s">
        <v>3491</v>
      </c>
      <c r="AU328" s="379"/>
      <c r="AV328" s="380"/>
    </row>
    <row r="329" spans="1:48" x14ac:dyDescent="0.25">
      <c r="A329" s="361" t="s">
        <v>226</v>
      </c>
      <c r="B329" s="396" t="s">
        <v>3542</v>
      </c>
      <c r="C329" s="100" t="s">
        <v>435</v>
      </c>
      <c r="D329" s="97">
        <v>29135</v>
      </c>
      <c r="E329" s="97">
        <f t="shared" si="51"/>
        <v>49955</v>
      </c>
      <c r="F329" s="97">
        <f t="shared" si="46"/>
        <v>49980</v>
      </c>
      <c r="G329" s="97">
        <v>49980</v>
      </c>
      <c r="H329" s="97">
        <v>36586</v>
      </c>
      <c r="I329" s="206" t="s">
        <v>728</v>
      </c>
      <c r="J329" s="207" t="s">
        <v>287</v>
      </c>
      <c r="K329" s="118" t="s">
        <v>286</v>
      </c>
      <c r="L329" s="97">
        <v>41091</v>
      </c>
      <c r="M329" s="117"/>
      <c r="N329" s="118" t="s">
        <v>74</v>
      </c>
      <c r="O329" s="119">
        <v>1.68</v>
      </c>
      <c r="P329" s="119">
        <v>0.06</v>
      </c>
      <c r="Q329" s="99"/>
      <c r="R329" s="314">
        <f t="shared" si="47"/>
        <v>7946400</v>
      </c>
      <c r="S329" s="314">
        <f t="shared" si="49"/>
        <v>264600</v>
      </c>
      <c r="T329" s="314">
        <f t="shared" si="44"/>
        <v>0</v>
      </c>
      <c r="U329" s="314">
        <f t="shared" si="52"/>
        <v>8211000</v>
      </c>
      <c r="V329" s="314">
        <f>+VLOOKUP(A329,[2]Sheet1!$B$11:$J$400,9,0)</f>
        <v>7238400</v>
      </c>
      <c r="W329" s="315" t="s">
        <v>1710</v>
      </c>
      <c r="X329" s="99" t="s">
        <v>1303</v>
      </c>
      <c r="Y329" s="99" t="str">
        <f>+VLOOKUP(A329,[3]Sheet1!$B$11:$I$388,8,0)</f>
        <v>56 - 012</v>
      </c>
      <c r="Z329" s="99" t="s">
        <v>1787</v>
      </c>
      <c r="AA329" s="99" t="s">
        <v>2950</v>
      </c>
      <c r="AB329" s="100" t="s">
        <v>1312</v>
      </c>
      <c r="AC329" s="99">
        <f>+VALUE(AB278:AB631)</f>
        <v>225124352</v>
      </c>
      <c r="AD329" s="99" t="s">
        <v>1313</v>
      </c>
      <c r="AE329" s="99" t="s">
        <v>2427</v>
      </c>
      <c r="AF329" s="347" t="s">
        <v>1314</v>
      </c>
      <c r="AG329" s="316" t="s">
        <v>1315</v>
      </c>
      <c r="AH329" s="251"/>
      <c r="AI329" s="251"/>
      <c r="AJ329" s="251"/>
      <c r="AK329" s="251" t="s">
        <v>3585</v>
      </c>
      <c r="AL329" s="251" t="s">
        <v>3592</v>
      </c>
      <c r="AM329" s="251"/>
      <c r="AN329" s="251"/>
      <c r="AO329" s="251"/>
      <c r="AP329" s="251"/>
      <c r="AQ329" s="251"/>
      <c r="AR329" s="251"/>
      <c r="AS329" s="251" t="s">
        <v>2365</v>
      </c>
      <c r="AT329" s="251" t="s">
        <v>3491</v>
      </c>
      <c r="AU329" s="379"/>
      <c r="AV329" s="380"/>
    </row>
    <row r="330" spans="1:48" x14ac:dyDescent="0.25">
      <c r="A330" s="361" t="s">
        <v>2592</v>
      </c>
      <c r="B330" s="396" t="s">
        <v>3542</v>
      </c>
      <c r="C330" s="100" t="s">
        <v>2593</v>
      </c>
      <c r="D330" s="205">
        <v>35665</v>
      </c>
      <c r="E330" s="97">
        <f t="shared" si="51"/>
        <v>56484</v>
      </c>
      <c r="F330" s="97">
        <f t="shared" si="46"/>
        <v>56493</v>
      </c>
      <c r="G330" s="97">
        <v>56493</v>
      </c>
      <c r="H330" s="97">
        <v>44896</v>
      </c>
      <c r="I330" s="206" t="s">
        <v>728</v>
      </c>
      <c r="J330" s="207" t="s">
        <v>287</v>
      </c>
      <c r="K330" s="118" t="s">
        <v>281</v>
      </c>
      <c r="L330" s="97">
        <v>44927</v>
      </c>
      <c r="M330" s="117"/>
      <c r="N330" s="118" t="s">
        <v>72</v>
      </c>
      <c r="O330" s="119">
        <v>1.41</v>
      </c>
      <c r="P330" s="119"/>
      <c r="Q330" s="99"/>
      <c r="R330" s="314">
        <f t="shared" si="47"/>
        <v>6669300</v>
      </c>
      <c r="S330" s="314">
        <f t="shared" si="49"/>
        <v>0</v>
      </c>
      <c r="T330" s="314">
        <f t="shared" si="44"/>
        <v>0</v>
      </c>
      <c r="U330" s="314">
        <f t="shared" si="52"/>
        <v>6669300</v>
      </c>
      <c r="V330" s="314">
        <f>+VLOOKUP(A330,[2]Sheet1!$B$11:$J$400,9,0)</f>
        <v>5865600</v>
      </c>
      <c r="W330" s="315" t="s">
        <v>2718</v>
      </c>
      <c r="X330" s="99"/>
      <c r="Y330" s="99" t="str">
        <f>+VLOOKUP(A330,[3]Sheet1!$B$11:$I$388,8,0)</f>
        <v>56 - 001</v>
      </c>
      <c r="Z330" s="99" t="s">
        <v>1787</v>
      </c>
      <c r="AA330" s="99" t="s">
        <v>2594</v>
      </c>
      <c r="AB330" s="100" t="s">
        <v>2594</v>
      </c>
      <c r="AC330" s="99">
        <f>+VALUE(AB278:AB632)</f>
        <v>56097007794</v>
      </c>
      <c r="AD330" s="201" t="s">
        <v>2595</v>
      </c>
      <c r="AE330" s="99" t="s">
        <v>2427</v>
      </c>
      <c r="AF330" s="347" t="s">
        <v>2596</v>
      </c>
      <c r="AG330" s="316" t="s">
        <v>2597</v>
      </c>
      <c r="AH330" s="251"/>
      <c r="AI330" s="251"/>
      <c r="AJ330" s="251"/>
      <c r="AK330" s="251"/>
      <c r="AL330" s="251" t="s">
        <v>3603</v>
      </c>
      <c r="AM330" s="247">
        <v>44896</v>
      </c>
      <c r="AN330" s="251"/>
      <c r="AO330" s="251"/>
      <c r="AP330" s="247">
        <v>44927</v>
      </c>
      <c r="AQ330" s="251"/>
      <c r="AR330" s="251"/>
      <c r="AS330" s="321" t="s">
        <v>2598</v>
      </c>
      <c r="AT330" s="251" t="s">
        <v>3491</v>
      </c>
      <c r="AU330" s="379"/>
      <c r="AV330" s="380"/>
    </row>
    <row r="331" spans="1:48" x14ac:dyDescent="0.25">
      <c r="A331" s="367" t="s">
        <v>2599</v>
      </c>
      <c r="B331" s="396" t="s">
        <v>3542</v>
      </c>
      <c r="C331" s="244" t="s">
        <v>2600</v>
      </c>
      <c r="D331" s="245">
        <v>35476</v>
      </c>
      <c r="E331" s="243">
        <f t="shared" si="51"/>
        <v>56295</v>
      </c>
      <c r="F331" s="97">
        <f t="shared" si="46"/>
        <v>56309</v>
      </c>
      <c r="G331" s="97">
        <v>56309</v>
      </c>
      <c r="H331" s="97">
        <v>44896</v>
      </c>
      <c r="I331" s="206" t="s">
        <v>728</v>
      </c>
      <c r="J331" s="207" t="s">
        <v>287</v>
      </c>
      <c r="K331" s="118" t="s">
        <v>281</v>
      </c>
      <c r="L331" s="97">
        <v>44927</v>
      </c>
      <c r="M331" s="117"/>
      <c r="N331" s="118" t="s">
        <v>72</v>
      </c>
      <c r="O331" s="119">
        <v>1.41</v>
      </c>
      <c r="P331" s="119"/>
      <c r="Q331" s="99"/>
      <c r="R331" s="314">
        <f t="shared" si="47"/>
        <v>6669300</v>
      </c>
      <c r="S331" s="314">
        <f t="shared" si="49"/>
        <v>0</v>
      </c>
      <c r="T331" s="314">
        <f t="shared" si="44"/>
        <v>0</v>
      </c>
      <c r="U331" s="314">
        <f t="shared" si="52"/>
        <v>6669300</v>
      </c>
      <c r="V331" s="314">
        <f>+VLOOKUP(A331,[2]Sheet1!$B$11:$J$400,9,0)</f>
        <v>5865600</v>
      </c>
      <c r="W331" s="315" t="s">
        <v>2719</v>
      </c>
      <c r="X331" s="99"/>
      <c r="Y331" s="99" t="str">
        <f>+VLOOKUP(A331,[3]Sheet1!$B$11:$I$388,8,0)</f>
        <v>56 - 001</v>
      </c>
      <c r="Z331" s="99" t="s">
        <v>1787</v>
      </c>
      <c r="AA331" s="99" t="s">
        <v>2601</v>
      </c>
      <c r="AB331" s="223" t="s">
        <v>2601</v>
      </c>
      <c r="AC331" s="99">
        <f>+VALUE(AB279:AB633)</f>
        <v>56097000474</v>
      </c>
      <c r="AD331" s="205" t="s">
        <v>2602</v>
      </c>
      <c r="AE331" s="99" t="s">
        <v>2427</v>
      </c>
      <c r="AF331" s="347" t="s">
        <v>2603</v>
      </c>
      <c r="AG331" s="316" t="s">
        <v>2604</v>
      </c>
      <c r="AH331" s="251"/>
      <c r="AI331" s="251"/>
      <c r="AJ331" s="251"/>
      <c r="AK331" s="251"/>
      <c r="AL331" s="251" t="s">
        <v>3603</v>
      </c>
      <c r="AM331" s="247">
        <v>44896</v>
      </c>
      <c r="AN331" s="251"/>
      <c r="AO331" s="251"/>
      <c r="AP331" s="247">
        <v>44927</v>
      </c>
      <c r="AQ331" s="251"/>
      <c r="AR331" s="251"/>
      <c r="AS331" s="321" t="s">
        <v>2605</v>
      </c>
      <c r="AT331" s="251" t="s">
        <v>3491</v>
      </c>
      <c r="AU331" s="379"/>
      <c r="AV331" s="380"/>
    </row>
    <row r="332" spans="1:48" x14ac:dyDescent="0.25">
      <c r="A332" s="368" t="s">
        <v>2689</v>
      </c>
      <c r="B332" s="396" t="s">
        <v>3542</v>
      </c>
      <c r="C332" s="248" t="s">
        <v>2690</v>
      </c>
      <c r="D332" s="249">
        <v>36838</v>
      </c>
      <c r="E332" s="247">
        <f t="shared" si="51"/>
        <v>57657</v>
      </c>
      <c r="F332" s="97">
        <f t="shared" si="46"/>
        <v>57680</v>
      </c>
      <c r="G332" s="97">
        <v>57680</v>
      </c>
      <c r="H332" s="97">
        <v>44927</v>
      </c>
      <c r="I332" s="206" t="s">
        <v>728</v>
      </c>
      <c r="J332" s="207" t="s">
        <v>287</v>
      </c>
      <c r="K332" s="118" t="s">
        <v>281</v>
      </c>
      <c r="L332" s="97">
        <v>44958</v>
      </c>
      <c r="M332" s="117"/>
      <c r="N332" s="118" t="s">
        <v>72</v>
      </c>
      <c r="O332" s="119">
        <v>1.41</v>
      </c>
      <c r="P332" s="119"/>
      <c r="Q332" s="99"/>
      <c r="R332" s="314">
        <f t="shared" si="47"/>
        <v>6669300</v>
      </c>
      <c r="S332" s="314">
        <f t="shared" si="49"/>
        <v>0</v>
      </c>
      <c r="T332" s="314">
        <f t="shared" si="44"/>
        <v>0</v>
      </c>
      <c r="U332" s="314">
        <f t="shared" si="52"/>
        <v>6669300</v>
      </c>
      <c r="V332" s="314">
        <f>+VLOOKUP(A332,[2]Sheet1!$B$11:$J$400,9,0)</f>
        <v>5865600</v>
      </c>
      <c r="W332" s="315" t="s">
        <v>2720</v>
      </c>
      <c r="X332" s="99"/>
      <c r="Y332" s="99" t="str">
        <f>+VLOOKUP(A332,[3]Sheet1!$B$11:$I$388,8,0)</f>
        <v>56 - 001</v>
      </c>
      <c r="Z332" s="99" t="s">
        <v>1787</v>
      </c>
      <c r="AA332" s="99" t="s">
        <v>2691</v>
      </c>
      <c r="AB332" s="223" t="s">
        <v>2691</v>
      </c>
      <c r="AC332" s="99">
        <f>+VALUE(AB280:AB634)</f>
        <v>54200006588</v>
      </c>
      <c r="AD332" s="205" t="s">
        <v>2664</v>
      </c>
      <c r="AE332" s="99" t="s">
        <v>2427</v>
      </c>
      <c r="AF332" s="347" t="s">
        <v>2692</v>
      </c>
      <c r="AG332" s="316"/>
      <c r="AH332" s="251"/>
      <c r="AI332" s="251"/>
      <c r="AJ332" s="251"/>
      <c r="AK332" s="251"/>
      <c r="AL332" s="251" t="s">
        <v>3603</v>
      </c>
      <c r="AM332" s="247">
        <v>44927</v>
      </c>
      <c r="AN332" s="251"/>
      <c r="AO332" s="251"/>
      <c r="AP332" s="247">
        <v>44958</v>
      </c>
      <c r="AQ332" s="251"/>
      <c r="AR332" s="251"/>
      <c r="AS332" s="321"/>
      <c r="AT332" s="251" t="s">
        <v>3491</v>
      </c>
      <c r="AU332" s="379"/>
      <c r="AV332" s="380"/>
    </row>
    <row r="333" spans="1:48" x14ac:dyDescent="0.25">
      <c r="A333" s="369" t="s">
        <v>262</v>
      </c>
      <c r="B333" s="396" t="s">
        <v>3542</v>
      </c>
      <c r="C333" s="248" t="s">
        <v>475</v>
      </c>
      <c r="D333" s="247">
        <v>32404</v>
      </c>
      <c r="E333" s="247">
        <f t="shared" si="51"/>
        <v>53223</v>
      </c>
      <c r="F333" s="97">
        <f t="shared" si="46"/>
        <v>53236</v>
      </c>
      <c r="G333" s="97">
        <v>53236</v>
      </c>
      <c r="H333" s="97">
        <v>43040</v>
      </c>
      <c r="I333" s="206" t="s">
        <v>728</v>
      </c>
      <c r="J333" s="207" t="s">
        <v>287</v>
      </c>
      <c r="K333" s="118" t="s">
        <v>281</v>
      </c>
      <c r="L333" s="117" t="s">
        <v>3238</v>
      </c>
      <c r="M333" s="117"/>
      <c r="N333" s="200" t="s">
        <v>71</v>
      </c>
      <c r="O333" s="119">
        <v>1.49</v>
      </c>
      <c r="P333" s="119"/>
      <c r="Q333" s="99"/>
      <c r="R333" s="314">
        <f t="shared" si="47"/>
        <v>7047700</v>
      </c>
      <c r="S333" s="314">
        <f t="shared" si="49"/>
        <v>0</v>
      </c>
      <c r="T333" s="314">
        <f t="shared" ref="T333:T385" si="53">+Q333*2340000</f>
        <v>0</v>
      </c>
      <c r="U333" s="314">
        <f t="shared" si="52"/>
        <v>7047700</v>
      </c>
      <c r="V333" s="314">
        <f>+VLOOKUP(A333,[2]Sheet1!$B$11:$J$400,9,0)</f>
        <v>5865600</v>
      </c>
      <c r="W333" s="315" t="s">
        <v>1753</v>
      </c>
      <c r="X333" s="99" t="s">
        <v>1316</v>
      </c>
      <c r="Y333" s="99" t="str">
        <f>+VLOOKUP(A333,[3]Sheet1!$B$11:$I$388,8,0)</f>
        <v>56 - 183</v>
      </c>
      <c r="Z333" s="99" t="s">
        <v>1787</v>
      </c>
      <c r="AA333" s="99" t="s">
        <v>2956</v>
      </c>
      <c r="AB333" s="100">
        <v>221166603</v>
      </c>
      <c r="AC333" s="99">
        <f>+VALUE(AB333:AB691)</f>
        <v>221166603</v>
      </c>
      <c r="AD333" s="99" t="s">
        <v>1436</v>
      </c>
      <c r="AE333" s="99" t="s">
        <v>2427</v>
      </c>
      <c r="AF333" s="347" t="s">
        <v>1437</v>
      </c>
      <c r="AG333" s="316" t="s">
        <v>1438</v>
      </c>
      <c r="AH333" s="251"/>
      <c r="AI333" s="251"/>
      <c r="AJ333" s="251"/>
      <c r="AK333" s="251" t="s">
        <v>3585</v>
      </c>
      <c r="AL333" s="251" t="s">
        <v>3592</v>
      </c>
      <c r="AM333" s="251"/>
      <c r="AN333" s="251"/>
      <c r="AO333" s="251"/>
      <c r="AP333" s="251"/>
      <c r="AQ333" s="251"/>
      <c r="AR333" s="251"/>
      <c r="AS333" s="251" t="s">
        <v>2371</v>
      </c>
      <c r="AT333" s="251" t="s">
        <v>3491</v>
      </c>
      <c r="AU333" s="379"/>
      <c r="AV333" s="380"/>
    </row>
    <row r="334" spans="1:48" x14ac:dyDescent="0.25">
      <c r="A334" s="368" t="s">
        <v>2613</v>
      </c>
      <c r="B334" s="396" t="s">
        <v>3542</v>
      </c>
      <c r="C334" s="248" t="s">
        <v>2614</v>
      </c>
      <c r="D334" s="247">
        <v>34533</v>
      </c>
      <c r="E334" s="247">
        <f t="shared" si="51"/>
        <v>55352</v>
      </c>
      <c r="F334" s="97">
        <f t="shared" si="46"/>
        <v>55366</v>
      </c>
      <c r="G334" s="97">
        <v>55366</v>
      </c>
      <c r="H334" s="97">
        <v>44896</v>
      </c>
      <c r="I334" s="206" t="s">
        <v>728</v>
      </c>
      <c r="J334" s="207" t="s">
        <v>287</v>
      </c>
      <c r="K334" s="118" t="s">
        <v>281</v>
      </c>
      <c r="L334" s="97">
        <v>44896</v>
      </c>
      <c r="M334" s="117"/>
      <c r="N334" s="118" t="s">
        <v>72</v>
      </c>
      <c r="O334" s="119">
        <v>1.41</v>
      </c>
      <c r="P334" s="119"/>
      <c r="Q334" s="99"/>
      <c r="R334" s="314">
        <f t="shared" si="47"/>
        <v>6669300</v>
      </c>
      <c r="S334" s="314">
        <f t="shared" si="49"/>
        <v>0</v>
      </c>
      <c r="T334" s="314">
        <f t="shared" si="53"/>
        <v>0</v>
      </c>
      <c r="U334" s="314">
        <f t="shared" si="52"/>
        <v>6669300</v>
      </c>
      <c r="V334" s="314">
        <f>+VLOOKUP(A334,[2]Sheet1!$B$11:$J$400,9,0)</f>
        <v>5865600</v>
      </c>
      <c r="W334" s="315" t="s">
        <v>2722</v>
      </c>
      <c r="X334" s="99"/>
      <c r="Y334" s="99" t="str">
        <f>+VLOOKUP(A334,[3]Sheet1!$B$11:$I$388,8,0)</f>
        <v>56 - 183</v>
      </c>
      <c r="Z334" s="99" t="s">
        <v>1787</v>
      </c>
      <c r="AA334" s="99" t="s">
        <v>2962</v>
      </c>
      <c r="AB334" s="193" t="s">
        <v>2615</v>
      </c>
      <c r="AC334" s="99">
        <f>+VALUE(AB334:AB699)</f>
        <v>212329966</v>
      </c>
      <c r="AD334" s="205" t="s">
        <v>2616</v>
      </c>
      <c r="AE334" s="99" t="s">
        <v>2427</v>
      </c>
      <c r="AF334" s="55" t="s">
        <v>2617</v>
      </c>
      <c r="AG334" s="251" t="s">
        <v>2618</v>
      </c>
      <c r="AH334" s="251"/>
      <c r="AI334" s="251"/>
      <c r="AJ334" s="251"/>
      <c r="AK334" s="251"/>
      <c r="AL334" s="251" t="s">
        <v>3603</v>
      </c>
      <c r="AM334" s="247">
        <v>44896</v>
      </c>
      <c r="AN334" s="251"/>
      <c r="AO334" s="251"/>
      <c r="AP334" s="247">
        <v>44927</v>
      </c>
      <c r="AQ334" s="251"/>
      <c r="AR334" s="251"/>
      <c r="AS334" s="321"/>
      <c r="AT334" s="251" t="s">
        <v>3491</v>
      </c>
      <c r="AU334" s="379"/>
      <c r="AV334" s="380"/>
    </row>
    <row r="335" spans="1:48" x14ac:dyDescent="0.25">
      <c r="A335" s="369" t="s">
        <v>3309</v>
      </c>
      <c r="B335" s="396" t="s">
        <v>3542</v>
      </c>
      <c r="C335" s="252" t="s">
        <v>3562</v>
      </c>
      <c r="D335" s="247">
        <v>36693</v>
      </c>
      <c r="E335" s="247">
        <f t="shared" si="51"/>
        <v>57512</v>
      </c>
      <c r="F335" s="97">
        <f t="shared" si="46"/>
        <v>57527</v>
      </c>
      <c r="G335" s="97">
        <v>55367</v>
      </c>
      <c r="H335" s="253">
        <v>45689</v>
      </c>
      <c r="I335" s="206" t="s">
        <v>728</v>
      </c>
      <c r="J335" s="207" t="s">
        <v>287</v>
      </c>
      <c r="K335" s="118" t="s">
        <v>281</v>
      </c>
      <c r="L335" s="253">
        <v>45689</v>
      </c>
      <c r="N335" s="118" t="s">
        <v>72</v>
      </c>
      <c r="O335" s="254">
        <v>1.41</v>
      </c>
      <c r="R335" s="314">
        <f t="shared" si="47"/>
        <v>6669300</v>
      </c>
      <c r="S335" s="314">
        <f t="shared" si="49"/>
        <v>0</v>
      </c>
      <c r="T335" s="314">
        <f t="shared" si="53"/>
        <v>0</v>
      </c>
      <c r="U335" s="314">
        <f t="shared" si="52"/>
        <v>6669300</v>
      </c>
      <c r="W335" s="319">
        <v>5628084266</v>
      </c>
      <c r="X335" s="55" t="s">
        <v>3334</v>
      </c>
      <c r="Z335" s="99" t="s">
        <v>1787</v>
      </c>
      <c r="AA335" s="100" t="s">
        <v>3317</v>
      </c>
      <c r="AE335" s="55" t="s">
        <v>2427</v>
      </c>
      <c r="AF335" s="55" t="s">
        <v>3329</v>
      </c>
      <c r="AG335" s="251"/>
      <c r="AH335" s="251"/>
      <c r="AI335" s="251"/>
      <c r="AJ335" s="251" t="s">
        <v>3605</v>
      </c>
      <c r="AK335" s="251"/>
      <c r="AL335" s="251"/>
      <c r="AM335" s="247">
        <v>45658</v>
      </c>
      <c r="AN335" s="251"/>
      <c r="AO335" s="247">
        <v>45689</v>
      </c>
      <c r="AP335" s="251"/>
      <c r="AQ335" s="251"/>
      <c r="AR335" s="251"/>
      <c r="AS335" s="251"/>
      <c r="AT335" s="251" t="s">
        <v>3491</v>
      </c>
      <c r="AU335" s="379"/>
      <c r="AV335" s="380"/>
    </row>
    <row r="336" spans="1:48" x14ac:dyDescent="0.25">
      <c r="A336" s="355" t="s">
        <v>2661</v>
      </c>
      <c r="B336" s="396" t="s">
        <v>3542</v>
      </c>
      <c r="C336" s="100" t="s">
        <v>2662</v>
      </c>
      <c r="D336" s="97">
        <v>34882</v>
      </c>
      <c r="E336" s="97">
        <f t="shared" si="51"/>
        <v>55702</v>
      </c>
      <c r="F336" s="97">
        <f>+EOMONTH(E336,0)+1</f>
        <v>55732</v>
      </c>
      <c r="G336" s="97">
        <v>55732</v>
      </c>
      <c r="H336" s="97">
        <v>45261</v>
      </c>
      <c r="I336" s="206" t="s">
        <v>728</v>
      </c>
      <c r="J336" s="198" t="s">
        <v>287</v>
      </c>
      <c r="K336" s="118" t="s">
        <v>281</v>
      </c>
      <c r="L336" s="97">
        <v>45689</v>
      </c>
      <c r="M336" s="204"/>
      <c r="N336" s="204" t="s">
        <v>72</v>
      </c>
      <c r="O336" s="118">
        <v>1.41</v>
      </c>
      <c r="P336" s="119"/>
      <c r="Q336" s="99"/>
      <c r="R336" s="314">
        <f t="shared" si="47"/>
        <v>6669300</v>
      </c>
      <c r="S336" s="314">
        <f>+P336*4960000</f>
        <v>0</v>
      </c>
      <c r="T336" s="314">
        <f>+Q336*2340000</f>
        <v>0</v>
      </c>
      <c r="U336" s="314">
        <f>+R336+S336+T336</f>
        <v>6669300</v>
      </c>
      <c r="V336" s="314">
        <f>+VLOOKUP(A336,[2]Sheet1!$B$11:$J$400,9,0)</f>
        <v>6598800</v>
      </c>
      <c r="W336" s="315" t="s">
        <v>2698</v>
      </c>
      <c r="X336" s="99"/>
      <c r="Y336" s="99" t="str">
        <f>+VLOOKUP(A336,[3]Sheet1!$B$11:$I$388,8,0)</f>
        <v>75 - 013</v>
      </c>
      <c r="Z336" s="99" t="s">
        <v>1787</v>
      </c>
      <c r="AA336" s="99" t="s">
        <v>2663</v>
      </c>
      <c r="AB336" s="100" t="s">
        <v>2663</v>
      </c>
      <c r="AC336" s="99">
        <f>+VALUE(AB111:AB529)</f>
        <v>56095009285</v>
      </c>
      <c r="AD336" s="205" t="s">
        <v>2664</v>
      </c>
      <c r="AE336" s="99" t="s">
        <v>2427</v>
      </c>
      <c r="AF336" s="347" t="s">
        <v>2665</v>
      </c>
      <c r="AG336" s="316" t="s">
        <v>2666</v>
      </c>
      <c r="AH336" s="251"/>
      <c r="AI336" s="251"/>
      <c r="AJ336" s="251"/>
      <c r="AK336" s="251"/>
      <c r="AL336" s="251" t="s">
        <v>3603</v>
      </c>
      <c r="AM336" s="247">
        <v>44896</v>
      </c>
      <c r="AN336" s="251"/>
      <c r="AO336" s="251"/>
      <c r="AP336" s="247">
        <v>44927</v>
      </c>
      <c r="AQ336" s="251"/>
      <c r="AR336" s="247"/>
      <c r="AS336" s="321" t="s">
        <v>2667</v>
      </c>
      <c r="AT336" s="251" t="s">
        <v>3491</v>
      </c>
      <c r="AU336" s="379"/>
      <c r="AV336" s="380"/>
    </row>
    <row r="337" spans="1:48" x14ac:dyDescent="0.25">
      <c r="A337" s="368" t="s">
        <v>671</v>
      </c>
      <c r="B337" s="396" t="s">
        <v>3542</v>
      </c>
      <c r="C337" s="248" t="s">
        <v>469</v>
      </c>
      <c r="D337" s="247">
        <v>28090</v>
      </c>
      <c r="E337" s="247">
        <f t="shared" si="51"/>
        <v>48909</v>
      </c>
      <c r="F337" s="97">
        <f t="shared" si="46"/>
        <v>48914</v>
      </c>
      <c r="G337" s="97">
        <v>48914</v>
      </c>
      <c r="H337" s="97">
        <v>34731</v>
      </c>
      <c r="I337" s="206" t="s">
        <v>2538</v>
      </c>
      <c r="J337" s="207" t="s">
        <v>287</v>
      </c>
      <c r="K337" s="118" t="s">
        <v>284</v>
      </c>
      <c r="L337" s="97">
        <v>45505</v>
      </c>
      <c r="M337" s="117"/>
      <c r="N337" s="118" t="s">
        <v>74</v>
      </c>
      <c r="O337" s="119">
        <v>1.68</v>
      </c>
      <c r="P337" s="119">
        <v>0.06</v>
      </c>
      <c r="Q337" s="99"/>
      <c r="R337" s="314">
        <f t="shared" si="47"/>
        <v>7946400</v>
      </c>
      <c r="S337" s="314">
        <f t="shared" si="49"/>
        <v>264600</v>
      </c>
      <c r="T337" s="314">
        <f t="shared" si="53"/>
        <v>0</v>
      </c>
      <c r="U337" s="314">
        <f t="shared" si="52"/>
        <v>8211000</v>
      </c>
      <c r="V337" s="314">
        <f>+VLOOKUP(A337,[2]Sheet1!$B$11:$J$400,9,0)</f>
        <v>6822400</v>
      </c>
      <c r="W337" s="315" t="s">
        <v>1747</v>
      </c>
      <c r="X337" s="99" t="s">
        <v>669</v>
      </c>
      <c r="Y337" s="99" t="str">
        <f>+VLOOKUP(A337,[3]Sheet1!$B$11:$I$388,8,0)</f>
        <v>56 - 183</v>
      </c>
      <c r="Z337" s="99" t="s">
        <v>1787</v>
      </c>
      <c r="AA337" s="99" t="s">
        <v>2951</v>
      </c>
      <c r="AB337" s="100" t="s">
        <v>1413</v>
      </c>
      <c r="AC337" s="99">
        <f>+VALUE(AB337:AB685)</f>
        <v>225491854</v>
      </c>
      <c r="AD337" s="99" t="s">
        <v>1414</v>
      </c>
      <c r="AE337" s="99" t="s">
        <v>2427</v>
      </c>
      <c r="AF337" s="347" t="s">
        <v>1415</v>
      </c>
      <c r="AG337" s="316" t="s">
        <v>1416</v>
      </c>
      <c r="AH337" s="251"/>
      <c r="AI337" s="251"/>
      <c r="AJ337" s="251"/>
      <c r="AK337" s="251"/>
      <c r="AL337" s="251" t="s">
        <v>3592</v>
      </c>
      <c r="AM337" s="251"/>
      <c r="AN337" s="251"/>
      <c r="AO337" s="251"/>
      <c r="AP337" s="251"/>
      <c r="AQ337" s="251"/>
      <c r="AR337" s="251"/>
      <c r="AS337" s="251" t="s">
        <v>2366</v>
      </c>
      <c r="AT337" s="251" t="s">
        <v>3491</v>
      </c>
      <c r="AU337" s="379"/>
      <c r="AV337" s="380"/>
    </row>
    <row r="338" spans="1:48" x14ac:dyDescent="0.25">
      <c r="A338" s="368" t="s">
        <v>258</v>
      </c>
      <c r="B338" s="396" t="s">
        <v>3542</v>
      </c>
      <c r="C338" s="248" t="s">
        <v>471</v>
      </c>
      <c r="D338" s="247">
        <v>27680</v>
      </c>
      <c r="E338" s="247">
        <f t="shared" si="51"/>
        <v>48500</v>
      </c>
      <c r="F338" s="97">
        <f t="shared" si="46"/>
        <v>48519</v>
      </c>
      <c r="G338" s="97">
        <v>48519</v>
      </c>
      <c r="H338" s="97">
        <v>35735</v>
      </c>
      <c r="I338" s="206" t="s">
        <v>2538</v>
      </c>
      <c r="J338" s="207" t="s">
        <v>287</v>
      </c>
      <c r="K338" s="118" t="s">
        <v>281</v>
      </c>
      <c r="L338" s="97">
        <v>41456</v>
      </c>
      <c r="M338" s="117"/>
      <c r="N338" s="118" t="s">
        <v>76</v>
      </c>
      <c r="O338" s="119">
        <v>1.58</v>
      </c>
      <c r="P338" s="119"/>
      <c r="Q338" s="99"/>
      <c r="R338" s="314">
        <f t="shared" si="47"/>
        <v>7473400</v>
      </c>
      <c r="S338" s="314">
        <f t="shared" si="49"/>
        <v>0</v>
      </c>
      <c r="T338" s="314">
        <f t="shared" si="53"/>
        <v>0</v>
      </c>
      <c r="U338" s="314">
        <f t="shared" si="52"/>
        <v>7473400</v>
      </c>
      <c r="V338" s="314">
        <f>+VLOOKUP(A338,[2]Sheet1!$B$11:$J$400,9,0)</f>
        <v>6572800</v>
      </c>
      <c r="W338" s="315" t="s">
        <v>1749</v>
      </c>
      <c r="X338" s="99" t="s">
        <v>669</v>
      </c>
      <c r="Y338" s="99" t="str">
        <f>+VLOOKUP(A338,[3]Sheet1!$B$11:$I$388,8,0)</f>
        <v>56 - 183</v>
      </c>
      <c r="Z338" s="99" t="s">
        <v>1787</v>
      </c>
      <c r="AA338" s="99" t="s">
        <v>2952</v>
      </c>
      <c r="AB338" s="100">
        <v>225953902</v>
      </c>
      <c r="AC338" s="99">
        <f>+VALUE(AB338:AB687)</f>
        <v>225953902</v>
      </c>
      <c r="AD338" s="99" t="s">
        <v>1421</v>
      </c>
      <c r="AE338" s="99" t="s">
        <v>2427</v>
      </c>
      <c r="AF338" s="347" t="s">
        <v>1422</v>
      </c>
      <c r="AG338" s="316" t="s">
        <v>1423</v>
      </c>
      <c r="AH338" s="251"/>
      <c r="AI338" s="251"/>
      <c r="AJ338" s="251"/>
      <c r="AK338" s="251"/>
      <c r="AL338" s="251" t="s">
        <v>3592</v>
      </c>
      <c r="AM338" s="251"/>
      <c r="AN338" s="251"/>
      <c r="AO338" s="251"/>
      <c r="AP338" s="251"/>
      <c r="AQ338" s="251"/>
      <c r="AR338" s="251"/>
      <c r="AS338" s="251" t="s">
        <v>2367</v>
      </c>
      <c r="AT338" s="251" t="s">
        <v>3491</v>
      </c>
      <c r="AU338" s="379"/>
      <c r="AV338" s="380"/>
    </row>
    <row r="339" spans="1:48" x14ac:dyDescent="0.25">
      <c r="A339" s="368" t="s">
        <v>259</v>
      </c>
      <c r="B339" s="396" t="s">
        <v>3542</v>
      </c>
      <c r="C339" s="248" t="s">
        <v>472</v>
      </c>
      <c r="D339" s="247">
        <v>28541</v>
      </c>
      <c r="E339" s="247">
        <f t="shared" si="51"/>
        <v>49360</v>
      </c>
      <c r="F339" s="97">
        <f t="shared" si="46"/>
        <v>49369</v>
      </c>
      <c r="G339" s="97">
        <v>49369</v>
      </c>
      <c r="H339" s="97">
        <v>36220</v>
      </c>
      <c r="I339" s="206" t="s">
        <v>2538</v>
      </c>
      <c r="J339" s="207" t="s">
        <v>287</v>
      </c>
      <c r="K339" s="118" t="s">
        <v>281</v>
      </c>
      <c r="L339" s="97">
        <v>41640</v>
      </c>
      <c r="M339" s="117"/>
      <c r="N339" s="210" t="s">
        <v>71</v>
      </c>
      <c r="O339" s="119">
        <v>1.49</v>
      </c>
      <c r="P339" s="119"/>
      <c r="Q339" s="99"/>
      <c r="R339" s="314">
        <f t="shared" si="47"/>
        <v>7047700</v>
      </c>
      <c r="S339" s="314">
        <f t="shared" si="49"/>
        <v>0</v>
      </c>
      <c r="T339" s="314">
        <f t="shared" si="53"/>
        <v>0</v>
      </c>
      <c r="U339" s="314">
        <f t="shared" si="52"/>
        <v>7047700</v>
      </c>
      <c r="V339" s="314">
        <f>+VLOOKUP(A339,[2]Sheet1!$B$11:$J$400,9,0)</f>
        <v>6198400</v>
      </c>
      <c r="W339" s="315" t="s">
        <v>1750</v>
      </c>
      <c r="X339" s="99" t="s">
        <v>1424</v>
      </c>
      <c r="Y339" s="99" t="str">
        <f>+VLOOKUP(A339,[3]Sheet1!$B$11:$I$388,8,0)</f>
        <v>56 - 046</v>
      </c>
      <c r="Z339" s="99" t="s">
        <v>1787</v>
      </c>
      <c r="AA339" s="99" t="s">
        <v>2953</v>
      </c>
      <c r="AB339" s="100" t="s">
        <v>1425</v>
      </c>
      <c r="AC339" s="99">
        <f>+VALUE(AB339:AB688)</f>
        <v>225084223</v>
      </c>
      <c r="AD339" s="99" t="s">
        <v>1426</v>
      </c>
      <c r="AE339" s="99" t="s">
        <v>2427</v>
      </c>
      <c r="AF339" s="347" t="s">
        <v>1427</v>
      </c>
      <c r="AG339" s="316" t="s">
        <v>674</v>
      </c>
      <c r="AH339" s="251"/>
      <c r="AI339" s="251"/>
      <c r="AJ339" s="251"/>
      <c r="AK339" s="251"/>
      <c r="AL339" s="251" t="s">
        <v>3592</v>
      </c>
      <c r="AM339" s="251"/>
      <c r="AN339" s="251"/>
      <c r="AO339" s="251"/>
      <c r="AP339" s="251"/>
      <c r="AQ339" s="251"/>
      <c r="AR339" s="251"/>
      <c r="AS339" s="251" t="s">
        <v>2368</v>
      </c>
      <c r="AT339" s="251" t="s">
        <v>3491</v>
      </c>
      <c r="AU339" s="379"/>
      <c r="AV339" s="380"/>
    </row>
    <row r="340" spans="1:48" x14ac:dyDescent="0.25">
      <c r="A340" s="370" t="s">
        <v>260</v>
      </c>
      <c r="B340" s="396" t="s">
        <v>3542</v>
      </c>
      <c r="C340" s="257" t="s">
        <v>473</v>
      </c>
      <c r="D340" s="256">
        <v>26990</v>
      </c>
      <c r="E340" s="256">
        <f t="shared" si="51"/>
        <v>47809</v>
      </c>
      <c r="F340" s="97">
        <f t="shared" si="46"/>
        <v>47818</v>
      </c>
      <c r="G340" s="97">
        <v>47818</v>
      </c>
      <c r="H340" s="97">
        <v>36982</v>
      </c>
      <c r="I340" s="206" t="s">
        <v>2538</v>
      </c>
      <c r="J340" s="207" t="s">
        <v>287</v>
      </c>
      <c r="K340" s="199" t="s">
        <v>281</v>
      </c>
      <c r="L340" s="97">
        <v>45505</v>
      </c>
      <c r="M340" s="117"/>
      <c r="N340" s="118" t="s">
        <v>74</v>
      </c>
      <c r="O340" s="119">
        <v>1.68</v>
      </c>
      <c r="P340" s="119"/>
      <c r="Q340" s="99"/>
      <c r="R340" s="314">
        <f t="shared" si="47"/>
        <v>7946400</v>
      </c>
      <c r="S340" s="314">
        <f t="shared" si="49"/>
        <v>0</v>
      </c>
      <c r="T340" s="314">
        <f t="shared" si="53"/>
        <v>0</v>
      </c>
      <c r="U340" s="314">
        <f t="shared" si="52"/>
        <v>7946400</v>
      </c>
      <c r="V340" s="314">
        <f>+VLOOKUP(A340,[2]Sheet1!$B$11:$J$400,9,0)</f>
        <v>6572800</v>
      </c>
      <c r="W340" s="315" t="s">
        <v>1751</v>
      </c>
      <c r="X340" s="99" t="s">
        <v>1428</v>
      </c>
      <c r="Y340" s="99" t="str">
        <f>+VLOOKUP(A340,[3]Sheet1!$B$11:$I$388,8,0)</f>
        <v>56 - 051</v>
      </c>
      <c r="Z340" s="99" t="s">
        <v>1787</v>
      </c>
      <c r="AA340" s="99" t="s">
        <v>2954</v>
      </c>
      <c r="AB340" s="100" t="s">
        <v>1429</v>
      </c>
      <c r="AC340" s="99">
        <f>+VALUE(AB340:AB689)</f>
        <v>225813337</v>
      </c>
      <c r="AD340" s="99" t="s">
        <v>1430</v>
      </c>
      <c r="AE340" s="99" t="s">
        <v>2427</v>
      </c>
      <c r="AF340" s="347" t="s">
        <v>1431</v>
      </c>
      <c r="AG340" s="316" t="s">
        <v>1432</v>
      </c>
      <c r="AH340" s="251"/>
      <c r="AI340" s="251"/>
      <c r="AJ340" s="251"/>
      <c r="AK340" s="251"/>
      <c r="AL340" s="251" t="s">
        <v>3592</v>
      </c>
      <c r="AM340" s="251"/>
      <c r="AN340" s="251"/>
      <c r="AO340" s="251"/>
      <c r="AP340" s="251"/>
      <c r="AQ340" s="251"/>
      <c r="AR340" s="251"/>
      <c r="AS340" s="251" t="s">
        <v>2369</v>
      </c>
      <c r="AT340" s="251" t="s">
        <v>3491</v>
      </c>
      <c r="AU340" s="379"/>
      <c r="AV340" s="380"/>
    </row>
    <row r="341" spans="1:48" x14ac:dyDescent="0.25">
      <c r="A341" s="354" t="s">
        <v>261</v>
      </c>
      <c r="B341" s="396" t="s">
        <v>3542</v>
      </c>
      <c r="C341" s="100" t="s">
        <v>474</v>
      </c>
      <c r="D341" s="97">
        <v>33531</v>
      </c>
      <c r="E341" s="97">
        <f t="shared" si="51"/>
        <v>54351</v>
      </c>
      <c r="F341" s="97">
        <f t="shared" si="46"/>
        <v>54363</v>
      </c>
      <c r="G341" s="97">
        <v>54363</v>
      </c>
      <c r="H341" s="97">
        <v>42309</v>
      </c>
      <c r="I341" s="206" t="s">
        <v>2538</v>
      </c>
      <c r="J341" s="207" t="s">
        <v>287</v>
      </c>
      <c r="K341" s="199" t="s">
        <v>281</v>
      </c>
      <c r="L341" s="97">
        <v>42370</v>
      </c>
      <c r="M341" s="117"/>
      <c r="N341" s="200" t="s">
        <v>71</v>
      </c>
      <c r="O341" s="119">
        <v>1.49</v>
      </c>
      <c r="P341" s="119"/>
      <c r="Q341" s="99"/>
      <c r="R341" s="314">
        <f t="shared" si="47"/>
        <v>7047700</v>
      </c>
      <c r="S341" s="314">
        <f t="shared" si="49"/>
        <v>0</v>
      </c>
      <c r="T341" s="314">
        <f t="shared" si="53"/>
        <v>0</v>
      </c>
      <c r="U341" s="314">
        <f t="shared" si="52"/>
        <v>7047700</v>
      </c>
      <c r="V341" s="314">
        <f>+VLOOKUP(A341,[2]Sheet1!$B$11:$J$400,9,0)</f>
        <v>6198400</v>
      </c>
      <c r="W341" s="315" t="s">
        <v>1752</v>
      </c>
      <c r="X341" s="99" t="s">
        <v>669</v>
      </c>
      <c r="Y341" s="99" t="str">
        <f>+VLOOKUP(A341,[3]Sheet1!$B$11:$I$388,8,0)</f>
        <v>54 - 016</v>
      </c>
      <c r="Z341" s="99" t="s">
        <v>1787</v>
      </c>
      <c r="AA341" s="99" t="s">
        <v>2955</v>
      </c>
      <c r="AB341" s="100">
        <v>221293773</v>
      </c>
      <c r="AC341" s="99">
        <f>+VALUE(AB341:AB690)</f>
        <v>221293773</v>
      </c>
      <c r="AD341" s="99" t="s">
        <v>1433</v>
      </c>
      <c r="AE341" s="99" t="s">
        <v>2427</v>
      </c>
      <c r="AF341" s="347" t="s">
        <v>1434</v>
      </c>
      <c r="AG341" s="316" t="s">
        <v>1435</v>
      </c>
      <c r="AH341" s="251"/>
      <c r="AI341" s="251"/>
      <c r="AJ341" s="251"/>
      <c r="AK341" s="251" t="s">
        <v>3585</v>
      </c>
      <c r="AL341" s="251"/>
      <c r="AM341" s="251"/>
      <c r="AN341" s="251"/>
      <c r="AO341" s="251"/>
      <c r="AP341" s="251"/>
      <c r="AQ341" s="251"/>
      <c r="AR341" s="251"/>
      <c r="AS341" s="251" t="s">
        <v>2370</v>
      </c>
      <c r="AT341" s="251" t="s">
        <v>3491</v>
      </c>
      <c r="AU341" s="379"/>
      <c r="AV341" s="380"/>
    </row>
    <row r="342" spans="1:48" x14ac:dyDescent="0.25">
      <c r="A342" s="354" t="s">
        <v>263</v>
      </c>
      <c r="B342" s="396" t="s">
        <v>3542</v>
      </c>
      <c r="C342" s="100" t="s">
        <v>638</v>
      </c>
      <c r="D342" s="97">
        <v>34546</v>
      </c>
      <c r="E342" s="97">
        <f t="shared" si="51"/>
        <v>55365</v>
      </c>
      <c r="F342" s="97">
        <f t="shared" si="46"/>
        <v>55366</v>
      </c>
      <c r="G342" s="97">
        <v>55366</v>
      </c>
      <c r="H342" s="97">
        <v>41671</v>
      </c>
      <c r="I342" s="206" t="s">
        <v>2538</v>
      </c>
      <c r="J342" s="207" t="s">
        <v>287</v>
      </c>
      <c r="K342" s="118" t="s">
        <v>281</v>
      </c>
      <c r="L342" s="97">
        <v>43191</v>
      </c>
      <c r="M342" s="117"/>
      <c r="N342" s="238" t="s">
        <v>71</v>
      </c>
      <c r="O342" s="118">
        <v>1.49</v>
      </c>
      <c r="P342" s="119">
        <v>0.04</v>
      </c>
      <c r="Q342" s="99"/>
      <c r="R342" s="314">
        <f t="shared" si="47"/>
        <v>7047700</v>
      </c>
      <c r="S342" s="314">
        <f t="shared" si="49"/>
        <v>176400</v>
      </c>
      <c r="T342" s="314">
        <f t="shared" si="53"/>
        <v>0</v>
      </c>
      <c r="U342" s="314">
        <f t="shared" si="52"/>
        <v>7224100</v>
      </c>
      <c r="V342" s="314">
        <f>+VLOOKUP(A342,[2]Sheet1!$B$11:$J$400,9,0)</f>
        <v>6198400</v>
      </c>
      <c r="W342" s="315" t="s">
        <v>1783</v>
      </c>
      <c r="X342" s="99" t="s">
        <v>669</v>
      </c>
      <c r="Y342" s="99" t="str">
        <f>+VLOOKUP(A342,[3]Sheet1!$B$11:$I$388,8,0)</f>
        <v>56 - 183</v>
      </c>
      <c r="Z342" s="99" t="s">
        <v>1787</v>
      </c>
      <c r="AA342" s="99" t="s">
        <v>2957</v>
      </c>
      <c r="AB342" s="223" t="s">
        <v>640</v>
      </c>
      <c r="AC342" s="99">
        <f>+VALUE(AB342:AB692)</f>
        <v>225480924</v>
      </c>
      <c r="AD342" s="205" t="s">
        <v>639</v>
      </c>
      <c r="AE342" s="99" t="s">
        <v>2427</v>
      </c>
      <c r="AF342" s="347" t="s">
        <v>641</v>
      </c>
      <c r="AG342" s="316" t="s">
        <v>672</v>
      </c>
      <c r="AH342" s="251"/>
      <c r="AI342" s="251"/>
      <c r="AJ342" s="251"/>
      <c r="AK342" s="251"/>
      <c r="AL342" s="251"/>
      <c r="AM342" s="251"/>
      <c r="AN342" s="251"/>
      <c r="AO342" s="251"/>
      <c r="AP342" s="251"/>
      <c r="AQ342" s="251"/>
      <c r="AR342" s="251"/>
      <c r="AS342" s="251" t="s">
        <v>2372</v>
      </c>
      <c r="AT342" s="251" t="s">
        <v>3491</v>
      </c>
      <c r="AU342" s="379"/>
      <c r="AV342" s="380"/>
    </row>
    <row r="343" spans="1:48" x14ac:dyDescent="0.25">
      <c r="A343" s="361" t="s">
        <v>1995</v>
      </c>
      <c r="B343" s="396" t="s">
        <v>3542</v>
      </c>
      <c r="C343" s="100" t="s">
        <v>1996</v>
      </c>
      <c r="D343" s="205">
        <v>34678</v>
      </c>
      <c r="E343" s="97">
        <f t="shared" si="51"/>
        <v>55497</v>
      </c>
      <c r="F343" s="97">
        <f t="shared" si="46"/>
        <v>55519</v>
      </c>
      <c r="G343" s="97">
        <v>55519</v>
      </c>
      <c r="H343" s="97">
        <v>43739</v>
      </c>
      <c r="I343" s="206" t="s">
        <v>2538</v>
      </c>
      <c r="J343" s="207" t="s">
        <v>287</v>
      </c>
      <c r="K343" s="118" t="s">
        <v>281</v>
      </c>
      <c r="L343" s="97">
        <v>45839</v>
      </c>
      <c r="M343" s="117"/>
      <c r="N343" s="238" t="s">
        <v>71</v>
      </c>
      <c r="O343" s="119">
        <v>1.49</v>
      </c>
      <c r="P343" s="119"/>
      <c r="Q343" s="99"/>
      <c r="R343" s="314">
        <f t="shared" si="47"/>
        <v>7047700</v>
      </c>
      <c r="S343" s="314">
        <f t="shared" si="49"/>
        <v>0</v>
      </c>
      <c r="T343" s="314">
        <f t="shared" si="53"/>
        <v>0</v>
      </c>
      <c r="U343" s="314">
        <f t="shared" si="52"/>
        <v>7047700</v>
      </c>
      <c r="V343" s="314">
        <f>+VLOOKUP(A343,[2]Sheet1!$B$11:$J$400,9,0)</f>
        <v>5865600</v>
      </c>
      <c r="W343" s="315" t="s">
        <v>2001</v>
      </c>
      <c r="X343" s="99"/>
      <c r="Y343" s="99" t="str">
        <f>+VLOOKUP(A343,[3]Sheet1!$B$11:$I$388,8,0)</f>
        <v>56 - 173</v>
      </c>
      <c r="Z343" s="99" t="s">
        <v>1787</v>
      </c>
      <c r="AA343" s="99" t="s">
        <v>2959</v>
      </c>
      <c r="AB343" s="100" t="s">
        <v>1997</v>
      </c>
      <c r="AC343" s="99">
        <f>+VALUE(AB343:AB695)</f>
        <v>225483953</v>
      </c>
      <c r="AD343" s="201" t="s">
        <v>1998</v>
      </c>
      <c r="AE343" s="99" t="s">
        <v>2427</v>
      </c>
      <c r="AF343" s="347" t="s">
        <v>1999</v>
      </c>
      <c r="AG343" s="251" t="s">
        <v>2000</v>
      </c>
      <c r="AH343" s="251"/>
      <c r="AI343" s="251"/>
      <c r="AJ343" s="251"/>
      <c r="AK343" s="251" t="s">
        <v>3610</v>
      </c>
      <c r="AL343" s="251"/>
      <c r="AM343" s="251"/>
      <c r="AN343" s="251"/>
      <c r="AO343" s="251"/>
      <c r="AP343" s="247">
        <v>43570</v>
      </c>
      <c r="AQ343" s="251"/>
      <c r="AR343" s="247">
        <v>44301</v>
      </c>
      <c r="AS343" s="251" t="s">
        <v>2374</v>
      </c>
      <c r="AT343" s="251" t="s">
        <v>3491</v>
      </c>
      <c r="AU343" s="379"/>
      <c r="AV343" s="380"/>
    </row>
    <row r="344" spans="1:48" x14ac:dyDescent="0.25">
      <c r="A344" s="361" t="s">
        <v>1905</v>
      </c>
      <c r="B344" s="396" t="s">
        <v>3542</v>
      </c>
      <c r="C344" s="100" t="s">
        <v>1906</v>
      </c>
      <c r="D344" s="97">
        <v>34427</v>
      </c>
      <c r="E344" s="97">
        <f t="shared" si="51"/>
        <v>55246</v>
      </c>
      <c r="F344" s="97">
        <f t="shared" si="46"/>
        <v>55274</v>
      </c>
      <c r="G344" s="97">
        <v>55274</v>
      </c>
      <c r="H344" s="97">
        <v>43556</v>
      </c>
      <c r="I344" s="206" t="s">
        <v>2538</v>
      </c>
      <c r="J344" s="207" t="s">
        <v>287</v>
      </c>
      <c r="K344" s="118" t="s">
        <v>281</v>
      </c>
      <c r="L344" s="97">
        <v>43570</v>
      </c>
      <c r="M344" s="117"/>
      <c r="N344" s="118" t="s">
        <v>72</v>
      </c>
      <c r="O344" s="119">
        <v>1.41</v>
      </c>
      <c r="P344" s="119"/>
      <c r="Q344" s="99"/>
      <c r="R344" s="314">
        <f t="shared" si="47"/>
        <v>6669300</v>
      </c>
      <c r="S344" s="314">
        <f t="shared" si="49"/>
        <v>0</v>
      </c>
      <c r="T344" s="314">
        <f t="shared" si="53"/>
        <v>0</v>
      </c>
      <c r="U344" s="314">
        <f t="shared" si="52"/>
        <v>6669300</v>
      </c>
      <c r="V344" s="314">
        <f>+VLOOKUP(A344,[2]Sheet1!$B$11:$J$400,9,0)</f>
        <v>5865600</v>
      </c>
      <c r="W344" s="315" t="s">
        <v>1958</v>
      </c>
      <c r="X344" s="99" t="s">
        <v>669</v>
      </c>
      <c r="Y344" s="99" t="str">
        <f>+VLOOKUP(A344,[3]Sheet1!$B$11:$I$388,8,0)</f>
        <v>56 - 183</v>
      </c>
      <c r="Z344" s="99" t="s">
        <v>1787</v>
      </c>
      <c r="AA344" s="99" t="s">
        <v>2960</v>
      </c>
      <c r="AB344" s="100" t="s">
        <v>1941</v>
      </c>
      <c r="AC344" s="99">
        <f>+VALUE(AB344:AB696)</f>
        <v>225806026</v>
      </c>
      <c r="AD344" s="205" t="s">
        <v>1942</v>
      </c>
      <c r="AE344" s="99" t="s">
        <v>2427</v>
      </c>
      <c r="AF344" s="347" t="s">
        <v>1911</v>
      </c>
      <c r="AG344" s="251" t="s">
        <v>1945</v>
      </c>
      <c r="AH344" s="251"/>
      <c r="AI344" s="251"/>
      <c r="AJ344" s="251" t="s">
        <v>3605</v>
      </c>
      <c r="AK344" s="251"/>
      <c r="AL344" s="251"/>
      <c r="AM344" s="251"/>
      <c r="AN344" s="251"/>
      <c r="AO344" s="251"/>
      <c r="AP344" s="247">
        <v>44165</v>
      </c>
      <c r="AQ344" s="251"/>
      <c r="AR344" s="247">
        <v>44896</v>
      </c>
      <c r="AS344" s="251" t="s">
        <v>2375</v>
      </c>
      <c r="AT344" s="251" t="s">
        <v>3491</v>
      </c>
      <c r="AU344" s="379"/>
      <c r="AV344" s="380"/>
    </row>
    <row r="345" spans="1:48" x14ac:dyDescent="0.25">
      <c r="A345" s="361" t="s">
        <v>2606</v>
      </c>
      <c r="B345" s="396" t="s">
        <v>3542</v>
      </c>
      <c r="C345" s="100" t="s">
        <v>2607</v>
      </c>
      <c r="D345" s="97">
        <v>34051</v>
      </c>
      <c r="E345" s="97">
        <f t="shared" si="51"/>
        <v>54870</v>
      </c>
      <c r="F345" s="97">
        <f t="shared" si="46"/>
        <v>54879</v>
      </c>
      <c r="G345" s="97">
        <v>54879</v>
      </c>
      <c r="H345" s="97">
        <v>44896</v>
      </c>
      <c r="I345" s="206" t="s">
        <v>2538</v>
      </c>
      <c r="J345" s="207" t="s">
        <v>287</v>
      </c>
      <c r="K345" s="118" t="s">
        <v>281</v>
      </c>
      <c r="L345" s="97">
        <v>44927</v>
      </c>
      <c r="M345" s="117"/>
      <c r="N345" s="118" t="s">
        <v>72</v>
      </c>
      <c r="O345" s="119">
        <v>1.41</v>
      </c>
      <c r="P345" s="119"/>
      <c r="Q345" s="99"/>
      <c r="R345" s="314">
        <f t="shared" si="47"/>
        <v>6669300</v>
      </c>
      <c r="S345" s="314">
        <f t="shared" si="49"/>
        <v>0</v>
      </c>
      <c r="T345" s="314">
        <f t="shared" si="53"/>
        <v>0</v>
      </c>
      <c r="U345" s="314">
        <f t="shared" si="52"/>
        <v>6669300</v>
      </c>
      <c r="V345" s="314">
        <f>+VLOOKUP(A345,[2]Sheet1!$B$11:$J$400,9,0)</f>
        <v>5865600</v>
      </c>
      <c r="W345" s="315" t="s">
        <v>2721</v>
      </c>
      <c r="X345" s="99"/>
      <c r="Y345" s="99" t="str">
        <f>+VLOOKUP(A345,[3]Sheet1!$B$11:$I$388,8,0)</f>
        <v>56 - 183</v>
      </c>
      <c r="Z345" s="99" t="s">
        <v>1787</v>
      </c>
      <c r="AA345" s="99" t="s">
        <v>2608</v>
      </c>
      <c r="AB345" s="193" t="s">
        <v>2608</v>
      </c>
      <c r="AC345" s="99">
        <f>+VALUE(AB345:AB698)</f>
        <v>56093007660</v>
      </c>
      <c r="AD345" s="205" t="s">
        <v>2609</v>
      </c>
      <c r="AE345" s="99" t="s">
        <v>2427</v>
      </c>
      <c r="AF345" s="55" t="s">
        <v>2610</v>
      </c>
      <c r="AG345" s="251" t="s">
        <v>2611</v>
      </c>
      <c r="AH345" s="251"/>
      <c r="AI345" s="251"/>
      <c r="AJ345" s="251"/>
      <c r="AK345" s="251"/>
      <c r="AL345" s="251" t="s">
        <v>3603</v>
      </c>
      <c r="AM345" s="247">
        <v>44896</v>
      </c>
      <c r="AN345" s="251"/>
      <c r="AO345" s="251"/>
      <c r="AP345" s="247">
        <v>44927</v>
      </c>
      <c r="AQ345" s="251"/>
      <c r="AR345" s="251"/>
      <c r="AS345" s="321" t="s">
        <v>2612</v>
      </c>
      <c r="AT345" s="251" t="s">
        <v>3491</v>
      </c>
      <c r="AU345" s="379"/>
      <c r="AV345" s="380"/>
    </row>
    <row r="346" spans="1:48" s="170" customFormat="1" x14ac:dyDescent="0.25">
      <c r="A346" s="366" t="s">
        <v>1824</v>
      </c>
      <c r="B346" s="396" t="s">
        <v>3542</v>
      </c>
      <c r="C346" s="214" t="s">
        <v>419</v>
      </c>
      <c r="D346" s="211">
        <v>32046</v>
      </c>
      <c r="E346" s="97">
        <f t="shared" si="51"/>
        <v>52866</v>
      </c>
      <c r="F346" s="97">
        <f t="shared" si="46"/>
        <v>52871</v>
      </c>
      <c r="G346" s="97">
        <v>52871</v>
      </c>
      <c r="H346" s="211">
        <v>40848</v>
      </c>
      <c r="I346" s="206" t="s">
        <v>2538</v>
      </c>
      <c r="J346" s="207" t="s">
        <v>287</v>
      </c>
      <c r="K346" s="207" t="s">
        <v>281</v>
      </c>
      <c r="L346" s="211">
        <v>43405</v>
      </c>
      <c r="M346" s="217"/>
      <c r="N346" s="200" t="s">
        <v>71</v>
      </c>
      <c r="O346" s="119">
        <v>1.49</v>
      </c>
      <c r="P346" s="218"/>
      <c r="Q346" s="213"/>
      <c r="R346" s="314">
        <f t="shared" si="47"/>
        <v>7047700</v>
      </c>
      <c r="S346" s="314">
        <f t="shared" si="49"/>
        <v>0</v>
      </c>
      <c r="T346" s="314">
        <f t="shared" si="53"/>
        <v>0</v>
      </c>
      <c r="U346" s="314">
        <f t="shared" si="52"/>
        <v>7047700</v>
      </c>
      <c r="V346" s="314">
        <f>+VLOOKUP(A346,[2]Sheet1!$B$11:$J$400,9,0)</f>
        <v>6198400</v>
      </c>
      <c r="W346" s="315" t="s">
        <v>1883</v>
      </c>
      <c r="X346" s="99" t="s">
        <v>618</v>
      </c>
      <c r="Y346" s="99" t="str">
        <f>+VLOOKUP(A346,[3]Sheet1!$B$11:$I$388,8,0)</f>
        <v>56 - 158</v>
      </c>
      <c r="Z346" s="99" t="s">
        <v>1787</v>
      </c>
      <c r="AA346" s="99" t="s">
        <v>2932</v>
      </c>
      <c r="AB346" s="214" t="s">
        <v>1825</v>
      </c>
      <c r="AC346" s="99">
        <f>+VALUE(AB301:AB661)</f>
        <v>225264579</v>
      </c>
      <c r="AD346" s="259" t="s">
        <v>1826</v>
      </c>
      <c r="AE346" s="213" t="s">
        <v>2427</v>
      </c>
      <c r="AF346" s="350" t="s">
        <v>1827</v>
      </c>
      <c r="AG346" s="334" t="s">
        <v>672</v>
      </c>
      <c r="AH346" s="335"/>
      <c r="AI346" s="335"/>
      <c r="AJ346" s="335" t="s">
        <v>3605</v>
      </c>
      <c r="AK346" s="335"/>
      <c r="AL346" s="335"/>
      <c r="AM346" s="335"/>
      <c r="AN346" s="335"/>
      <c r="AO346" s="335"/>
      <c r="AP346" s="336">
        <v>44012</v>
      </c>
      <c r="AQ346" s="335"/>
      <c r="AR346" s="336">
        <v>44743</v>
      </c>
      <c r="AS346" s="251" t="s">
        <v>2345</v>
      </c>
      <c r="AT346" s="251" t="s">
        <v>3491</v>
      </c>
      <c r="AU346" s="381"/>
      <c r="AV346" s="382"/>
    </row>
    <row r="347" spans="1:48" x14ac:dyDescent="0.25">
      <c r="A347" s="354" t="s">
        <v>3119</v>
      </c>
      <c r="B347" s="396" t="s">
        <v>3542</v>
      </c>
      <c r="C347" s="100" t="s">
        <v>3120</v>
      </c>
      <c r="D347" s="97">
        <v>33467</v>
      </c>
      <c r="E347" s="97">
        <f t="shared" si="51"/>
        <v>54287</v>
      </c>
      <c r="F347" s="97">
        <f t="shared" si="46"/>
        <v>54302</v>
      </c>
      <c r="G347" s="97">
        <v>54302</v>
      </c>
      <c r="H347" s="97">
        <v>45383</v>
      </c>
      <c r="I347" s="206" t="s">
        <v>2538</v>
      </c>
      <c r="J347" s="207" t="s">
        <v>287</v>
      </c>
      <c r="K347" s="118" t="s">
        <v>281</v>
      </c>
      <c r="L347" s="97">
        <v>45383</v>
      </c>
      <c r="M347" s="117"/>
      <c r="N347" s="118" t="s">
        <v>72</v>
      </c>
      <c r="O347" s="119">
        <v>1.41</v>
      </c>
      <c r="P347" s="119"/>
      <c r="Q347" s="99"/>
      <c r="R347" s="314">
        <f t="shared" si="47"/>
        <v>6669300</v>
      </c>
      <c r="S347" s="314">
        <f t="shared" si="49"/>
        <v>0</v>
      </c>
      <c r="T347" s="314">
        <f t="shared" si="53"/>
        <v>0</v>
      </c>
      <c r="U347" s="314">
        <f t="shared" si="52"/>
        <v>6669300</v>
      </c>
      <c r="V347" s="314">
        <f>+VLOOKUP(A347,[2]Sheet1!$B$11:$J$400,9,0)</f>
        <v>5865600</v>
      </c>
      <c r="W347" s="315" t="s">
        <v>3235</v>
      </c>
      <c r="X347" s="99"/>
      <c r="Y347" s="99" t="e">
        <f>+VLOOKUP(A347,[3]Sheet1!$B$11:$I$388,8,0)</f>
        <v>#N/A</v>
      </c>
      <c r="Z347" s="99" t="s">
        <v>1787</v>
      </c>
      <c r="AA347" s="201" t="s">
        <v>3121</v>
      </c>
      <c r="AB347" s="100"/>
      <c r="AC347" s="99"/>
      <c r="AD347" s="205" t="s">
        <v>2517</v>
      </c>
      <c r="AE347" s="99" t="s">
        <v>2427</v>
      </c>
      <c r="AF347" s="347" t="s">
        <v>3122</v>
      </c>
      <c r="AG347" s="316"/>
      <c r="AH347" s="251"/>
      <c r="AI347" s="251"/>
      <c r="AJ347" s="251"/>
      <c r="AK347" s="251"/>
      <c r="AL347" s="321" t="s">
        <v>3025</v>
      </c>
      <c r="AM347" s="247">
        <v>45383</v>
      </c>
      <c r="AN347" s="251"/>
      <c r="AO347" s="251"/>
      <c r="AP347" s="251"/>
      <c r="AQ347" s="251"/>
      <c r="AR347" s="251"/>
      <c r="AS347" s="321" t="s">
        <v>3123</v>
      </c>
      <c r="AT347" s="251" t="s">
        <v>3491</v>
      </c>
      <c r="AU347" s="379"/>
      <c r="AV347" s="380"/>
    </row>
    <row r="348" spans="1:48" x14ac:dyDescent="0.25">
      <c r="A348" s="354" t="s">
        <v>3300</v>
      </c>
      <c r="B348" s="396" t="s">
        <v>3542</v>
      </c>
      <c r="C348" s="100" t="s">
        <v>3301</v>
      </c>
      <c r="D348" s="97">
        <v>37478</v>
      </c>
      <c r="E348" s="97">
        <f t="shared" si="51"/>
        <v>58297</v>
      </c>
      <c r="F348" s="97">
        <f t="shared" si="46"/>
        <v>58319</v>
      </c>
      <c r="G348" s="97">
        <v>54303</v>
      </c>
      <c r="H348" s="97">
        <v>45689</v>
      </c>
      <c r="I348" s="206" t="s">
        <v>2538</v>
      </c>
      <c r="J348" s="207" t="s">
        <v>287</v>
      </c>
      <c r="K348" s="118" t="s">
        <v>281</v>
      </c>
      <c r="L348" s="97">
        <v>45689</v>
      </c>
      <c r="M348" s="117"/>
      <c r="N348" s="118" t="s">
        <v>72</v>
      </c>
      <c r="O348" s="119">
        <v>1.41</v>
      </c>
      <c r="P348" s="119"/>
      <c r="Q348" s="99"/>
      <c r="R348" s="314">
        <f t="shared" si="47"/>
        <v>6669300</v>
      </c>
      <c r="S348" s="314">
        <f t="shared" si="49"/>
        <v>0</v>
      </c>
      <c r="T348" s="314">
        <f t="shared" si="53"/>
        <v>0</v>
      </c>
      <c r="U348" s="314">
        <f t="shared" si="52"/>
        <v>6669300</v>
      </c>
      <c r="V348" s="314"/>
      <c r="W348" s="319">
        <v>5620821918</v>
      </c>
      <c r="X348" s="99" t="s">
        <v>3335</v>
      </c>
      <c r="Y348" s="99"/>
      <c r="Z348" s="99" t="s">
        <v>1787</v>
      </c>
      <c r="AA348" s="223" t="s">
        <v>3318</v>
      </c>
      <c r="AB348" s="100"/>
      <c r="AC348" s="99"/>
      <c r="AD348" s="205"/>
      <c r="AE348" s="99" t="s">
        <v>2427</v>
      </c>
      <c r="AF348" s="347" t="s">
        <v>1395</v>
      </c>
      <c r="AG348" s="316"/>
      <c r="AH348" s="251"/>
      <c r="AI348" s="251" t="s">
        <v>3669</v>
      </c>
      <c r="AJ348" s="251"/>
      <c r="AK348" s="251"/>
      <c r="AL348" s="321"/>
      <c r="AM348" s="247">
        <v>45658</v>
      </c>
      <c r="AN348" s="251"/>
      <c r="AO348" s="251"/>
      <c r="AP348" s="251"/>
      <c r="AQ348" s="251"/>
      <c r="AR348" s="251"/>
      <c r="AS348" s="321"/>
      <c r="AT348" s="251" t="s">
        <v>3491</v>
      </c>
      <c r="AU348" s="379"/>
      <c r="AV348" s="380"/>
    </row>
    <row r="349" spans="1:48" x14ac:dyDescent="0.25">
      <c r="A349" s="354" t="s">
        <v>3424</v>
      </c>
      <c r="B349" s="396" t="s">
        <v>3542</v>
      </c>
      <c r="C349" s="100" t="s">
        <v>3434</v>
      </c>
      <c r="D349" s="97">
        <v>38886</v>
      </c>
      <c r="E349" s="97">
        <f t="shared" si="51"/>
        <v>59705</v>
      </c>
      <c r="F349" s="97">
        <f t="shared" ref="F349:F398" si="54">+EOMONTH(E349,0)+1</f>
        <v>59718</v>
      </c>
      <c r="G349" s="97">
        <v>59718</v>
      </c>
      <c r="H349" s="97">
        <v>45839</v>
      </c>
      <c r="I349" s="206" t="s">
        <v>2538</v>
      </c>
      <c r="J349" s="207" t="s">
        <v>287</v>
      </c>
      <c r="K349" s="118" t="s">
        <v>281</v>
      </c>
      <c r="L349" s="97">
        <v>45839</v>
      </c>
      <c r="M349" s="117"/>
      <c r="N349" s="118" t="s">
        <v>73</v>
      </c>
      <c r="O349" s="119">
        <v>1.33</v>
      </c>
      <c r="P349" s="119"/>
      <c r="Q349" s="99"/>
      <c r="R349" s="314">
        <f t="shared" si="47"/>
        <v>6290900</v>
      </c>
      <c r="S349" s="314">
        <f t="shared" si="49"/>
        <v>0</v>
      </c>
      <c r="T349" s="314">
        <f t="shared" si="53"/>
        <v>0</v>
      </c>
      <c r="U349" s="314">
        <f t="shared" si="52"/>
        <v>6290900</v>
      </c>
      <c r="V349" s="314"/>
      <c r="W349" s="319">
        <v>5621427883</v>
      </c>
      <c r="X349" s="99" t="s">
        <v>3335</v>
      </c>
      <c r="Y349" s="99"/>
      <c r="Z349" s="99" t="s">
        <v>1787</v>
      </c>
      <c r="AA349" s="223" t="s">
        <v>3425</v>
      </c>
      <c r="AB349" s="100"/>
      <c r="AC349" s="99"/>
      <c r="AD349" s="205"/>
      <c r="AE349" s="99" t="s">
        <v>2427</v>
      </c>
      <c r="AF349" s="347" t="s">
        <v>3426</v>
      </c>
      <c r="AG349" s="316"/>
      <c r="AH349" s="251"/>
      <c r="AI349" s="251"/>
      <c r="AJ349" s="251"/>
      <c r="AK349" s="251"/>
      <c r="AL349" s="321" t="s">
        <v>3025</v>
      </c>
      <c r="AM349" s="247"/>
      <c r="AN349" s="251"/>
      <c r="AO349" s="247">
        <v>45839</v>
      </c>
      <c r="AP349" s="251"/>
      <c r="AQ349" s="251"/>
      <c r="AR349" s="251"/>
      <c r="AS349" s="321"/>
      <c r="AT349" s="251" t="s">
        <v>3491</v>
      </c>
      <c r="AU349" s="379"/>
      <c r="AV349" s="380"/>
    </row>
    <row r="350" spans="1:48" x14ac:dyDescent="0.25">
      <c r="A350" s="366" t="s">
        <v>681</v>
      </c>
      <c r="B350" s="396" t="s">
        <v>3542</v>
      </c>
      <c r="C350" s="100" t="s">
        <v>477</v>
      </c>
      <c r="D350" s="97">
        <v>27391</v>
      </c>
      <c r="E350" s="97">
        <f t="shared" si="51"/>
        <v>48210</v>
      </c>
      <c r="F350" s="97">
        <f t="shared" si="54"/>
        <v>48214</v>
      </c>
      <c r="G350" s="97">
        <v>48214</v>
      </c>
      <c r="H350" s="97">
        <v>35370</v>
      </c>
      <c r="I350" s="197" t="s">
        <v>1860</v>
      </c>
      <c r="J350" s="207" t="s">
        <v>287</v>
      </c>
      <c r="K350" s="118" t="s">
        <v>281</v>
      </c>
      <c r="L350" s="97">
        <v>42309</v>
      </c>
      <c r="M350" s="117"/>
      <c r="N350" s="238" t="s">
        <v>74</v>
      </c>
      <c r="O350" s="118">
        <v>1.68</v>
      </c>
      <c r="P350" s="119"/>
      <c r="Q350" s="99">
        <v>0.2</v>
      </c>
      <c r="R350" s="314">
        <f t="shared" si="47"/>
        <v>7946400</v>
      </c>
      <c r="S350" s="314">
        <f t="shared" si="49"/>
        <v>0</v>
      </c>
      <c r="T350" s="314">
        <f t="shared" si="53"/>
        <v>468000</v>
      </c>
      <c r="U350" s="314">
        <f t="shared" si="52"/>
        <v>8414400</v>
      </c>
      <c r="V350" s="314">
        <f>+VLOOKUP(A350,[2]Sheet1!$B$11:$J$400,9,0)</f>
        <v>7348800</v>
      </c>
      <c r="W350" s="315" t="s">
        <v>1757</v>
      </c>
      <c r="X350" s="99" t="s">
        <v>1443</v>
      </c>
      <c r="Y350" s="99" t="str">
        <f>+VLOOKUP(A350,[3]Sheet1!$B$11:$I$388,8,0)</f>
        <v>52 - 008</v>
      </c>
      <c r="Z350" s="99" t="s">
        <v>1787</v>
      </c>
      <c r="AA350" s="99" t="s">
        <v>2963</v>
      </c>
      <c r="AB350" s="100">
        <v>220915699</v>
      </c>
      <c r="AC350" s="99">
        <f t="shared" ref="AC350:AC357" si="55">+VALUE(AB350:AB700)</f>
        <v>220915699</v>
      </c>
      <c r="AD350" s="99" t="s">
        <v>1446</v>
      </c>
      <c r="AE350" s="99" t="s">
        <v>2427</v>
      </c>
      <c r="AF350" s="347" t="s">
        <v>1447</v>
      </c>
      <c r="AG350" s="316" t="s">
        <v>1299</v>
      </c>
      <c r="AH350" s="251"/>
      <c r="AI350" s="251"/>
      <c r="AJ350" s="251"/>
      <c r="AK350" s="251" t="s">
        <v>3585</v>
      </c>
      <c r="AL350" s="251"/>
      <c r="AM350" s="251"/>
      <c r="AN350" s="251"/>
      <c r="AO350" s="251"/>
      <c r="AP350" s="251"/>
      <c r="AQ350" s="251"/>
      <c r="AR350" s="251"/>
      <c r="AS350" s="251" t="s">
        <v>2376</v>
      </c>
      <c r="AT350" s="251" t="s">
        <v>3491</v>
      </c>
      <c r="AU350" s="379"/>
      <c r="AV350" s="380"/>
    </row>
    <row r="351" spans="1:48" x14ac:dyDescent="0.25">
      <c r="A351" s="364" t="s">
        <v>265</v>
      </c>
      <c r="B351" s="396" t="s">
        <v>3542</v>
      </c>
      <c r="C351" s="100" t="s">
        <v>478</v>
      </c>
      <c r="D351" s="97">
        <v>31948</v>
      </c>
      <c r="E351" s="97">
        <f t="shared" si="51"/>
        <v>52768</v>
      </c>
      <c r="F351" s="97">
        <f t="shared" si="54"/>
        <v>52779</v>
      </c>
      <c r="G351" s="97">
        <v>52779</v>
      </c>
      <c r="H351" s="97">
        <v>40330</v>
      </c>
      <c r="I351" s="197" t="s">
        <v>1860</v>
      </c>
      <c r="J351" s="207" t="s">
        <v>287</v>
      </c>
      <c r="K351" s="118" t="s">
        <v>281</v>
      </c>
      <c r="L351" s="97">
        <v>42370</v>
      </c>
      <c r="M351" s="204"/>
      <c r="N351" s="200" t="s">
        <v>71</v>
      </c>
      <c r="O351" s="119">
        <v>1.49</v>
      </c>
      <c r="P351" s="119"/>
      <c r="Q351" s="99">
        <v>0.2</v>
      </c>
      <c r="R351" s="314">
        <f t="shared" si="47"/>
        <v>7047700</v>
      </c>
      <c r="S351" s="314">
        <f t="shared" si="49"/>
        <v>0</v>
      </c>
      <c r="T351" s="314">
        <f t="shared" si="53"/>
        <v>468000</v>
      </c>
      <c r="U351" s="314">
        <f t="shared" si="52"/>
        <v>7515700</v>
      </c>
      <c r="V351" s="314">
        <f>+VLOOKUP(A351,[2]Sheet1!$B$11:$J$400,9,0)</f>
        <v>6558400</v>
      </c>
      <c r="W351" s="315" t="s">
        <v>1758</v>
      </c>
      <c r="X351" s="99" t="s">
        <v>1443</v>
      </c>
      <c r="Y351" s="99" t="str">
        <f>+VLOOKUP(A351,[3]Sheet1!$B$11:$I$388,8,0)</f>
        <v>52 - 008</v>
      </c>
      <c r="Z351" s="99" t="s">
        <v>1787</v>
      </c>
      <c r="AA351" s="99" t="s">
        <v>2964</v>
      </c>
      <c r="AB351" s="100">
        <v>215043243</v>
      </c>
      <c r="AC351" s="99">
        <f t="shared" si="55"/>
        <v>215043243</v>
      </c>
      <c r="AD351" s="99" t="s">
        <v>1448</v>
      </c>
      <c r="AE351" s="99" t="s">
        <v>2427</v>
      </c>
      <c r="AF351" s="347" t="s">
        <v>1449</v>
      </c>
      <c r="AG351" s="316" t="s">
        <v>1449</v>
      </c>
      <c r="AH351" s="251"/>
      <c r="AI351" s="251"/>
      <c r="AJ351" s="251"/>
      <c r="AK351" s="251" t="s">
        <v>3585</v>
      </c>
      <c r="AL351" s="251" t="s">
        <v>3592</v>
      </c>
      <c r="AM351" s="251"/>
      <c r="AN351" s="251"/>
      <c r="AO351" s="251"/>
      <c r="AP351" s="251"/>
      <c r="AQ351" s="251"/>
      <c r="AR351" s="251"/>
      <c r="AS351" s="251" t="s">
        <v>2377</v>
      </c>
      <c r="AT351" s="251" t="s">
        <v>3491</v>
      </c>
      <c r="AU351" s="379"/>
      <c r="AV351" s="380"/>
    </row>
    <row r="352" spans="1:48" x14ac:dyDescent="0.25">
      <c r="A352" s="364" t="s">
        <v>266</v>
      </c>
      <c r="B352" s="396" t="s">
        <v>3542</v>
      </c>
      <c r="C352" s="100" t="s">
        <v>479</v>
      </c>
      <c r="D352" s="97">
        <v>33289</v>
      </c>
      <c r="E352" s="97">
        <f t="shared" si="51"/>
        <v>54108</v>
      </c>
      <c r="F352" s="97">
        <f t="shared" si="54"/>
        <v>54118</v>
      </c>
      <c r="G352" s="97">
        <v>54118</v>
      </c>
      <c r="H352" s="97">
        <v>41671</v>
      </c>
      <c r="I352" s="197" t="s">
        <v>1860</v>
      </c>
      <c r="J352" s="207" t="s">
        <v>287</v>
      </c>
      <c r="K352" s="118" t="s">
        <v>286</v>
      </c>
      <c r="L352" s="204" t="s">
        <v>3238</v>
      </c>
      <c r="M352" s="204"/>
      <c r="N352" s="238" t="s">
        <v>76</v>
      </c>
      <c r="O352" s="119">
        <v>1.58</v>
      </c>
      <c r="P352" s="119">
        <v>0.06</v>
      </c>
      <c r="Q352" s="99">
        <v>0.2</v>
      </c>
      <c r="R352" s="314">
        <f t="shared" si="47"/>
        <v>7473400</v>
      </c>
      <c r="S352" s="314">
        <f t="shared" si="49"/>
        <v>264600</v>
      </c>
      <c r="T352" s="314">
        <f t="shared" si="53"/>
        <v>468000</v>
      </c>
      <c r="U352" s="314">
        <f>+R352+S352+T352</f>
        <v>8206000</v>
      </c>
      <c r="V352" s="314">
        <f>+VLOOKUP(A352,[2]Sheet1!$B$11:$J$400,9,0)</f>
        <v>6724800</v>
      </c>
      <c r="W352" s="315" t="s">
        <v>2723</v>
      </c>
      <c r="X352" s="99" t="s">
        <v>1450</v>
      </c>
      <c r="Y352" s="99" t="str">
        <f>+VLOOKUP(A352,[3]Sheet1!$B$11:$I$388,8,0)</f>
        <v>52 - 006</v>
      </c>
      <c r="Z352" s="99" t="s">
        <v>1787</v>
      </c>
      <c r="AA352" s="209" t="s">
        <v>3365</v>
      </c>
      <c r="AB352" s="100" t="s">
        <v>2146</v>
      </c>
      <c r="AC352" s="99">
        <f t="shared" si="55"/>
        <v>215136105</v>
      </c>
      <c r="AD352" s="99" t="s">
        <v>1451</v>
      </c>
      <c r="AE352" s="99" t="s">
        <v>2427</v>
      </c>
      <c r="AF352" s="347" t="s">
        <v>1452</v>
      </c>
      <c r="AG352" s="316" t="s">
        <v>1453</v>
      </c>
      <c r="AH352" s="251"/>
      <c r="AI352" s="251"/>
      <c r="AJ352" s="251"/>
      <c r="AK352" s="251"/>
      <c r="AL352" s="251"/>
      <c r="AM352" s="251"/>
      <c r="AN352" s="251"/>
      <c r="AO352" s="251"/>
      <c r="AP352" s="251"/>
      <c r="AQ352" s="251"/>
      <c r="AR352" s="251"/>
      <c r="AS352" s="251" t="s">
        <v>2378</v>
      </c>
      <c r="AT352" s="251" t="s">
        <v>3491</v>
      </c>
      <c r="AU352" s="379"/>
      <c r="AV352" s="380"/>
    </row>
    <row r="353" spans="1:48" x14ac:dyDescent="0.25">
      <c r="A353" s="366" t="s">
        <v>268</v>
      </c>
      <c r="B353" s="396" t="s">
        <v>3542</v>
      </c>
      <c r="C353" s="100" t="s">
        <v>389</v>
      </c>
      <c r="D353" s="97">
        <v>34335</v>
      </c>
      <c r="E353" s="97">
        <f t="shared" si="51"/>
        <v>55154</v>
      </c>
      <c r="F353" s="97">
        <f t="shared" si="54"/>
        <v>55185</v>
      </c>
      <c r="G353" s="97">
        <v>55185</v>
      </c>
      <c r="H353" s="97">
        <v>42767</v>
      </c>
      <c r="I353" s="197" t="s">
        <v>1860</v>
      </c>
      <c r="J353" s="207" t="s">
        <v>287</v>
      </c>
      <c r="K353" s="118" t="s">
        <v>3466</v>
      </c>
      <c r="L353" s="97">
        <v>42767</v>
      </c>
      <c r="M353" s="117"/>
      <c r="N353" s="118" t="s">
        <v>71</v>
      </c>
      <c r="O353" s="119">
        <v>1.49</v>
      </c>
      <c r="P353" s="119">
        <v>0.04</v>
      </c>
      <c r="Q353" s="99">
        <v>0.2</v>
      </c>
      <c r="R353" s="314">
        <f t="shared" si="47"/>
        <v>7047700</v>
      </c>
      <c r="S353" s="314">
        <f t="shared" si="49"/>
        <v>176400</v>
      </c>
      <c r="T353" s="314">
        <f t="shared" si="53"/>
        <v>468000</v>
      </c>
      <c r="U353" s="314">
        <f t="shared" si="52"/>
        <v>7692100</v>
      </c>
      <c r="V353" s="314">
        <f>+VLOOKUP(A353,[2]Sheet1!$B$11:$J$400,9,0)</f>
        <v>6558400</v>
      </c>
      <c r="W353" s="315" t="s">
        <v>1760</v>
      </c>
      <c r="X353" s="99" t="s">
        <v>618</v>
      </c>
      <c r="Y353" s="99" t="str">
        <f>+VLOOKUP(A353,[3]Sheet1!$B$11:$I$388,8,0)</f>
        <v>52 - 008</v>
      </c>
      <c r="Z353" s="99" t="s">
        <v>1787</v>
      </c>
      <c r="AA353" s="99" t="s">
        <v>2965</v>
      </c>
      <c r="AB353" s="100">
        <v>215248534</v>
      </c>
      <c r="AC353" s="99">
        <f t="shared" si="55"/>
        <v>215248534</v>
      </c>
      <c r="AD353" s="99" t="s">
        <v>1458</v>
      </c>
      <c r="AE353" s="99" t="s">
        <v>2427</v>
      </c>
      <c r="AF353" s="347" t="s">
        <v>1459</v>
      </c>
      <c r="AG353" s="316" t="s">
        <v>1460</v>
      </c>
      <c r="AH353" s="251"/>
      <c r="AI353" s="251"/>
      <c r="AJ353" s="251"/>
      <c r="AK353" s="251" t="s">
        <v>3585</v>
      </c>
      <c r="AL353" s="251"/>
      <c r="AM353" s="251"/>
      <c r="AN353" s="251"/>
      <c r="AO353" s="251"/>
      <c r="AP353" s="251"/>
      <c r="AQ353" s="251"/>
      <c r="AR353" s="251"/>
      <c r="AS353" s="251" t="s">
        <v>2379</v>
      </c>
      <c r="AT353" s="251" t="s">
        <v>3491</v>
      </c>
      <c r="AU353" s="379"/>
      <c r="AV353" s="380"/>
    </row>
    <row r="354" spans="1:48" x14ac:dyDescent="0.25">
      <c r="A354" s="366" t="s">
        <v>643</v>
      </c>
      <c r="B354" s="396" t="s">
        <v>3542</v>
      </c>
      <c r="C354" s="100" t="s">
        <v>642</v>
      </c>
      <c r="D354" s="97">
        <v>34920</v>
      </c>
      <c r="E354" s="97">
        <f t="shared" si="51"/>
        <v>55740</v>
      </c>
      <c r="F354" s="97">
        <f t="shared" si="54"/>
        <v>55763</v>
      </c>
      <c r="G354" s="97">
        <v>55763</v>
      </c>
      <c r="H354" s="97">
        <v>43191</v>
      </c>
      <c r="I354" s="197" t="s">
        <v>1860</v>
      </c>
      <c r="J354" s="207" t="s">
        <v>287</v>
      </c>
      <c r="K354" s="118" t="s">
        <v>281</v>
      </c>
      <c r="L354" s="97">
        <v>43191</v>
      </c>
      <c r="M354" s="117"/>
      <c r="N354" s="238" t="s">
        <v>71</v>
      </c>
      <c r="O354" s="118">
        <v>1.49</v>
      </c>
      <c r="P354" s="119"/>
      <c r="Q354" s="99">
        <v>0.2</v>
      </c>
      <c r="R354" s="314">
        <f t="shared" ref="R354:R398" si="56">+O354*4730000</f>
        <v>7047700</v>
      </c>
      <c r="S354" s="314">
        <f t="shared" si="49"/>
        <v>0</v>
      </c>
      <c r="T354" s="314">
        <f t="shared" si="53"/>
        <v>468000</v>
      </c>
      <c r="U354" s="314">
        <f t="shared" si="52"/>
        <v>7515700</v>
      </c>
      <c r="V354" s="314">
        <f>+VLOOKUP(A354,[2]Sheet1!$B$11:$J$400,9,0)</f>
        <v>6558400</v>
      </c>
      <c r="W354" s="315" t="s">
        <v>1761</v>
      </c>
      <c r="X354" s="99" t="e">
        <v>#N/A</v>
      </c>
      <c r="Y354" s="99" t="str">
        <f>+VLOOKUP(A354,[3]Sheet1!$B$11:$I$388,8,0)</f>
        <v>52 - 008</v>
      </c>
      <c r="Z354" s="99" t="s">
        <v>1787</v>
      </c>
      <c r="AA354" s="99" t="s">
        <v>2966</v>
      </c>
      <c r="AB354" s="100" t="s">
        <v>644</v>
      </c>
      <c r="AC354" s="99">
        <f t="shared" si="55"/>
        <v>221350313</v>
      </c>
      <c r="AD354" s="205" t="s">
        <v>645</v>
      </c>
      <c r="AE354" s="99" t="s">
        <v>2427</v>
      </c>
      <c r="AF354" s="347" t="s">
        <v>1861</v>
      </c>
      <c r="AG354" s="316" t="e">
        <v>#N/A</v>
      </c>
      <c r="AH354" s="251"/>
      <c r="AI354" s="251"/>
      <c r="AJ354" s="251"/>
      <c r="AK354" s="251" t="s">
        <v>3619</v>
      </c>
      <c r="AL354" s="251"/>
      <c r="AM354" s="251"/>
      <c r="AN354" s="251"/>
      <c r="AO354" s="251"/>
      <c r="AP354" s="251"/>
      <c r="AQ354" s="251"/>
      <c r="AR354" s="251"/>
      <c r="AS354" s="251" t="s">
        <v>2380</v>
      </c>
      <c r="AT354" s="251" t="s">
        <v>3491</v>
      </c>
      <c r="AU354" s="379"/>
      <c r="AV354" s="380"/>
    </row>
    <row r="355" spans="1:48" x14ac:dyDescent="0.25">
      <c r="A355" s="354" t="s">
        <v>243</v>
      </c>
      <c r="B355" s="396" t="s">
        <v>3542</v>
      </c>
      <c r="C355" s="100" t="s">
        <v>621</v>
      </c>
      <c r="D355" s="97">
        <v>34408</v>
      </c>
      <c r="E355" s="97">
        <f t="shared" si="51"/>
        <v>55227</v>
      </c>
      <c r="F355" s="97">
        <f t="shared" si="54"/>
        <v>55244</v>
      </c>
      <c r="G355" s="97">
        <v>55244</v>
      </c>
      <c r="H355" s="97">
        <v>43191</v>
      </c>
      <c r="I355" s="197" t="s">
        <v>1860</v>
      </c>
      <c r="J355" s="207" t="s">
        <v>287</v>
      </c>
      <c r="K355" s="118" t="s">
        <v>281</v>
      </c>
      <c r="L355" s="117" t="s">
        <v>3238</v>
      </c>
      <c r="M355" s="117"/>
      <c r="N355" s="238" t="s">
        <v>71</v>
      </c>
      <c r="O355" s="119">
        <v>1.49</v>
      </c>
      <c r="P355" s="119"/>
      <c r="Q355" s="99">
        <v>0.2</v>
      </c>
      <c r="R355" s="314">
        <f t="shared" si="56"/>
        <v>7047700</v>
      </c>
      <c r="S355" s="314">
        <f t="shared" si="49"/>
        <v>0</v>
      </c>
      <c r="T355" s="314">
        <f t="shared" si="53"/>
        <v>468000</v>
      </c>
      <c r="U355" s="314">
        <f t="shared" si="52"/>
        <v>7515700</v>
      </c>
      <c r="V355" s="314">
        <f>+VLOOKUP(A355,[2]Sheet1!$B$11:$J$400,9,0)</f>
        <v>6225600</v>
      </c>
      <c r="W355" s="315" t="s">
        <v>1734</v>
      </c>
      <c r="X355" s="99" t="s">
        <v>618</v>
      </c>
      <c r="Y355" s="99" t="str">
        <f>+VLOOKUP(A355,[3]Sheet1!$B$11:$I$388,8,0)</f>
        <v>52 - 187</v>
      </c>
      <c r="Z355" s="99" t="s">
        <v>1787</v>
      </c>
      <c r="AA355" s="99" t="s">
        <v>2967</v>
      </c>
      <c r="AB355" s="100" t="s">
        <v>622</v>
      </c>
      <c r="AC355" s="99">
        <f t="shared" si="55"/>
        <v>215248603</v>
      </c>
      <c r="AD355" s="205" t="s">
        <v>623</v>
      </c>
      <c r="AE355" s="99" t="s">
        <v>2427</v>
      </c>
      <c r="AF355" s="347" t="s">
        <v>624</v>
      </c>
      <c r="AG355" s="316" t="e">
        <v>#N/A</v>
      </c>
      <c r="AH355" s="251"/>
      <c r="AI355" s="251"/>
      <c r="AJ355" s="251"/>
      <c r="AK355" s="251" t="s">
        <v>3585</v>
      </c>
      <c r="AL355" s="251"/>
      <c r="AM355" s="251"/>
      <c r="AN355" s="251"/>
      <c r="AO355" s="251"/>
      <c r="AP355" s="247">
        <v>43570</v>
      </c>
      <c r="AQ355" s="251"/>
      <c r="AR355" s="247">
        <v>44301</v>
      </c>
      <c r="AS355" s="251" t="s">
        <v>2381</v>
      </c>
      <c r="AT355" s="251" t="s">
        <v>3491</v>
      </c>
      <c r="AU355" s="379"/>
      <c r="AV355" s="380"/>
    </row>
    <row r="356" spans="1:48" x14ac:dyDescent="0.25">
      <c r="A356" s="354" t="s">
        <v>1914</v>
      </c>
      <c r="B356" s="396" t="s">
        <v>3542</v>
      </c>
      <c r="C356" s="100" t="s">
        <v>1915</v>
      </c>
      <c r="D356" s="97">
        <v>34294</v>
      </c>
      <c r="E356" s="97">
        <f t="shared" si="51"/>
        <v>55113</v>
      </c>
      <c r="F356" s="97">
        <f t="shared" si="54"/>
        <v>55123</v>
      </c>
      <c r="G356" s="97">
        <v>55123</v>
      </c>
      <c r="H356" s="97">
        <v>43556</v>
      </c>
      <c r="I356" s="197" t="s">
        <v>1860</v>
      </c>
      <c r="J356" s="207" t="s">
        <v>287</v>
      </c>
      <c r="K356" s="118" t="s">
        <v>281</v>
      </c>
      <c r="L356" s="97">
        <v>45139</v>
      </c>
      <c r="M356" s="117"/>
      <c r="N356" s="238" t="s">
        <v>71</v>
      </c>
      <c r="O356" s="118">
        <v>1.49</v>
      </c>
      <c r="P356" s="119"/>
      <c r="Q356" s="99">
        <v>0.2</v>
      </c>
      <c r="R356" s="314">
        <f t="shared" si="56"/>
        <v>7047700</v>
      </c>
      <c r="S356" s="314">
        <f t="shared" si="49"/>
        <v>0</v>
      </c>
      <c r="T356" s="314">
        <f t="shared" si="53"/>
        <v>468000</v>
      </c>
      <c r="U356" s="314">
        <f t="shared" si="52"/>
        <v>7515700</v>
      </c>
      <c r="V356" s="314">
        <f>+VLOOKUP(A356,[2]Sheet1!$B$11:$J$400,9,0)</f>
        <v>6558400</v>
      </c>
      <c r="W356" s="315" t="s">
        <v>1954</v>
      </c>
      <c r="X356" s="99" t="s">
        <v>682</v>
      </c>
      <c r="Y356" s="99" t="str">
        <f>+VLOOKUP(A356,[3]Sheet1!$B$11:$I$388,8,0)</f>
        <v>52 - 008</v>
      </c>
      <c r="Z356" s="99" t="s">
        <v>1787</v>
      </c>
      <c r="AA356" s="99" t="s">
        <v>2968</v>
      </c>
      <c r="AB356" s="100" t="s">
        <v>1916</v>
      </c>
      <c r="AC356" s="99">
        <f t="shared" si="55"/>
        <v>221285472</v>
      </c>
      <c r="AD356" s="205" t="s">
        <v>1917</v>
      </c>
      <c r="AE356" s="99" t="s">
        <v>2427</v>
      </c>
      <c r="AF356" s="347" t="s">
        <v>1918</v>
      </c>
      <c r="AG356" s="316" t="s">
        <v>1471</v>
      </c>
      <c r="AH356" s="251"/>
      <c r="AI356" s="251"/>
      <c r="AJ356" s="251" t="s">
        <v>3640</v>
      </c>
      <c r="AK356" s="251"/>
      <c r="AL356" s="251"/>
      <c r="AM356" s="251"/>
      <c r="AN356" s="251"/>
      <c r="AO356" s="251"/>
      <c r="AP356" s="247">
        <v>43570</v>
      </c>
      <c r="AQ356" s="251"/>
      <c r="AR356" s="247">
        <v>44301</v>
      </c>
      <c r="AS356" s="251" t="s">
        <v>2382</v>
      </c>
      <c r="AT356" s="251" t="s">
        <v>3491</v>
      </c>
      <c r="AU356" s="379"/>
      <c r="AV356" s="380"/>
    </row>
    <row r="357" spans="1:48" x14ac:dyDescent="0.25">
      <c r="A357" s="354" t="s">
        <v>1926</v>
      </c>
      <c r="B357" s="396" t="s">
        <v>3542</v>
      </c>
      <c r="C357" s="100" t="s">
        <v>1927</v>
      </c>
      <c r="D357" s="97">
        <v>34069</v>
      </c>
      <c r="E357" s="97">
        <f t="shared" si="51"/>
        <v>54888</v>
      </c>
      <c r="F357" s="97">
        <f t="shared" si="54"/>
        <v>54909</v>
      </c>
      <c r="G357" s="97">
        <v>54909</v>
      </c>
      <c r="H357" s="97">
        <v>43556</v>
      </c>
      <c r="I357" s="197" t="s">
        <v>1860</v>
      </c>
      <c r="J357" s="207" t="s">
        <v>287</v>
      </c>
      <c r="K357" s="118" t="s">
        <v>281</v>
      </c>
      <c r="L357" s="97">
        <v>43570</v>
      </c>
      <c r="M357" s="117"/>
      <c r="N357" s="118" t="s">
        <v>72</v>
      </c>
      <c r="O357" s="119">
        <v>1.41</v>
      </c>
      <c r="P357" s="119"/>
      <c r="Q357" s="99">
        <v>0.2</v>
      </c>
      <c r="R357" s="314">
        <f t="shared" si="56"/>
        <v>6669300</v>
      </c>
      <c r="S357" s="314">
        <f t="shared" si="49"/>
        <v>0</v>
      </c>
      <c r="T357" s="314">
        <f t="shared" si="53"/>
        <v>468000</v>
      </c>
      <c r="U357" s="314">
        <f t="shared" si="52"/>
        <v>7137300</v>
      </c>
      <c r="V357" s="314">
        <f>+VLOOKUP(A357,[2]Sheet1!$B$11:$J$400,9,0)</f>
        <v>6225600</v>
      </c>
      <c r="W357" s="315" t="s">
        <v>1956</v>
      </c>
      <c r="X357" s="99" t="s">
        <v>682</v>
      </c>
      <c r="Y357" s="99" t="str">
        <f>+VLOOKUP(A357,[3]Sheet1!$B$11:$I$388,8,0)</f>
        <v>52 - 008</v>
      </c>
      <c r="Z357" s="99" t="s">
        <v>1787</v>
      </c>
      <c r="AA357" s="99" t="s">
        <v>2969</v>
      </c>
      <c r="AB357" s="223" t="s">
        <v>1928</v>
      </c>
      <c r="AC357" s="99">
        <f t="shared" si="55"/>
        <v>215253500</v>
      </c>
      <c r="AD357" s="205" t="s">
        <v>1929</v>
      </c>
      <c r="AE357" s="99" t="s">
        <v>2427</v>
      </c>
      <c r="AF357" s="347" t="s">
        <v>1930</v>
      </c>
      <c r="AG357" s="316" t="s">
        <v>1453</v>
      </c>
      <c r="AH357" s="251"/>
      <c r="AI357" s="251"/>
      <c r="AJ357" s="251" t="s">
        <v>3670</v>
      </c>
      <c r="AK357" s="251"/>
      <c r="AL357" s="251"/>
      <c r="AM357" s="251"/>
      <c r="AN357" s="251"/>
      <c r="AO357" s="251"/>
      <c r="AP357" s="247">
        <v>43617</v>
      </c>
      <c r="AQ357" s="251"/>
      <c r="AR357" s="247">
        <v>44348</v>
      </c>
      <c r="AS357" s="251" t="s">
        <v>2383</v>
      </c>
      <c r="AT357" s="251" t="s">
        <v>3491</v>
      </c>
      <c r="AU357" s="379"/>
      <c r="AV357" s="380"/>
    </row>
    <row r="358" spans="1:48" x14ac:dyDescent="0.25">
      <c r="A358" s="354" t="s">
        <v>2567</v>
      </c>
      <c r="B358" s="396" t="s">
        <v>3542</v>
      </c>
      <c r="C358" s="100" t="s">
        <v>2568</v>
      </c>
      <c r="D358" s="205">
        <v>35043</v>
      </c>
      <c r="E358" s="97">
        <f t="shared" si="51"/>
        <v>55863</v>
      </c>
      <c r="F358" s="97">
        <f t="shared" si="54"/>
        <v>55885</v>
      </c>
      <c r="G358" s="97">
        <v>55885</v>
      </c>
      <c r="H358" s="97">
        <v>44896</v>
      </c>
      <c r="I358" s="197" t="s">
        <v>1860</v>
      </c>
      <c r="J358" s="207" t="s">
        <v>287</v>
      </c>
      <c r="K358" s="118" t="s">
        <v>281</v>
      </c>
      <c r="L358" s="97">
        <v>44927</v>
      </c>
      <c r="M358" s="117"/>
      <c r="N358" s="118" t="s">
        <v>72</v>
      </c>
      <c r="O358" s="119">
        <v>1.41</v>
      </c>
      <c r="P358" s="119"/>
      <c r="Q358" s="99">
        <v>0.2</v>
      </c>
      <c r="R358" s="314">
        <f t="shared" si="56"/>
        <v>6669300</v>
      </c>
      <c r="S358" s="314">
        <f t="shared" si="49"/>
        <v>0</v>
      </c>
      <c r="T358" s="314">
        <f t="shared" si="53"/>
        <v>468000</v>
      </c>
      <c r="U358" s="314">
        <f t="shared" si="52"/>
        <v>7137300</v>
      </c>
      <c r="V358" s="314">
        <f>+VLOOKUP(A358,[2]Sheet1!$B$11:$J$400,9,0)</f>
        <v>6225600</v>
      </c>
      <c r="W358" s="315" t="s">
        <v>2724</v>
      </c>
      <c r="X358" s="99"/>
      <c r="Y358" s="99" t="str">
        <f>+VLOOKUP(A358,[3]Sheet1!$B$11:$I$388,8,0)</f>
        <v>54 - 015</v>
      </c>
      <c r="Z358" s="99" t="s">
        <v>1787</v>
      </c>
      <c r="AA358" s="99" t="s">
        <v>2972</v>
      </c>
      <c r="AB358" s="223" t="s">
        <v>2569</v>
      </c>
      <c r="AC358" s="99">
        <f>+VALUE(AB358:AB710)</f>
        <v>221326894</v>
      </c>
      <c r="AD358" s="205" t="s">
        <v>2570</v>
      </c>
      <c r="AE358" s="99" t="s">
        <v>2427</v>
      </c>
      <c r="AF358" s="347" t="s">
        <v>2571</v>
      </c>
      <c r="AG358" s="316" t="s">
        <v>2573</v>
      </c>
      <c r="AH358" s="251"/>
      <c r="AI358" s="251"/>
      <c r="AJ358" s="251"/>
      <c r="AK358" s="251"/>
      <c r="AL358" s="251" t="s">
        <v>3603</v>
      </c>
      <c r="AM358" s="247">
        <v>44896</v>
      </c>
      <c r="AN358" s="251"/>
      <c r="AO358" s="251"/>
      <c r="AP358" s="247">
        <v>44927</v>
      </c>
      <c r="AQ358" s="251"/>
      <c r="AR358" s="251"/>
      <c r="AS358" s="321" t="s">
        <v>2572</v>
      </c>
      <c r="AT358" s="251" t="s">
        <v>3491</v>
      </c>
      <c r="AU358" s="379"/>
      <c r="AV358" s="380"/>
    </row>
    <row r="359" spans="1:48" x14ac:dyDescent="0.25">
      <c r="A359" s="354" t="s">
        <v>2574</v>
      </c>
      <c r="B359" s="396" t="s">
        <v>3542</v>
      </c>
      <c r="C359" s="100" t="s">
        <v>2575</v>
      </c>
      <c r="D359" s="205">
        <v>35928</v>
      </c>
      <c r="E359" s="97">
        <f t="shared" si="51"/>
        <v>56747</v>
      </c>
      <c r="F359" s="97">
        <f t="shared" si="54"/>
        <v>56766</v>
      </c>
      <c r="G359" s="97">
        <v>56766</v>
      </c>
      <c r="H359" s="97">
        <v>44896</v>
      </c>
      <c r="I359" s="197" t="s">
        <v>1860</v>
      </c>
      <c r="J359" s="207" t="s">
        <v>287</v>
      </c>
      <c r="K359" s="118" t="s">
        <v>281</v>
      </c>
      <c r="L359" s="97">
        <v>44927</v>
      </c>
      <c r="M359" s="117"/>
      <c r="N359" s="118" t="s">
        <v>72</v>
      </c>
      <c r="O359" s="119">
        <v>1.41</v>
      </c>
      <c r="P359" s="119"/>
      <c r="Q359" s="99">
        <v>0.2</v>
      </c>
      <c r="R359" s="314">
        <f t="shared" si="56"/>
        <v>6669300</v>
      </c>
      <c r="S359" s="314">
        <f t="shared" si="49"/>
        <v>0</v>
      </c>
      <c r="T359" s="314">
        <f t="shared" si="53"/>
        <v>468000</v>
      </c>
      <c r="U359" s="314">
        <f t="shared" si="52"/>
        <v>7137300</v>
      </c>
      <c r="V359" s="314">
        <f>+VLOOKUP(A359,[2]Sheet1!$B$11:$J$400,9,0)</f>
        <v>6225600</v>
      </c>
      <c r="W359" s="315" t="s">
        <v>2725</v>
      </c>
      <c r="X359" s="99"/>
      <c r="Y359" s="99" t="str">
        <f>+VLOOKUP(A359,[3]Sheet1!$B$11:$I$388,8,0)</f>
        <v>52 - 008</v>
      </c>
      <c r="Z359" s="99" t="s">
        <v>1787</v>
      </c>
      <c r="AA359" s="99" t="s">
        <v>2973</v>
      </c>
      <c r="AB359" s="223" t="s">
        <v>2576</v>
      </c>
      <c r="AC359" s="99">
        <f>+VALUE(AB359:AB711)</f>
        <v>221460041</v>
      </c>
      <c r="AD359" s="205" t="s">
        <v>2577</v>
      </c>
      <c r="AE359" s="99" t="s">
        <v>2427</v>
      </c>
      <c r="AF359" s="347" t="s">
        <v>1480</v>
      </c>
      <c r="AG359" s="316" t="s">
        <v>2060</v>
      </c>
      <c r="AH359" s="251"/>
      <c r="AI359" s="251"/>
      <c r="AJ359" s="251"/>
      <c r="AK359" s="251"/>
      <c r="AL359" s="251" t="s">
        <v>3603</v>
      </c>
      <c r="AM359" s="247">
        <v>44896</v>
      </c>
      <c r="AN359" s="251"/>
      <c r="AO359" s="251"/>
      <c r="AP359" s="247">
        <v>44927</v>
      </c>
      <c r="AQ359" s="251"/>
      <c r="AR359" s="251"/>
      <c r="AS359" s="321" t="s">
        <v>2578</v>
      </c>
      <c r="AT359" s="251" t="s">
        <v>3491</v>
      </c>
      <c r="AU359" s="379"/>
      <c r="AV359" s="380"/>
    </row>
    <row r="360" spans="1:48" x14ac:dyDescent="0.25">
      <c r="A360" s="354" t="s">
        <v>3145</v>
      </c>
      <c r="B360" s="396" t="s">
        <v>3542</v>
      </c>
      <c r="C360" s="100" t="s">
        <v>3146</v>
      </c>
      <c r="D360" s="205">
        <v>36911</v>
      </c>
      <c r="E360" s="97">
        <f t="shared" si="51"/>
        <v>57730</v>
      </c>
      <c r="F360" s="97">
        <f t="shared" si="54"/>
        <v>57742</v>
      </c>
      <c r="G360" s="97">
        <v>57742</v>
      </c>
      <c r="H360" s="97">
        <v>45383</v>
      </c>
      <c r="I360" s="197" t="s">
        <v>1860</v>
      </c>
      <c r="J360" s="207" t="s">
        <v>287</v>
      </c>
      <c r="K360" s="118" t="s">
        <v>281</v>
      </c>
      <c r="L360" s="97">
        <v>45413</v>
      </c>
      <c r="M360" s="117"/>
      <c r="N360" s="118" t="s">
        <v>72</v>
      </c>
      <c r="O360" s="119">
        <v>1.41</v>
      </c>
      <c r="P360" s="119"/>
      <c r="Q360" s="99">
        <v>0.2</v>
      </c>
      <c r="R360" s="314">
        <f t="shared" si="56"/>
        <v>6669300</v>
      </c>
      <c r="S360" s="314">
        <f t="shared" si="49"/>
        <v>0</v>
      </c>
      <c r="T360" s="314">
        <f t="shared" si="53"/>
        <v>468000</v>
      </c>
      <c r="U360" s="314">
        <f t="shared" si="52"/>
        <v>7137300</v>
      </c>
      <c r="V360" s="314">
        <f>+VLOOKUP(A360,[2]Sheet1!$B$11:$J$400,9,0)</f>
        <v>6225600</v>
      </c>
      <c r="W360" s="315" t="s">
        <v>3236</v>
      </c>
      <c r="X360" s="99"/>
      <c r="Y360" s="99" t="e">
        <f>+VLOOKUP(A360,[3]Sheet1!$B$11:$I$388,8,0)</f>
        <v>#N/A</v>
      </c>
      <c r="Z360" s="99" t="s">
        <v>1787</v>
      </c>
      <c r="AA360" s="201" t="s">
        <v>3147</v>
      </c>
      <c r="AB360" s="223"/>
      <c r="AC360" s="99"/>
      <c r="AD360" s="205" t="s">
        <v>2664</v>
      </c>
      <c r="AE360" s="99" t="s">
        <v>2427</v>
      </c>
      <c r="AF360" s="347" t="s">
        <v>3148</v>
      </c>
      <c r="AG360" s="316">
        <v>21994</v>
      </c>
      <c r="AH360" s="251"/>
      <c r="AI360" s="251"/>
      <c r="AJ360" s="251"/>
      <c r="AK360" s="251"/>
      <c r="AL360" s="321" t="s">
        <v>3025</v>
      </c>
      <c r="AM360" s="249">
        <v>45383</v>
      </c>
      <c r="AN360" s="251"/>
      <c r="AO360" s="251"/>
      <c r="AP360" s="247"/>
      <c r="AQ360" s="251"/>
      <c r="AR360" s="251"/>
      <c r="AS360" s="321" t="s">
        <v>3149</v>
      </c>
      <c r="AT360" s="251" t="s">
        <v>3491</v>
      </c>
      <c r="AU360" s="379"/>
      <c r="AV360" s="380"/>
    </row>
    <row r="361" spans="1:48" x14ac:dyDescent="0.25">
      <c r="A361" s="364" t="s">
        <v>3130</v>
      </c>
      <c r="B361" s="396" t="s">
        <v>3542</v>
      </c>
      <c r="C361" s="100" t="s">
        <v>3131</v>
      </c>
      <c r="D361" s="205">
        <v>37562</v>
      </c>
      <c r="E361" s="97">
        <f t="shared" si="51"/>
        <v>58381</v>
      </c>
      <c r="F361" s="97">
        <f>+EOMONTH(E361,0)+1</f>
        <v>58410</v>
      </c>
      <c r="G361" s="97">
        <v>58410</v>
      </c>
      <c r="H361" s="97">
        <v>45383</v>
      </c>
      <c r="I361" s="197" t="s">
        <v>1860</v>
      </c>
      <c r="J361" s="207" t="s">
        <v>287</v>
      </c>
      <c r="K361" s="118" t="s">
        <v>281</v>
      </c>
      <c r="L361" s="97">
        <v>45383</v>
      </c>
      <c r="M361" s="204"/>
      <c r="N361" s="118" t="s">
        <v>72</v>
      </c>
      <c r="O361" s="119">
        <v>1.41</v>
      </c>
      <c r="P361" s="119"/>
      <c r="Q361" s="99">
        <v>0.2</v>
      </c>
      <c r="R361" s="314">
        <f t="shared" si="56"/>
        <v>6669300</v>
      </c>
      <c r="S361" s="314">
        <f t="shared" si="49"/>
        <v>0</v>
      </c>
      <c r="T361" s="314">
        <f>+Q361*2340000</f>
        <v>468000</v>
      </c>
      <c r="U361" s="314">
        <f>+R361+S361+T361</f>
        <v>7137300</v>
      </c>
      <c r="V361" s="314">
        <f>+VLOOKUP(A361,[2]Sheet1!$B$11:$J$400,9,0)</f>
        <v>5865600</v>
      </c>
      <c r="W361" s="315" t="s">
        <v>3237</v>
      </c>
      <c r="X361" s="99"/>
      <c r="Y361" s="99" t="e">
        <f>+VLOOKUP(A361,[3]Sheet1!$B$11:$I$388,8,0)</f>
        <v>#N/A</v>
      </c>
      <c r="Z361" s="99" t="s">
        <v>1787</v>
      </c>
      <c r="AA361" s="201" t="s">
        <v>3132</v>
      </c>
      <c r="AB361" s="100"/>
      <c r="AC361" s="99"/>
      <c r="AD361" s="205" t="s">
        <v>2551</v>
      </c>
      <c r="AE361" s="99" t="s">
        <v>2427</v>
      </c>
      <c r="AF361" s="347" t="s">
        <v>3133</v>
      </c>
      <c r="AG361" s="316">
        <v>22090</v>
      </c>
      <c r="AH361" s="251"/>
      <c r="AI361" s="251"/>
      <c r="AJ361" s="251" t="s">
        <v>3605</v>
      </c>
      <c r="AK361" s="251"/>
      <c r="AL361" s="251"/>
      <c r="AM361" s="247">
        <v>45383</v>
      </c>
      <c r="AN361" s="251"/>
      <c r="AO361" s="251"/>
      <c r="AP361" s="251"/>
      <c r="AQ361" s="251"/>
      <c r="AR361" s="251"/>
      <c r="AS361" s="321" t="s">
        <v>3134</v>
      </c>
      <c r="AT361" s="251" t="s">
        <v>3491</v>
      </c>
      <c r="AU361" s="379"/>
      <c r="AV361" s="380"/>
    </row>
    <row r="362" spans="1:48" x14ac:dyDescent="0.25">
      <c r="A362" s="364" t="s">
        <v>3454</v>
      </c>
      <c r="B362" s="396" t="s">
        <v>3542</v>
      </c>
      <c r="C362" s="100" t="s">
        <v>3455</v>
      </c>
      <c r="D362" s="205">
        <v>37150</v>
      </c>
      <c r="E362" s="97">
        <f t="shared" si="51"/>
        <v>57969</v>
      </c>
      <c r="F362" s="97">
        <f>+EOMONTH(E362,0)+1</f>
        <v>57984</v>
      </c>
      <c r="G362" s="97">
        <v>57984</v>
      </c>
      <c r="H362" s="97">
        <v>45901</v>
      </c>
      <c r="I362" s="197" t="s">
        <v>1860</v>
      </c>
      <c r="J362" s="207" t="s">
        <v>287</v>
      </c>
      <c r="K362" s="118" t="s">
        <v>281</v>
      </c>
      <c r="L362" s="97">
        <v>45901</v>
      </c>
      <c r="M362" s="260"/>
      <c r="N362" s="118" t="s">
        <v>72</v>
      </c>
      <c r="O362" s="119">
        <v>1.41</v>
      </c>
      <c r="P362" s="119"/>
      <c r="Q362" s="99">
        <v>0.2</v>
      </c>
      <c r="R362" s="314">
        <f t="shared" si="56"/>
        <v>6669300</v>
      </c>
      <c r="S362" s="314">
        <f t="shared" si="49"/>
        <v>0</v>
      </c>
      <c r="T362" s="314">
        <f>+Q362*2340000</f>
        <v>468000</v>
      </c>
      <c r="U362" s="314">
        <f>+R362+S362+T362</f>
        <v>7137300</v>
      </c>
      <c r="V362" s="314"/>
      <c r="W362" s="319">
        <v>5221515268</v>
      </c>
      <c r="X362" s="99" t="s">
        <v>3459</v>
      </c>
      <c r="Y362" s="99"/>
      <c r="Z362" s="99" t="s">
        <v>1787</v>
      </c>
      <c r="AA362" s="223" t="s">
        <v>3456</v>
      </c>
      <c r="AB362" s="100"/>
      <c r="AC362" s="99"/>
      <c r="AD362" s="261">
        <v>44375</v>
      </c>
      <c r="AE362" s="99" t="s">
        <v>2427</v>
      </c>
      <c r="AF362" s="347" t="s">
        <v>3453</v>
      </c>
      <c r="AG362" s="316"/>
      <c r="AH362" s="251"/>
      <c r="AI362" s="251"/>
      <c r="AJ362" s="251" t="s">
        <v>3671</v>
      </c>
      <c r="AK362" s="251"/>
      <c r="AL362" s="251"/>
      <c r="AM362" s="247"/>
      <c r="AN362" s="251"/>
      <c r="AO362" s="247">
        <v>45901</v>
      </c>
      <c r="AP362" s="251"/>
      <c r="AQ362" s="251"/>
      <c r="AR362" s="251"/>
      <c r="AS362" s="340" t="s">
        <v>3458</v>
      </c>
      <c r="AT362" s="251" t="s">
        <v>3491</v>
      </c>
      <c r="AU362" s="379"/>
      <c r="AV362" s="380"/>
    </row>
    <row r="363" spans="1:48" x14ac:dyDescent="0.25">
      <c r="A363" s="354" t="s">
        <v>1959</v>
      </c>
      <c r="B363" s="396" t="s">
        <v>3542</v>
      </c>
      <c r="C363" s="100" t="s">
        <v>1960</v>
      </c>
      <c r="D363" s="205">
        <v>32930</v>
      </c>
      <c r="E363" s="97">
        <f t="shared" si="51"/>
        <v>53749</v>
      </c>
      <c r="F363" s="97">
        <f t="shared" si="54"/>
        <v>53752</v>
      </c>
      <c r="G363" s="97">
        <v>53752</v>
      </c>
      <c r="H363" s="97">
        <v>43617</v>
      </c>
      <c r="I363" s="206" t="s">
        <v>2103</v>
      </c>
      <c r="J363" s="207" t="s">
        <v>287</v>
      </c>
      <c r="K363" s="118" t="s">
        <v>286</v>
      </c>
      <c r="L363" s="262" t="s">
        <v>3238</v>
      </c>
      <c r="N363" s="238" t="s">
        <v>71</v>
      </c>
      <c r="O363" s="119">
        <v>1.49</v>
      </c>
      <c r="P363" s="119">
        <v>0.06</v>
      </c>
      <c r="Q363" s="99"/>
      <c r="R363" s="314">
        <f t="shared" si="56"/>
        <v>7047700</v>
      </c>
      <c r="S363" s="314">
        <f t="shared" si="49"/>
        <v>264600</v>
      </c>
      <c r="T363" s="314">
        <f t="shared" si="53"/>
        <v>0</v>
      </c>
      <c r="U363" s="314">
        <f t="shared" si="52"/>
        <v>7312300</v>
      </c>
      <c r="V363" s="314">
        <f>+VLOOKUP(A363,[2]Sheet1!$B$11:$J$400,9,0)</f>
        <v>6115200</v>
      </c>
      <c r="W363" s="315" t="s">
        <v>1962</v>
      </c>
      <c r="X363" s="99"/>
      <c r="Y363" s="99" t="str">
        <f>+VLOOKUP(A363,[3]Sheet1!$B$11:$I$388,8,0)</f>
        <v>52 - 008</v>
      </c>
      <c r="Z363" s="99" t="s">
        <v>1787</v>
      </c>
      <c r="AA363" s="99" t="s">
        <v>2970</v>
      </c>
      <c r="AB363" s="223" t="s">
        <v>1961</v>
      </c>
      <c r="AC363" s="99">
        <f>+VALUE(AB358:AB708)</f>
        <v>221270683</v>
      </c>
      <c r="AD363" s="205" t="s">
        <v>1115</v>
      </c>
      <c r="AE363" s="99" t="s">
        <v>2427</v>
      </c>
      <c r="AF363" s="347" t="s">
        <v>1474</v>
      </c>
      <c r="AG363" s="316" t="s">
        <v>1299</v>
      </c>
      <c r="AH363" s="251"/>
      <c r="AI363" s="251"/>
      <c r="AJ363" s="251" t="s">
        <v>3605</v>
      </c>
      <c r="AK363" s="251"/>
      <c r="AL363" s="251"/>
      <c r="AM363" s="251"/>
      <c r="AN363" s="251"/>
      <c r="AO363" s="251"/>
      <c r="AP363" s="247">
        <v>43985</v>
      </c>
      <c r="AQ363" s="251"/>
      <c r="AR363" s="247">
        <v>44716</v>
      </c>
      <c r="AS363" s="251" t="s">
        <v>2384</v>
      </c>
      <c r="AT363" s="251" t="s">
        <v>3491</v>
      </c>
      <c r="AU363" s="379"/>
      <c r="AV363" s="380"/>
    </row>
    <row r="364" spans="1:48" x14ac:dyDescent="0.25">
      <c r="A364" s="354" t="s">
        <v>685</v>
      </c>
      <c r="B364" s="396" t="s">
        <v>3542</v>
      </c>
      <c r="C364" s="100" t="s">
        <v>481</v>
      </c>
      <c r="D364" s="97">
        <v>26656</v>
      </c>
      <c r="E364" s="97">
        <f t="shared" si="51"/>
        <v>47475</v>
      </c>
      <c r="F364" s="97">
        <f t="shared" si="54"/>
        <v>47484</v>
      </c>
      <c r="G364" s="97">
        <v>47484</v>
      </c>
      <c r="H364" s="97">
        <v>34851</v>
      </c>
      <c r="I364" s="206" t="s">
        <v>2103</v>
      </c>
      <c r="J364" s="207" t="s">
        <v>287</v>
      </c>
      <c r="K364" s="118" t="s">
        <v>281</v>
      </c>
      <c r="L364" s="97">
        <v>42979</v>
      </c>
      <c r="M364" s="117"/>
      <c r="N364" s="118" t="s">
        <v>74</v>
      </c>
      <c r="O364" s="119">
        <v>1.68</v>
      </c>
      <c r="P364" s="119"/>
      <c r="Q364" s="99"/>
      <c r="R364" s="314">
        <f t="shared" si="56"/>
        <v>7946400</v>
      </c>
      <c r="S364" s="314">
        <f t="shared" ref="S364:S385" si="57">+P364*4410000</f>
        <v>0</v>
      </c>
      <c r="T364" s="314">
        <f t="shared" si="53"/>
        <v>0</v>
      </c>
      <c r="U364" s="314">
        <f t="shared" si="52"/>
        <v>7946400</v>
      </c>
      <c r="V364" s="314">
        <f>+VLOOKUP(A364,[2]Sheet1!$B$11:$J$400,9,0)</f>
        <v>6988800</v>
      </c>
      <c r="W364" s="315" t="s">
        <v>1763</v>
      </c>
      <c r="X364" s="99" t="s">
        <v>1461</v>
      </c>
      <c r="Y364" s="99" t="str">
        <f>+VLOOKUP(A364,[3]Sheet1!$B$11:$I$388,8,0)</f>
        <v>54 - 003</v>
      </c>
      <c r="Z364" s="99" t="s">
        <v>1787</v>
      </c>
      <c r="AA364" s="99" t="s">
        <v>2974</v>
      </c>
      <c r="AB364" s="100" t="s">
        <v>1462</v>
      </c>
      <c r="AC364" s="99">
        <f>+VALUE(AB364:AB711)</f>
        <v>220980327</v>
      </c>
      <c r="AD364" s="99" t="s">
        <v>645</v>
      </c>
      <c r="AE364" s="99" t="s">
        <v>2427</v>
      </c>
      <c r="AF364" s="347" t="s">
        <v>1861</v>
      </c>
      <c r="AG364" s="316" t="s">
        <v>1463</v>
      </c>
      <c r="AH364" s="251"/>
      <c r="AI364" s="251"/>
      <c r="AJ364" s="251"/>
      <c r="AK364" s="251" t="s">
        <v>3585</v>
      </c>
      <c r="AL364" s="251"/>
      <c r="AM364" s="251"/>
      <c r="AN364" s="251"/>
      <c r="AO364" s="251"/>
      <c r="AP364" s="251"/>
      <c r="AQ364" s="251"/>
      <c r="AR364" s="251"/>
      <c r="AS364" s="251" t="s">
        <v>2385</v>
      </c>
      <c r="AT364" s="251" t="s">
        <v>3491</v>
      </c>
      <c r="AU364" s="379"/>
      <c r="AV364" s="380"/>
    </row>
    <row r="365" spans="1:48" x14ac:dyDescent="0.25">
      <c r="A365" s="354" t="s">
        <v>1882</v>
      </c>
      <c r="B365" s="396" t="s">
        <v>3542</v>
      </c>
      <c r="C365" s="100" t="s">
        <v>483</v>
      </c>
      <c r="D365" s="97">
        <v>25637</v>
      </c>
      <c r="E365" s="97">
        <v>46275</v>
      </c>
      <c r="F365" s="97">
        <f t="shared" si="54"/>
        <v>46296</v>
      </c>
      <c r="G365" s="97">
        <v>46296</v>
      </c>
      <c r="H365" s="97">
        <v>34851</v>
      </c>
      <c r="I365" s="206" t="s">
        <v>2103</v>
      </c>
      <c r="J365" s="207" t="s">
        <v>287</v>
      </c>
      <c r="K365" s="118" t="s">
        <v>281</v>
      </c>
      <c r="L365" s="97">
        <v>41456</v>
      </c>
      <c r="M365" s="117"/>
      <c r="N365" s="238" t="s">
        <v>76</v>
      </c>
      <c r="O365" s="118">
        <v>1.58</v>
      </c>
      <c r="P365" s="119"/>
      <c r="Q365" s="99"/>
      <c r="R365" s="314">
        <f t="shared" si="56"/>
        <v>7473400</v>
      </c>
      <c r="S365" s="314">
        <f t="shared" si="57"/>
        <v>0</v>
      </c>
      <c r="T365" s="314">
        <f t="shared" si="53"/>
        <v>0</v>
      </c>
      <c r="U365" s="314">
        <f t="shared" si="52"/>
        <v>7473400</v>
      </c>
      <c r="V365" s="314">
        <f>+VLOOKUP(A365,[2]Sheet1!$B$11:$J$400,9,0)</f>
        <v>6572800</v>
      </c>
      <c r="W365" s="315" t="s">
        <v>1765</v>
      </c>
      <c r="X365" s="99" t="s">
        <v>612</v>
      </c>
      <c r="Y365" s="99" t="str">
        <f>+VLOOKUP(A365,[3]Sheet1!$B$11:$I$388,8,0)</f>
        <v>54 - 003</v>
      </c>
      <c r="Z365" s="99" t="s">
        <v>1787</v>
      </c>
      <c r="AA365" s="99" t="s">
        <v>2976</v>
      </c>
      <c r="AB365" s="100" t="s">
        <v>1469</v>
      </c>
      <c r="AC365" s="99">
        <f>+VALUE(AB365:AB715)</f>
        <v>220848294</v>
      </c>
      <c r="AD365" s="99" t="s">
        <v>1470</v>
      </c>
      <c r="AE365" s="99" t="s">
        <v>2427</v>
      </c>
      <c r="AF365" s="347" t="s">
        <v>1862</v>
      </c>
      <c r="AG365" s="316" t="s">
        <v>1471</v>
      </c>
      <c r="AH365" s="251"/>
      <c r="AI365" s="251"/>
      <c r="AJ365" s="251"/>
      <c r="AK365" s="251"/>
      <c r="AL365" s="251"/>
      <c r="AM365" s="251"/>
      <c r="AN365" s="251"/>
      <c r="AO365" s="251"/>
      <c r="AP365" s="251"/>
      <c r="AQ365" s="251"/>
      <c r="AR365" s="251"/>
      <c r="AS365" s="251" t="s">
        <v>2387</v>
      </c>
      <c r="AT365" s="251" t="s">
        <v>3491</v>
      </c>
      <c r="AU365" s="379"/>
      <c r="AV365" s="380"/>
    </row>
    <row r="366" spans="1:48" x14ac:dyDescent="0.25">
      <c r="A366" s="361" t="s">
        <v>270</v>
      </c>
      <c r="B366" s="396" t="s">
        <v>3542</v>
      </c>
      <c r="C366" s="100" t="s">
        <v>484</v>
      </c>
      <c r="D366" s="97">
        <v>32396</v>
      </c>
      <c r="E366" s="97">
        <f t="shared" ref="E366:E376" si="58">+DATE(YEAR(D366)+57,MONTH(D366),DAY(D366))</f>
        <v>53215</v>
      </c>
      <c r="F366" s="97">
        <f t="shared" si="54"/>
        <v>53236</v>
      </c>
      <c r="G366" s="97">
        <v>53236</v>
      </c>
      <c r="H366" s="97">
        <v>40513</v>
      </c>
      <c r="I366" s="206" t="s">
        <v>2103</v>
      </c>
      <c r="J366" s="207" t="s">
        <v>287</v>
      </c>
      <c r="K366" s="118" t="s">
        <v>285</v>
      </c>
      <c r="L366" s="117" t="s">
        <v>3238</v>
      </c>
      <c r="M366" s="117"/>
      <c r="N366" s="238" t="s">
        <v>76</v>
      </c>
      <c r="O366" s="119">
        <v>1.58</v>
      </c>
      <c r="P366" s="119">
        <v>0.04</v>
      </c>
      <c r="Q366" s="99"/>
      <c r="R366" s="314">
        <f t="shared" si="56"/>
        <v>7473400</v>
      </c>
      <c r="S366" s="314">
        <f t="shared" si="57"/>
        <v>176400</v>
      </c>
      <c r="T366" s="314">
        <f t="shared" si="53"/>
        <v>0</v>
      </c>
      <c r="U366" s="314">
        <f t="shared" si="52"/>
        <v>7649800</v>
      </c>
      <c r="V366" s="314">
        <f>+VLOOKUP(A366,[2]Sheet1!$B$11:$J$400,9,0)</f>
        <v>6364800</v>
      </c>
      <c r="W366" s="315" t="s">
        <v>1766</v>
      </c>
      <c r="X366" s="99" t="s">
        <v>1472</v>
      </c>
      <c r="Y366" s="99" t="str">
        <f>+VLOOKUP(A366,[3]Sheet1!$B$11:$I$388,8,0)</f>
        <v>54 - 003</v>
      </c>
      <c r="Z366" s="99" t="s">
        <v>1787</v>
      </c>
      <c r="AA366" s="99" t="s">
        <v>2977</v>
      </c>
      <c r="AB366" s="100" t="s">
        <v>1473</v>
      </c>
      <c r="AC366" s="99">
        <f>+VALUE(AB366:AB716)</f>
        <v>221166627</v>
      </c>
      <c r="AD366" s="99" t="s">
        <v>629</v>
      </c>
      <c r="AE366" s="99" t="s">
        <v>2427</v>
      </c>
      <c r="AF366" s="347" t="s">
        <v>1474</v>
      </c>
      <c r="AG366" s="316" t="s">
        <v>1299</v>
      </c>
      <c r="AH366" s="251"/>
      <c r="AI366" s="251"/>
      <c r="AJ366" s="251"/>
      <c r="AK366" s="251" t="s">
        <v>3585</v>
      </c>
      <c r="AL366" s="251" t="s">
        <v>3592</v>
      </c>
      <c r="AM366" s="251"/>
      <c r="AN366" s="251"/>
      <c r="AO366" s="251"/>
      <c r="AP366" s="251"/>
      <c r="AQ366" s="251"/>
      <c r="AR366" s="251"/>
      <c r="AS366" s="251" t="s">
        <v>2388</v>
      </c>
      <c r="AT366" s="251" t="s">
        <v>3491</v>
      </c>
      <c r="AU366" s="379"/>
      <c r="AV366" s="380"/>
    </row>
    <row r="367" spans="1:48" x14ac:dyDescent="0.25">
      <c r="A367" s="361" t="s">
        <v>296</v>
      </c>
      <c r="B367" s="396" t="s">
        <v>3542</v>
      </c>
      <c r="C367" s="100" t="s">
        <v>485</v>
      </c>
      <c r="D367" s="97">
        <v>34663</v>
      </c>
      <c r="E367" s="97">
        <f t="shared" si="58"/>
        <v>55482</v>
      </c>
      <c r="F367" s="97">
        <f t="shared" si="54"/>
        <v>55488</v>
      </c>
      <c r="G367" s="97">
        <v>55488</v>
      </c>
      <c r="H367" s="97">
        <v>41671</v>
      </c>
      <c r="I367" s="206" t="s">
        <v>2103</v>
      </c>
      <c r="J367" s="207" t="s">
        <v>287</v>
      </c>
      <c r="K367" s="118" t="s">
        <v>281</v>
      </c>
      <c r="L367" s="97">
        <v>42370</v>
      </c>
      <c r="M367" s="204"/>
      <c r="N367" s="118" t="s">
        <v>71</v>
      </c>
      <c r="O367" s="119">
        <v>1.49</v>
      </c>
      <c r="P367" s="119"/>
      <c r="Q367" s="99"/>
      <c r="R367" s="314">
        <f t="shared" si="56"/>
        <v>7047700</v>
      </c>
      <c r="S367" s="314">
        <f t="shared" si="57"/>
        <v>0</v>
      </c>
      <c r="T367" s="314">
        <f t="shared" si="53"/>
        <v>0</v>
      </c>
      <c r="U367" s="314">
        <f t="shared" si="52"/>
        <v>7047700</v>
      </c>
      <c r="V367" s="314">
        <f>+VLOOKUP(A367,[2]Sheet1!$B$11:$J$400,9,0)</f>
        <v>6198400</v>
      </c>
      <c r="W367" s="315" t="s">
        <v>1767</v>
      </c>
      <c r="X367" s="99" t="s">
        <v>1464</v>
      </c>
      <c r="Y367" s="99" t="str">
        <f>+VLOOKUP(A367,[3]Sheet1!$B$11:$I$388,8,0)</f>
        <v>54 - 007</v>
      </c>
      <c r="Z367" s="99" t="s">
        <v>1787</v>
      </c>
      <c r="AA367" s="99" t="s">
        <v>2978</v>
      </c>
      <c r="AB367" s="100" t="s">
        <v>1475</v>
      </c>
      <c r="AC367" s="99">
        <f>+VALUE(AB367:AB717)</f>
        <v>221361749</v>
      </c>
      <c r="AD367" s="99" t="s">
        <v>1476</v>
      </c>
      <c r="AE367" s="99" t="s">
        <v>2427</v>
      </c>
      <c r="AF367" s="347" t="s">
        <v>1477</v>
      </c>
      <c r="AG367" s="316" t="s">
        <v>1478</v>
      </c>
      <c r="AH367" s="251"/>
      <c r="AI367" s="251"/>
      <c r="AJ367" s="251"/>
      <c r="AK367" s="251"/>
      <c r="AL367" s="251"/>
      <c r="AM367" s="251"/>
      <c r="AN367" s="251"/>
      <c r="AO367" s="251"/>
      <c r="AP367" s="251"/>
      <c r="AQ367" s="251"/>
      <c r="AR367" s="251"/>
      <c r="AS367" s="251" t="s">
        <v>2390</v>
      </c>
      <c r="AT367" s="251" t="s">
        <v>3491</v>
      </c>
      <c r="AU367" s="379"/>
      <c r="AV367" s="380"/>
    </row>
    <row r="368" spans="1:48" x14ac:dyDescent="0.25">
      <c r="A368" s="354" t="s">
        <v>272</v>
      </c>
      <c r="B368" s="396" t="s">
        <v>3542</v>
      </c>
      <c r="C368" s="100" t="s">
        <v>487</v>
      </c>
      <c r="D368" s="97">
        <v>31792</v>
      </c>
      <c r="E368" s="97">
        <f t="shared" si="58"/>
        <v>52611</v>
      </c>
      <c r="F368" s="97">
        <f t="shared" si="54"/>
        <v>52628</v>
      </c>
      <c r="G368" s="97">
        <v>52628</v>
      </c>
      <c r="H368" s="97">
        <v>42309</v>
      </c>
      <c r="I368" s="206" t="s">
        <v>2103</v>
      </c>
      <c r="J368" s="207" t="s">
        <v>287</v>
      </c>
      <c r="K368" s="118" t="s">
        <v>281</v>
      </c>
      <c r="L368" s="97">
        <v>42370</v>
      </c>
      <c r="M368" s="117"/>
      <c r="N368" s="118" t="s">
        <v>71</v>
      </c>
      <c r="O368" s="119">
        <v>1.49</v>
      </c>
      <c r="P368" s="119"/>
      <c r="Q368" s="99"/>
      <c r="R368" s="314">
        <f t="shared" si="56"/>
        <v>7047700</v>
      </c>
      <c r="S368" s="314">
        <f t="shared" si="57"/>
        <v>0</v>
      </c>
      <c r="T368" s="314">
        <f t="shared" si="53"/>
        <v>0</v>
      </c>
      <c r="U368" s="314">
        <f t="shared" si="52"/>
        <v>7047700</v>
      </c>
      <c r="V368" s="314">
        <f>+VLOOKUP(A368,[2]Sheet1!$B$11:$J$400,9,0)</f>
        <v>6198400</v>
      </c>
      <c r="W368" s="315" t="s">
        <v>1769</v>
      </c>
      <c r="X368" s="99" t="s">
        <v>1454</v>
      </c>
      <c r="Y368" s="99" t="str">
        <f>+VLOOKUP(A368,[3]Sheet1!$B$11:$I$388,8,0)</f>
        <v>54 - 016</v>
      </c>
      <c r="Z368" s="99" t="s">
        <v>1787</v>
      </c>
      <c r="AA368" s="99" t="s">
        <v>2979</v>
      </c>
      <c r="AB368" s="100">
        <v>221140289</v>
      </c>
      <c r="AC368" s="99">
        <f>+VALUE(AB368:AB720)</f>
        <v>221140289</v>
      </c>
      <c r="AD368" s="99" t="s">
        <v>1479</v>
      </c>
      <c r="AE368" s="99" t="s">
        <v>2427</v>
      </c>
      <c r="AF368" s="347" t="s">
        <v>1480</v>
      </c>
      <c r="AG368" s="316" t="s">
        <v>1299</v>
      </c>
      <c r="AH368" s="251"/>
      <c r="AI368" s="251"/>
      <c r="AJ368" s="251"/>
      <c r="AK368" s="251" t="s">
        <v>3585</v>
      </c>
      <c r="AL368" s="251"/>
      <c r="AM368" s="251"/>
      <c r="AN368" s="251"/>
      <c r="AO368" s="251"/>
      <c r="AP368" s="251"/>
      <c r="AQ368" s="251"/>
      <c r="AR368" s="251"/>
      <c r="AS368" s="251" t="s">
        <v>2391</v>
      </c>
      <c r="AT368" s="251" t="s">
        <v>3491</v>
      </c>
      <c r="AU368" s="379"/>
      <c r="AV368" s="380"/>
    </row>
    <row r="369" spans="1:48" x14ac:dyDescent="0.25">
      <c r="A369" s="364" t="s">
        <v>269</v>
      </c>
      <c r="B369" s="396" t="s">
        <v>3542</v>
      </c>
      <c r="C369" s="100" t="s">
        <v>646</v>
      </c>
      <c r="D369" s="97">
        <v>33683</v>
      </c>
      <c r="E369" s="97">
        <f t="shared" si="58"/>
        <v>54502</v>
      </c>
      <c r="F369" s="97">
        <f t="shared" si="54"/>
        <v>54514</v>
      </c>
      <c r="G369" s="97">
        <v>54514</v>
      </c>
      <c r="H369" s="97">
        <v>43191</v>
      </c>
      <c r="I369" s="206" t="s">
        <v>2103</v>
      </c>
      <c r="J369" s="207" t="s">
        <v>287</v>
      </c>
      <c r="K369" s="118" t="s">
        <v>281</v>
      </c>
      <c r="L369" s="97">
        <v>43191</v>
      </c>
      <c r="M369" s="204"/>
      <c r="N369" s="118" t="s">
        <v>71</v>
      </c>
      <c r="O369" s="119">
        <v>1.49</v>
      </c>
      <c r="P369" s="119"/>
      <c r="Q369" s="99"/>
      <c r="R369" s="314">
        <f t="shared" si="56"/>
        <v>7047700</v>
      </c>
      <c r="S369" s="314">
        <f t="shared" si="57"/>
        <v>0</v>
      </c>
      <c r="T369" s="314">
        <f t="shared" si="53"/>
        <v>0</v>
      </c>
      <c r="U369" s="314">
        <f t="shared" si="52"/>
        <v>7047700</v>
      </c>
      <c r="V369" s="314">
        <f>+VLOOKUP(A369,[2]Sheet1!$B$11:$J$400,9,0)</f>
        <v>6198400</v>
      </c>
      <c r="W369" s="315" t="s">
        <v>1762</v>
      </c>
      <c r="X369" s="99" t="s">
        <v>682</v>
      </c>
      <c r="Y369" s="99" t="str">
        <f>+VLOOKUP(A369,[3]Sheet1!$B$11:$I$388,8,0)</f>
        <v>54 - 003</v>
      </c>
      <c r="Z369" s="99" t="s">
        <v>1787</v>
      </c>
      <c r="AA369" s="99" t="s">
        <v>2980</v>
      </c>
      <c r="AB369" s="100" t="s">
        <v>647</v>
      </c>
      <c r="AC369" s="99">
        <f>+VALUE(AB369:AB721)</f>
        <v>221329464</v>
      </c>
      <c r="AD369" s="205" t="s">
        <v>648</v>
      </c>
      <c r="AE369" s="99" t="s">
        <v>2427</v>
      </c>
      <c r="AF369" s="347" t="s">
        <v>684</v>
      </c>
      <c r="AG369" s="316" t="s">
        <v>683</v>
      </c>
      <c r="AH369" s="251"/>
      <c r="AI369" s="251" t="s">
        <v>3672</v>
      </c>
      <c r="AJ369" s="251"/>
      <c r="AK369" s="251"/>
      <c r="AL369" s="251"/>
      <c r="AM369" s="251"/>
      <c r="AN369" s="251"/>
      <c r="AO369" s="251"/>
      <c r="AP369" s="247">
        <v>43570</v>
      </c>
      <c r="AQ369" s="251"/>
      <c r="AR369" s="247">
        <v>44301</v>
      </c>
      <c r="AS369" s="251" t="s">
        <v>2357</v>
      </c>
      <c r="AT369" s="251" t="s">
        <v>3491</v>
      </c>
      <c r="AU369" s="379"/>
      <c r="AV369" s="380"/>
    </row>
    <row r="370" spans="1:48" x14ac:dyDescent="0.25">
      <c r="A370" s="354" t="s">
        <v>2490</v>
      </c>
      <c r="B370" s="396" t="s">
        <v>3542</v>
      </c>
      <c r="C370" s="100" t="s">
        <v>486</v>
      </c>
      <c r="D370" s="205">
        <v>34409</v>
      </c>
      <c r="E370" s="97">
        <f t="shared" si="58"/>
        <v>55228</v>
      </c>
      <c r="F370" s="97">
        <f t="shared" si="54"/>
        <v>55244</v>
      </c>
      <c r="G370" s="97">
        <v>55244</v>
      </c>
      <c r="H370" s="97">
        <v>44562</v>
      </c>
      <c r="I370" s="206" t="s">
        <v>2103</v>
      </c>
      <c r="J370" s="207" t="s">
        <v>287</v>
      </c>
      <c r="K370" s="118" t="s">
        <v>281</v>
      </c>
      <c r="L370" s="97">
        <v>44562</v>
      </c>
      <c r="M370" s="117"/>
      <c r="N370" s="118" t="s">
        <v>72</v>
      </c>
      <c r="O370" s="119">
        <v>1.41</v>
      </c>
      <c r="P370" s="119"/>
      <c r="Q370" s="99"/>
      <c r="R370" s="314">
        <f t="shared" si="56"/>
        <v>6669300</v>
      </c>
      <c r="S370" s="314">
        <f t="shared" si="57"/>
        <v>0</v>
      </c>
      <c r="T370" s="314">
        <f t="shared" si="53"/>
        <v>0</v>
      </c>
      <c r="U370" s="314">
        <f t="shared" si="52"/>
        <v>6669300</v>
      </c>
      <c r="V370" s="314">
        <f>+VLOOKUP(A370,[2]Sheet1!$B$11:$J$400,9,0)</f>
        <v>5865600</v>
      </c>
      <c r="W370" s="315" t="s">
        <v>2726</v>
      </c>
      <c r="X370" s="99"/>
      <c r="Y370" s="99" t="str">
        <f>+VLOOKUP(A370,[3]Sheet1!$B$11:$I$388,8,0)</f>
        <v>54 - 003</v>
      </c>
      <c r="Z370" s="99" t="s">
        <v>1787</v>
      </c>
      <c r="AA370" s="99" t="s">
        <v>2982</v>
      </c>
      <c r="AB370" s="100" t="s">
        <v>2491</v>
      </c>
      <c r="AC370" s="201">
        <v>221361280</v>
      </c>
      <c r="AD370" s="205" t="s">
        <v>2492</v>
      </c>
      <c r="AE370" s="99" t="s">
        <v>2427</v>
      </c>
      <c r="AF370" s="347" t="s">
        <v>2493</v>
      </c>
      <c r="AG370" s="251" t="s">
        <v>2494</v>
      </c>
      <c r="AH370" s="251"/>
      <c r="AI370" s="251"/>
      <c r="AJ370" s="251"/>
      <c r="AK370" s="251"/>
      <c r="AL370" s="251"/>
      <c r="AM370" s="251"/>
      <c r="AN370" s="251"/>
      <c r="AO370" s="251"/>
      <c r="AP370" s="251"/>
      <c r="AQ370" s="251"/>
      <c r="AR370" s="251"/>
      <c r="AS370" s="251" t="s">
        <v>2392</v>
      </c>
      <c r="AT370" s="251" t="s">
        <v>3491</v>
      </c>
      <c r="AU370" s="379"/>
      <c r="AV370" s="380"/>
    </row>
    <row r="371" spans="1:48" x14ac:dyDescent="0.25">
      <c r="A371" s="354" t="s">
        <v>2548</v>
      </c>
      <c r="B371" s="396" t="s">
        <v>3542</v>
      </c>
      <c r="C371" s="100" t="s">
        <v>2549</v>
      </c>
      <c r="D371" s="205">
        <v>37413</v>
      </c>
      <c r="E371" s="97">
        <f t="shared" si="58"/>
        <v>58232</v>
      </c>
      <c r="F371" s="97">
        <f t="shared" si="54"/>
        <v>58257</v>
      </c>
      <c r="G371" s="97">
        <v>58257</v>
      </c>
      <c r="H371" s="97">
        <v>44896</v>
      </c>
      <c r="I371" s="206" t="s">
        <v>2103</v>
      </c>
      <c r="J371" s="207" t="s">
        <v>287</v>
      </c>
      <c r="K371" s="118" t="s">
        <v>281</v>
      </c>
      <c r="L371" s="97">
        <v>44927</v>
      </c>
      <c r="M371" s="117"/>
      <c r="N371" s="118" t="s">
        <v>72</v>
      </c>
      <c r="O371" s="119">
        <v>1.41</v>
      </c>
      <c r="P371" s="119"/>
      <c r="Q371" s="99"/>
      <c r="R371" s="314">
        <f t="shared" si="56"/>
        <v>6669300</v>
      </c>
      <c r="S371" s="314">
        <f t="shared" si="57"/>
        <v>0</v>
      </c>
      <c r="T371" s="314">
        <f t="shared" si="53"/>
        <v>0</v>
      </c>
      <c r="U371" s="314">
        <f t="shared" si="52"/>
        <v>6669300</v>
      </c>
      <c r="V371" s="314">
        <f>+VLOOKUP(A371,[2]Sheet1!$B$11:$J$400,9,0)</f>
        <v>5865600</v>
      </c>
      <c r="W371" s="315" t="s">
        <v>2727</v>
      </c>
      <c r="X371" s="99"/>
      <c r="Y371" s="99" t="str">
        <f>+VLOOKUP(A371,[3]Sheet1!$B$11:$I$388,8,0)</f>
        <v>54 - 003</v>
      </c>
      <c r="Z371" s="99" t="s">
        <v>1787</v>
      </c>
      <c r="AA371" s="99" t="s">
        <v>2550</v>
      </c>
      <c r="AB371" s="223" t="s">
        <v>2550</v>
      </c>
      <c r="AC371" s="201">
        <v>54202005845</v>
      </c>
      <c r="AD371" s="205" t="s">
        <v>2551</v>
      </c>
      <c r="AE371" s="99" t="s">
        <v>2427</v>
      </c>
      <c r="AF371" s="347" t="s">
        <v>2552</v>
      </c>
      <c r="AG371" s="251" t="s">
        <v>2060</v>
      </c>
      <c r="AH371" s="251"/>
      <c r="AI371" s="251"/>
      <c r="AJ371" s="251"/>
      <c r="AK371" s="251"/>
      <c r="AL371" s="251" t="s">
        <v>3603</v>
      </c>
      <c r="AM371" s="247">
        <v>44896</v>
      </c>
      <c r="AN371" s="251"/>
      <c r="AO371" s="251"/>
      <c r="AP371" s="247">
        <v>44927</v>
      </c>
      <c r="AQ371" s="251"/>
      <c r="AR371" s="251"/>
      <c r="AS371" s="321" t="s">
        <v>2553</v>
      </c>
      <c r="AT371" s="251" t="s">
        <v>3491</v>
      </c>
      <c r="AU371" s="379"/>
      <c r="AV371" s="380"/>
    </row>
    <row r="372" spans="1:48" x14ac:dyDescent="0.25">
      <c r="A372" s="354" t="s">
        <v>242</v>
      </c>
      <c r="B372" s="396" t="s">
        <v>3542</v>
      </c>
      <c r="C372" s="100" t="s">
        <v>458</v>
      </c>
      <c r="D372" s="97">
        <v>33817</v>
      </c>
      <c r="E372" s="97">
        <f t="shared" si="58"/>
        <v>54636</v>
      </c>
      <c r="F372" s="97">
        <f t="shared" si="54"/>
        <v>54667</v>
      </c>
      <c r="G372" s="97">
        <v>54667</v>
      </c>
      <c r="H372" s="97">
        <v>43040</v>
      </c>
      <c r="I372" s="206" t="s">
        <v>2103</v>
      </c>
      <c r="J372" s="207" t="s">
        <v>287</v>
      </c>
      <c r="K372" s="118" t="s">
        <v>281</v>
      </c>
      <c r="L372" s="97">
        <v>43040</v>
      </c>
      <c r="M372" s="117"/>
      <c r="N372" s="200" t="s">
        <v>71</v>
      </c>
      <c r="O372" s="119">
        <v>1.49</v>
      </c>
      <c r="P372" s="119"/>
      <c r="Q372" s="99"/>
      <c r="R372" s="314">
        <f t="shared" si="56"/>
        <v>7047700</v>
      </c>
      <c r="S372" s="314">
        <f t="shared" si="57"/>
        <v>0</v>
      </c>
      <c r="T372" s="314">
        <f t="shared" si="53"/>
        <v>0</v>
      </c>
      <c r="U372" s="314">
        <f t="shared" si="52"/>
        <v>7047700</v>
      </c>
      <c r="V372" s="314">
        <f>+VLOOKUP(A372,[2]Sheet1!$B$11:$J$400,9,0)</f>
        <v>6198400</v>
      </c>
      <c r="W372" s="315" t="s">
        <v>1733</v>
      </c>
      <c r="X372" s="99" t="s">
        <v>1377</v>
      </c>
      <c r="Y372" s="99" t="str">
        <f>+VLOOKUP(A372,[3]Sheet1!$B$11:$I$388,8,0)</f>
        <v>54 - 016</v>
      </c>
      <c r="Z372" s="99" t="s">
        <v>1787</v>
      </c>
      <c r="AA372" s="99" t="s">
        <v>2930</v>
      </c>
      <c r="AB372" s="100">
        <v>221287634</v>
      </c>
      <c r="AC372" s="99">
        <f>+VALUE(AB300:AB658)</f>
        <v>221287634</v>
      </c>
      <c r="AD372" s="99" t="s">
        <v>1387</v>
      </c>
      <c r="AE372" s="99" t="s">
        <v>2427</v>
      </c>
      <c r="AF372" s="347" t="s">
        <v>1388</v>
      </c>
      <c r="AG372" s="316" t="s">
        <v>1389</v>
      </c>
      <c r="AH372" s="251"/>
      <c r="AI372" s="251"/>
      <c r="AJ372" s="251"/>
      <c r="AK372" s="251" t="s">
        <v>3585</v>
      </c>
      <c r="AL372" s="251"/>
      <c r="AM372" s="251"/>
      <c r="AN372" s="251"/>
      <c r="AO372" s="251"/>
      <c r="AP372" s="251"/>
      <c r="AQ372" s="251"/>
      <c r="AR372" s="251"/>
      <c r="AS372" s="251" t="s">
        <v>2343</v>
      </c>
      <c r="AT372" s="251" t="s">
        <v>3491</v>
      </c>
      <c r="AU372" s="379"/>
      <c r="AV372" s="380"/>
    </row>
    <row r="373" spans="1:48" x14ac:dyDescent="0.25">
      <c r="A373" s="354" t="s">
        <v>1920</v>
      </c>
      <c r="B373" s="396" t="s">
        <v>3542</v>
      </c>
      <c r="C373" s="100" t="s">
        <v>1921</v>
      </c>
      <c r="D373" s="205">
        <v>32872</v>
      </c>
      <c r="E373" s="97">
        <f t="shared" si="58"/>
        <v>53691</v>
      </c>
      <c r="F373" s="97">
        <f t="shared" si="54"/>
        <v>53693</v>
      </c>
      <c r="G373" s="97">
        <v>53693</v>
      </c>
      <c r="H373" s="97">
        <v>43556</v>
      </c>
      <c r="I373" s="206" t="s">
        <v>2103</v>
      </c>
      <c r="J373" s="207" t="s">
        <v>287</v>
      </c>
      <c r="K373" s="118" t="s">
        <v>281</v>
      </c>
      <c r="L373" s="97">
        <v>43570</v>
      </c>
      <c r="M373" s="117"/>
      <c r="N373" s="118" t="s">
        <v>72</v>
      </c>
      <c r="O373" s="119">
        <v>1.41</v>
      </c>
      <c r="P373" s="119"/>
      <c r="Q373" s="99"/>
      <c r="R373" s="314">
        <f t="shared" si="56"/>
        <v>6669300</v>
      </c>
      <c r="S373" s="314">
        <f t="shared" si="57"/>
        <v>0</v>
      </c>
      <c r="T373" s="314">
        <f t="shared" si="53"/>
        <v>0</v>
      </c>
      <c r="U373" s="314">
        <f t="shared" si="52"/>
        <v>6669300</v>
      </c>
      <c r="V373" s="314">
        <f>+VLOOKUP(A373,[2]Sheet1!$B$11:$J$400,9,0)</f>
        <v>5865600</v>
      </c>
      <c r="W373" s="315" t="s">
        <v>1922</v>
      </c>
      <c r="X373" s="99" t="s">
        <v>1955</v>
      </c>
      <c r="Y373" s="99" t="str">
        <f>+VLOOKUP(A373,[3]Sheet1!$B$11:$I$388,8,0)</f>
        <v>56 - 002</v>
      </c>
      <c r="Z373" s="99" t="s">
        <v>1787</v>
      </c>
      <c r="AA373" s="99" t="s">
        <v>2935</v>
      </c>
      <c r="AB373" s="223" t="s">
        <v>1923</v>
      </c>
      <c r="AC373" s="99">
        <f>+VALUE(AB305:AB676)</f>
        <v>221215324</v>
      </c>
      <c r="AD373" s="205" t="s">
        <v>1924</v>
      </c>
      <c r="AE373" s="99" t="s">
        <v>2427</v>
      </c>
      <c r="AF373" s="347" t="s">
        <v>1862</v>
      </c>
      <c r="AG373" s="251" t="s">
        <v>1471</v>
      </c>
      <c r="AH373" s="251"/>
      <c r="AI373" s="251"/>
      <c r="AJ373" s="251"/>
      <c r="AK373" s="251" t="s">
        <v>3609</v>
      </c>
      <c r="AL373" s="251"/>
      <c r="AM373" s="251"/>
      <c r="AN373" s="251"/>
      <c r="AO373" s="251"/>
      <c r="AP373" s="251"/>
      <c r="AQ373" s="251"/>
      <c r="AR373" s="251"/>
      <c r="AS373" s="251" t="s">
        <v>2349</v>
      </c>
      <c r="AT373" s="251" t="s">
        <v>3491</v>
      </c>
      <c r="AU373" s="379"/>
      <c r="AV373" s="380"/>
    </row>
    <row r="374" spans="1:48" x14ac:dyDescent="0.25">
      <c r="A374" s="354" t="s">
        <v>2049</v>
      </c>
      <c r="B374" s="396" t="s">
        <v>3542</v>
      </c>
      <c r="C374" s="100" t="s">
        <v>2048</v>
      </c>
      <c r="D374" s="205">
        <v>34257</v>
      </c>
      <c r="E374" s="97">
        <f t="shared" si="58"/>
        <v>55076</v>
      </c>
      <c r="F374" s="97">
        <f t="shared" si="54"/>
        <v>55093</v>
      </c>
      <c r="G374" s="97">
        <v>55093</v>
      </c>
      <c r="H374" s="97">
        <v>43983</v>
      </c>
      <c r="I374" s="206" t="s">
        <v>2103</v>
      </c>
      <c r="J374" s="207" t="s">
        <v>287</v>
      </c>
      <c r="K374" s="118" t="s">
        <v>281</v>
      </c>
      <c r="L374" s="117" t="s">
        <v>3238</v>
      </c>
      <c r="M374" s="117"/>
      <c r="N374" s="238" t="s">
        <v>71</v>
      </c>
      <c r="O374" s="119">
        <v>1.49</v>
      </c>
      <c r="P374" s="119"/>
      <c r="Q374" s="99"/>
      <c r="R374" s="314">
        <f t="shared" si="56"/>
        <v>7047700</v>
      </c>
      <c r="S374" s="314">
        <f t="shared" si="57"/>
        <v>0</v>
      </c>
      <c r="T374" s="314">
        <f t="shared" si="53"/>
        <v>0</v>
      </c>
      <c r="U374" s="314">
        <f t="shared" si="52"/>
        <v>7047700</v>
      </c>
      <c r="V374" s="314">
        <f>+VLOOKUP(A374,[2]Sheet1!$B$11:$J$400,9,0)</f>
        <v>6225600</v>
      </c>
      <c r="W374" s="315" t="s">
        <v>2064</v>
      </c>
      <c r="X374" s="99" t="s">
        <v>2065</v>
      </c>
      <c r="Y374" s="99" t="str">
        <f>+VLOOKUP(A374,[3]Sheet1!$B$11:$I$388,8,0)</f>
        <v>54 - 003</v>
      </c>
      <c r="Z374" s="99" t="s">
        <v>1787</v>
      </c>
      <c r="AA374" s="99" t="s">
        <v>2971</v>
      </c>
      <c r="AB374" s="223" t="s">
        <v>2050</v>
      </c>
      <c r="AC374" s="99">
        <f>+VALUE(AB358:AB709)</f>
        <v>221278588</v>
      </c>
      <c r="AD374" s="205" t="s">
        <v>840</v>
      </c>
      <c r="AE374" s="99" t="s">
        <v>2427</v>
      </c>
      <c r="AF374" s="347" t="s">
        <v>2051</v>
      </c>
      <c r="AG374" s="316" t="s">
        <v>2060</v>
      </c>
      <c r="AH374" s="251"/>
      <c r="AI374" s="251"/>
      <c r="AJ374" s="251" t="s">
        <v>3673</v>
      </c>
      <c r="AK374" s="251"/>
      <c r="AL374" s="251"/>
      <c r="AM374" s="251"/>
      <c r="AN374" s="251"/>
      <c r="AO374" s="251"/>
      <c r="AP374" s="251"/>
      <c r="AQ374" s="251"/>
      <c r="AR374" s="251"/>
      <c r="AS374" s="251">
        <v>963208861</v>
      </c>
      <c r="AT374" s="251" t="s">
        <v>3491</v>
      </c>
      <c r="AU374" s="379"/>
      <c r="AV374" s="380"/>
    </row>
    <row r="375" spans="1:48" x14ac:dyDescent="0.25">
      <c r="A375" s="366" t="s">
        <v>680</v>
      </c>
      <c r="B375" s="396" t="s">
        <v>3542</v>
      </c>
      <c r="C375" s="100" t="s">
        <v>476</v>
      </c>
      <c r="D375" s="97">
        <v>27617</v>
      </c>
      <c r="E375" s="97">
        <f t="shared" si="58"/>
        <v>48437</v>
      </c>
      <c r="F375" s="97">
        <f t="shared" si="54"/>
        <v>48458</v>
      </c>
      <c r="G375" s="97">
        <v>48458</v>
      </c>
      <c r="H375" s="97">
        <v>36220</v>
      </c>
      <c r="I375" s="206" t="s">
        <v>729</v>
      </c>
      <c r="J375" s="207" t="s">
        <v>287</v>
      </c>
      <c r="K375" s="118" t="s">
        <v>286</v>
      </c>
      <c r="L375" s="97">
        <v>42309</v>
      </c>
      <c r="M375" s="117"/>
      <c r="N375" s="118" t="s">
        <v>74</v>
      </c>
      <c r="O375" s="119">
        <v>1.68</v>
      </c>
      <c r="P375" s="119">
        <v>0.06</v>
      </c>
      <c r="Q375" s="99"/>
      <c r="R375" s="314">
        <f t="shared" si="56"/>
        <v>7946400</v>
      </c>
      <c r="S375" s="314">
        <f t="shared" si="57"/>
        <v>264600</v>
      </c>
      <c r="T375" s="314">
        <f t="shared" si="53"/>
        <v>0</v>
      </c>
      <c r="U375" s="314">
        <f t="shared" si="52"/>
        <v>8211000</v>
      </c>
      <c r="V375" s="314">
        <f>+VLOOKUP(A375,[2]Sheet1!$B$11:$J$400,9,0)</f>
        <v>7238400</v>
      </c>
      <c r="W375" s="315" t="s">
        <v>1756</v>
      </c>
      <c r="X375" s="99" t="s">
        <v>1443</v>
      </c>
      <c r="Y375" s="99" t="str">
        <f>+VLOOKUP(A375,[3]Sheet1!$B$11:$I$388,8,0)</f>
        <v>54 - 016</v>
      </c>
      <c r="Z375" s="99" t="s">
        <v>1787</v>
      </c>
      <c r="AA375" s="99" t="s">
        <v>2983</v>
      </c>
      <c r="AB375" s="100" t="s">
        <v>2145</v>
      </c>
      <c r="AC375" s="99">
        <f>+VALUE(AB350:AB699)</f>
        <v>211987926</v>
      </c>
      <c r="AD375" s="99" t="s">
        <v>1444</v>
      </c>
      <c r="AE375" s="99" t="s">
        <v>2427</v>
      </c>
      <c r="AF375" s="347" t="s">
        <v>1445</v>
      </c>
      <c r="AG375" s="316" t="s">
        <v>1445</v>
      </c>
      <c r="AH375" s="251"/>
      <c r="AI375" s="251"/>
      <c r="AJ375" s="251"/>
      <c r="AK375" s="251" t="s">
        <v>3585</v>
      </c>
      <c r="AL375" s="251"/>
      <c r="AM375" s="251"/>
      <c r="AN375" s="251"/>
      <c r="AO375" s="251"/>
      <c r="AP375" s="251"/>
      <c r="AQ375" s="251"/>
      <c r="AR375" s="251"/>
      <c r="AS375" s="251" t="s">
        <v>2393</v>
      </c>
      <c r="AT375" s="251" t="s">
        <v>3491</v>
      </c>
      <c r="AU375" s="379"/>
      <c r="AV375" s="380"/>
    </row>
    <row r="376" spans="1:48" x14ac:dyDescent="0.25">
      <c r="A376" s="354" t="s">
        <v>690</v>
      </c>
      <c r="B376" s="396" t="s">
        <v>3542</v>
      </c>
      <c r="C376" s="100" t="s">
        <v>490</v>
      </c>
      <c r="D376" s="97">
        <v>28441</v>
      </c>
      <c r="E376" s="97">
        <f t="shared" si="58"/>
        <v>49260</v>
      </c>
      <c r="F376" s="97">
        <f t="shared" si="54"/>
        <v>49279</v>
      </c>
      <c r="G376" s="97">
        <v>49279</v>
      </c>
      <c r="H376" s="97">
        <v>36220</v>
      </c>
      <c r="I376" s="206" t="s">
        <v>729</v>
      </c>
      <c r="J376" s="207" t="s">
        <v>287</v>
      </c>
      <c r="K376" s="118" t="s">
        <v>285</v>
      </c>
      <c r="L376" s="97">
        <v>42979</v>
      </c>
      <c r="M376" s="117"/>
      <c r="N376" s="118" t="s">
        <v>74</v>
      </c>
      <c r="O376" s="119">
        <v>1.68</v>
      </c>
      <c r="P376" s="119">
        <v>0.04</v>
      </c>
      <c r="Q376" s="99"/>
      <c r="R376" s="314">
        <f t="shared" si="56"/>
        <v>7946400</v>
      </c>
      <c r="S376" s="314">
        <f t="shared" si="57"/>
        <v>176400</v>
      </c>
      <c r="T376" s="314">
        <f t="shared" si="53"/>
        <v>0</v>
      </c>
      <c r="U376" s="314">
        <f t="shared" si="52"/>
        <v>8122800</v>
      </c>
      <c r="V376" s="314">
        <f>+VLOOKUP(A376,[2]Sheet1!$B$11:$J$400,9,0)</f>
        <v>7155200</v>
      </c>
      <c r="W376" s="315" t="s">
        <v>1772</v>
      </c>
      <c r="X376" s="99" t="s">
        <v>1282</v>
      </c>
      <c r="Y376" s="99" t="str">
        <f>+VLOOKUP(A376,[3]Sheet1!$B$11:$I$388,8,0)</f>
        <v>54 - 016</v>
      </c>
      <c r="Z376" s="99" t="s">
        <v>1787</v>
      </c>
      <c r="AA376" s="99" t="s">
        <v>2985</v>
      </c>
      <c r="AB376" s="100">
        <v>220984397</v>
      </c>
      <c r="AC376" s="99">
        <f>+VALUE(AB376:AB724)</f>
        <v>220984397</v>
      </c>
      <c r="AD376" s="99" t="s">
        <v>1485</v>
      </c>
      <c r="AE376" s="99" t="s">
        <v>2427</v>
      </c>
      <c r="AF376" s="347" t="s">
        <v>1346</v>
      </c>
      <c r="AG376" s="316" t="s">
        <v>1486</v>
      </c>
      <c r="AH376" s="251"/>
      <c r="AI376" s="251" t="s">
        <v>3597</v>
      </c>
      <c r="AJ376" s="251"/>
      <c r="AK376" s="251"/>
      <c r="AL376" s="251"/>
      <c r="AM376" s="251"/>
      <c r="AN376" s="251"/>
      <c r="AO376" s="251"/>
      <c r="AP376" s="251"/>
      <c r="AQ376" s="251"/>
      <c r="AR376" s="251"/>
      <c r="AS376" s="251" t="s">
        <v>2395</v>
      </c>
      <c r="AT376" s="251" t="s">
        <v>3491</v>
      </c>
      <c r="AU376" s="379"/>
      <c r="AV376" s="380"/>
    </row>
    <row r="377" spans="1:48" x14ac:dyDescent="0.25">
      <c r="A377" s="361" t="s">
        <v>691</v>
      </c>
      <c r="B377" s="396" t="s">
        <v>3542</v>
      </c>
      <c r="C377" s="100" t="s">
        <v>491</v>
      </c>
      <c r="D377" s="97">
        <v>25802</v>
      </c>
      <c r="E377" s="97">
        <v>46529</v>
      </c>
      <c r="F377" s="97">
        <f t="shared" si="54"/>
        <v>46539</v>
      </c>
      <c r="G377" s="97">
        <v>46539</v>
      </c>
      <c r="H377" s="97">
        <v>33086</v>
      </c>
      <c r="I377" s="206" t="s">
        <v>729</v>
      </c>
      <c r="J377" s="207" t="s">
        <v>287</v>
      </c>
      <c r="K377" s="118" t="s">
        <v>281</v>
      </c>
      <c r="L377" s="97">
        <v>38899</v>
      </c>
      <c r="M377" s="117"/>
      <c r="N377" s="118" t="s">
        <v>76</v>
      </c>
      <c r="O377" s="119">
        <v>1.58</v>
      </c>
      <c r="P377" s="119"/>
      <c r="Q377" s="99"/>
      <c r="R377" s="314">
        <f t="shared" si="56"/>
        <v>7473400</v>
      </c>
      <c r="S377" s="314">
        <f t="shared" si="57"/>
        <v>0</v>
      </c>
      <c r="T377" s="314">
        <f t="shared" si="53"/>
        <v>0</v>
      </c>
      <c r="U377" s="314">
        <f t="shared" si="52"/>
        <v>7473400</v>
      </c>
      <c r="V377" s="314">
        <f>+VLOOKUP(A377,[2]Sheet1!$B$11:$J$400,9,0)</f>
        <v>6572800</v>
      </c>
      <c r="W377" s="315" t="s">
        <v>1773</v>
      </c>
      <c r="X377" s="99" t="s">
        <v>1282</v>
      </c>
      <c r="Y377" s="99" t="str">
        <f>+VLOOKUP(A377,[3]Sheet1!$B$11:$I$388,8,0)</f>
        <v>54 - 033</v>
      </c>
      <c r="Z377" s="99" t="s">
        <v>1787</v>
      </c>
      <c r="AA377" s="99" t="s">
        <v>2986</v>
      </c>
      <c r="AB377" s="100">
        <v>220752810</v>
      </c>
      <c r="AC377" s="99">
        <f>+VALUE(AB377:AB727)</f>
        <v>220752810</v>
      </c>
      <c r="AD377" s="99" t="s">
        <v>1488</v>
      </c>
      <c r="AE377" s="99" t="s">
        <v>2427</v>
      </c>
      <c r="AF377" s="347" t="s">
        <v>1298</v>
      </c>
      <c r="AG377" s="316" t="s">
        <v>1489</v>
      </c>
      <c r="AH377" s="251"/>
      <c r="AI377" s="251"/>
      <c r="AJ377" s="251"/>
      <c r="AK377" s="251"/>
      <c r="AL377" s="251" t="s">
        <v>3592</v>
      </c>
      <c r="AM377" s="251"/>
      <c r="AN377" s="251"/>
      <c r="AO377" s="251"/>
      <c r="AP377" s="251"/>
      <c r="AQ377" s="251"/>
      <c r="AR377" s="251"/>
      <c r="AS377" s="251" t="s">
        <v>2396</v>
      </c>
      <c r="AT377" s="251" t="s">
        <v>3491</v>
      </c>
      <c r="AU377" s="379"/>
      <c r="AV377" s="380"/>
    </row>
    <row r="378" spans="1:48" x14ac:dyDescent="0.25">
      <c r="A378" s="354" t="s">
        <v>273</v>
      </c>
      <c r="B378" s="396" t="s">
        <v>3542</v>
      </c>
      <c r="C378" s="100" t="s">
        <v>492</v>
      </c>
      <c r="D378" s="97">
        <v>32409</v>
      </c>
      <c r="E378" s="97">
        <f t="shared" ref="E378:E387" si="59">+DATE(YEAR(D378)+57,MONTH(D378),DAY(D378))</f>
        <v>53228</v>
      </c>
      <c r="F378" s="97">
        <f t="shared" si="54"/>
        <v>53236</v>
      </c>
      <c r="G378" s="97">
        <v>53236</v>
      </c>
      <c r="H378" s="97">
        <v>41671</v>
      </c>
      <c r="I378" s="206" t="s">
        <v>729</v>
      </c>
      <c r="J378" s="207" t="s">
        <v>287</v>
      </c>
      <c r="K378" s="118" t="s">
        <v>281</v>
      </c>
      <c r="L378" s="97">
        <v>42370</v>
      </c>
      <c r="M378" s="117"/>
      <c r="N378" s="118" t="s">
        <v>71</v>
      </c>
      <c r="O378" s="119">
        <v>1.49</v>
      </c>
      <c r="P378" s="119"/>
      <c r="Q378" s="99"/>
      <c r="R378" s="314">
        <f t="shared" si="56"/>
        <v>7047700</v>
      </c>
      <c r="S378" s="314">
        <f t="shared" si="57"/>
        <v>0</v>
      </c>
      <c r="T378" s="314">
        <f t="shared" si="53"/>
        <v>0</v>
      </c>
      <c r="U378" s="314">
        <f t="shared" si="52"/>
        <v>7047700</v>
      </c>
      <c r="V378" s="314">
        <f>+VLOOKUP(A378,[2]Sheet1!$B$11:$J$400,9,0)</f>
        <v>6198400</v>
      </c>
      <c r="W378" s="315" t="s">
        <v>1774</v>
      </c>
      <c r="X378" s="99" t="s">
        <v>1454</v>
      </c>
      <c r="Y378" s="99" t="str">
        <f>+VLOOKUP(A378,[3]Sheet1!$B$11:$I$388,8,0)</f>
        <v>54 - 016</v>
      </c>
      <c r="Z378" s="99" t="s">
        <v>1787</v>
      </c>
      <c r="AA378" s="99" t="s">
        <v>2987</v>
      </c>
      <c r="AB378" s="100">
        <v>221181337</v>
      </c>
      <c r="AC378" s="263" t="s">
        <v>2987</v>
      </c>
      <c r="AD378" s="99" t="s">
        <v>797</v>
      </c>
      <c r="AE378" s="99" t="s">
        <v>2427</v>
      </c>
      <c r="AF378" s="347" t="s">
        <v>1490</v>
      </c>
      <c r="AG378" s="316" t="s">
        <v>1284</v>
      </c>
      <c r="AH378" s="251"/>
      <c r="AI378" s="251"/>
      <c r="AJ378" s="251"/>
      <c r="AK378" s="251"/>
      <c r="AL378" s="251"/>
      <c r="AM378" s="251"/>
      <c r="AN378" s="251"/>
      <c r="AO378" s="251"/>
      <c r="AP378" s="251"/>
      <c r="AQ378" s="251"/>
      <c r="AR378" s="251"/>
      <c r="AS378" s="251" t="s">
        <v>2397</v>
      </c>
      <c r="AT378" s="251" t="s">
        <v>3491</v>
      </c>
      <c r="AU378" s="379"/>
      <c r="AV378" s="380"/>
    </row>
    <row r="379" spans="1:48" x14ac:dyDescent="0.25">
      <c r="A379" s="354" t="s">
        <v>274</v>
      </c>
      <c r="B379" s="396" t="s">
        <v>3542</v>
      </c>
      <c r="C379" s="100" t="s">
        <v>493</v>
      </c>
      <c r="D379" s="97">
        <v>32295</v>
      </c>
      <c r="E379" s="97">
        <f t="shared" si="59"/>
        <v>53114</v>
      </c>
      <c r="F379" s="97">
        <f t="shared" si="54"/>
        <v>53144</v>
      </c>
      <c r="G379" s="97">
        <v>53144</v>
      </c>
      <c r="H379" s="97">
        <v>40513</v>
      </c>
      <c r="I379" s="206" t="s">
        <v>729</v>
      </c>
      <c r="J379" s="207" t="s">
        <v>287</v>
      </c>
      <c r="K379" s="118" t="s">
        <v>281</v>
      </c>
      <c r="L379" s="97">
        <v>43405</v>
      </c>
      <c r="M379" s="117"/>
      <c r="N379" s="238" t="s">
        <v>76</v>
      </c>
      <c r="O379" s="118">
        <v>1.58</v>
      </c>
      <c r="P379" s="119"/>
      <c r="Q379" s="99"/>
      <c r="R379" s="314">
        <f t="shared" si="56"/>
        <v>7473400</v>
      </c>
      <c r="S379" s="314">
        <f t="shared" si="57"/>
        <v>0</v>
      </c>
      <c r="T379" s="314">
        <f t="shared" si="53"/>
        <v>0</v>
      </c>
      <c r="U379" s="314">
        <f t="shared" si="52"/>
        <v>7473400</v>
      </c>
      <c r="V379" s="314">
        <f>+VLOOKUP(A379,[2]Sheet1!$B$11:$J$400,9,0)</f>
        <v>6572800</v>
      </c>
      <c r="W379" s="315" t="s">
        <v>1775</v>
      </c>
      <c r="X379" s="99" t="s">
        <v>1491</v>
      </c>
      <c r="Y379" s="99" t="str">
        <f>+VLOOKUP(A379,[3]Sheet1!$B$11:$I$388,8,0)</f>
        <v>54 - 032</v>
      </c>
      <c r="Z379" s="99" t="s">
        <v>1787</v>
      </c>
      <c r="AA379" s="99" t="s">
        <v>2988</v>
      </c>
      <c r="AB379" s="100">
        <v>221217019</v>
      </c>
      <c r="AC379" s="99">
        <f>+VALUE(AB379:AB730)</f>
        <v>221217019</v>
      </c>
      <c r="AD379" s="99" t="s">
        <v>1492</v>
      </c>
      <c r="AE379" s="99" t="s">
        <v>2427</v>
      </c>
      <c r="AF379" s="347" t="s">
        <v>1493</v>
      </c>
      <c r="AG379" s="316" t="s">
        <v>1494</v>
      </c>
      <c r="AH379" s="251"/>
      <c r="AI379" s="251"/>
      <c r="AJ379" s="251"/>
      <c r="AK379" s="251" t="s">
        <v>3585</v>
      </c>
      <c r="AL379" s="251" t="s">
        <v>3592</v>
      </c>
      <c r="AM379" s="251"/>
      <c r="AN379" s="251"/>
      <c r="AO379" s="251"/>
      <c r="AP379" s="251"/>
      <c r="AQ379" s="251"/>
      <c r="AR379" s="251"/>
      <c r="AS379" s="251" t="s">
        <v>2398</v>
      </c>
      <c r="AT379" s="251" t="s">
        <v>3491</v>
      </c>
      <c r="AU379" s="379"/>
      <c r="AV379" s="380"/>
    </row>
    <row r="380" spans="1:48" x14ac:dyDescent="0.25">
      <c r="A380" s="364" t="s">
        <v>267</v>
      </c>
      <c r="B380" s="396" t="s">
        <v>3542</v>
      </c>
      <c r="C380" s="100" t="s">
        <v>480</v>
      </c>
      <c r="D380" s="97">
        <v>34683</v>
      </c>
      <c r="E380" s="97">
        <f t="shared" si="59"/>
        <v>55502</v>
      </c>
      <c r="F380" s="97">
        <f t="shared" si="54"/>
        <v>55519</v>
      </c>
      <c r="G380" s="97">
        <v>55519</v>
      </c>
      <c r="H380" s="97">
        <v>41671</v>
      </c>
      <c r="I380" s="206" t="s">
        <v>729</v>
      </c>
      <c r="J380" s="207" t="s">
        <v>287</v>
      </c>
      <c r="K380" s="118" t="s">
        <v>281</v>
      </c>
      <c r="L380" s="97">
        <v>42370</v>
      </c>
      <c r="M380" s="204"/>
      <c r="N380" s="118" t="s">
        <v>71</v>
      </c>
      <c r="O380" s="119">
        <v>1.49</v>
      </c>
      <c r="P380" s="119"/>
      <c r="Q380" s="99"/>
      <c r="R380" s="314">
        <f t="shared" si="56"/>
        <v>7047700</v>
      </c>
      <c r="S380" s="314">
        <f t="shared" si="57"/>
        <v>0</v>
      </c>
      <c r="T380" s="314">
        <f t="shared" si="53"/>
        <v>0</v>
      </c>
      <c r="U380" s="314">
        <f t="shared" si="52"/>
        <v>7047700</v>
      </c>
      <c r="V380" s="314">
        <f>+VLOOKUP(A380,[2]Sheet1!$B$11:$J$400,9,0)</f>
        <v>6198400</v>
      </c>
      <c r="W380" s="315" t="s">
        <v>1759</v>
      </c>
      <c r="X380" s="99" t="s">
        <v>1454</v>
      </c>
      <c r="Y380" s="99" t="str">
        <f>+VLOOKUP(A380,[3]Sheet1!$B$11:$I$388,8,0)</f>
        <v>54 - 124</v>
      </c>
      <c r="Z380" s="99" t="s">
        <v>1787</v>
      </c>
      <c r="AA380" s="99" t="s">
        <v>2989</v>
      </c>
      <c r="AB380" s="100">
        <v>221353541</v>
      </c>
      <c r="AC380" s="99">
        <f>+VALUE(AB380:AB731)</f>
        <v>221353541</v>
      </c>
      <c r="AD380" s="99" t="s">
        <v>1455</v>
      </c>
      <c r="AE380" s="99" t="s">
        <v>2427</v>
      </c>
      <c r="AF380" s="347" t="s">
        <v>1456</v>
      </c>
      <c r="AG380" s="316" t="s">
        <v>1457</v>
      </c>
      <c r="AH380" s="251"/>
      <c r="AI380" s="251"/>
      <c r="AJ380" s="251"/>
      <c r="AK380" s="251"/>
      <c r="AL380" s="251"/>
      <c r="AM380" s="251"/>
      <c r="AN380" s="251"/>
      <c r="AO380" s="251"/>
      <c r="AP380" s="251"/>
      <c r="AQ380" s="251"/>
      <c r="AR380" s="251"/>
      <c r="AS380" s="251" t="s">
        <v>2399</v>
      </c>
      <c r="AT380" s="251" t="s">
        <v>3491</v>
      </c>
      <c r="AU380" s="379"/>
      <c r="AV380" s="380"/>
    </row>
    <row r="381" spans="1:48" x14ac:dyDescent="0.25">
      <c r="A381" s="354" t="s">
        <v>693</v>
      </c>
      <c r="B381" s="396" t="s">
        <v>3542</v>
      </c>
      <c r="C381" s="100" t="s">
        <v>495</v>
      </c>
      <c r="D381" s="97">
        <v>26333</v>
      </c>
      <c r="E381" s="97">
        <f t="shared" si="59"/>
        <v>47153</v>
      </c>
      <c r="F381" s="97">
        <f t="shared" si="54"/>
        <v>47178</v>
      </c>
      <c r="G381" s="97">
        <v>47178</v>
      </c>
      <c r="H381" s="97">
        <v>34851</v>
      </c>
      <c r="I381" s="206" t="s">
        <v>729</v>
      </c>
      <c r="J381" s="207" t="s">
        <v>287</v>
      </c>
      <c r="K381" s="118" t="s">
        <v>281</v>
      </c>
      <c r="L381" s="97">
        <v>41091</v>
      </c>
      <c r="M381" s="117"/>
      <c r="N381" s="118" t="s">
        <v>74</v>
      </c>
      <c r="O381" s="119">
        <v>1.68</v>
      </c>
      <c r="P381" s="119"/>
      <c r="Q381" s="99"/>
      <c r="R381" s="314">
        <f t="shared" si="56"/>
        <v>7946400</v>
      </c>
      <c r="S381" s="314">
        <f t="shared" si="57"/>
        <v>0</v>
      </c>
      <c r="T381" s="314">
        <f t="shared" si="53"/>
        <v>0</v>
      </c>
      <c r="U381" s="314">
        <f t="shared" si="52"/>
        <v>7946400</v>
      </c>
      <c r="V381" s="314">
        <f>+VLOOKUP(A381,[2]Sheet1!$B$11:$J$400,9,0)</f>
        <v>6988800</v>
      </c>
      <c r="W381" s="315" t="s">
        <v>1777</v>
      </c>
      <c r="X381" s="99" t="s">
        <v>1498</v>
      </c>
      <c r="Y381" s="99" t="str">
        <f>+VLOOKUP(A381,[3]Sheet1!$B$11:$I$388,8,0)</f>
        <v>54 - 031</v>
      </c>
      <c r="Z381" s="99" t="s">
        <v>1787</v>
      </c>
      <c r="AA381" s="99" t="s">
        <v>2992</v>
      </c>
      <c r="AB381" s="100">
        <v>220868537</v>
      </c>
      <c r="AC381" s="99">
        <f>+VALUE(AB381:AB732)</f>
        <v>220868537</v>
      </c>
      <c r="AD381" s="99" t="s">
        <v>1348</v>
      </c>
      <c r="AE381" s="99" t="s">
        <v>2427</v>
      </c>
      <c r="AF381" s="347" t="s">
        <v>1499</v>
      </c>
      <c r="AG381" s="316" t="s">
        <v>1500</v>
      </c>
      <c r="AH381" s="251"/>
      <c r="AI381" s="251"/>
      <c r="AJ381" s="251"/>
      <c r="AK381" s="251" t="s">
        <v>3585</v>
      </c>
      <c r="AL381" s="251"/>
      <c r="AM381" s="251"/>
      <c r="AN381" s="251"/>
      <c r="AO381" s="251"/>
      <c r="AP381" s="251"/>
      <c r="AQ381" s="251"/>
      <c r="AR381" s="251"/>
      <c r="AS381" s="251" t="s">
        <v>2389</v>
      </c>
      <c r="AT381" s="251" t="s">
        <v>3491</v>
      </c>
      <c r="AU381" s="379"/>
      <c r="AV381" s="380"/>
    </row>
    <row r="382" spans="1:48" x14ac:dyDescent="0.25">
      <c r="A382" s="355" t="s">
        <v>271</v>
      </c>
      <c r="B382" s="396" t="s">
        <v>3542</v>
      </c>
      <c r="C382" s="100" t="s">
        <v>611</v>
      </c>
      <c r="D382" s="97">
        <v>34532</v>
      </c>
      <c r="E382" s="97">
        <f t="shared" si="59"/>
        <v>55351</v>
      </c>
      <c r="F382" s="97">
        <f t="shared" si="54"/>
        <v>55366</v>
      </c>
      <c r="G382" s="97">
        <v>55366</v>
      </c>
      <c r="H382" s="97">
        <v>43191</v>
      </c>
      <c r="I382" s="206" t="s">
        <v>729</v>
      </c>
      <c r="J382" s="207" t="s">
        <v>287</v>
      </c>
      <c r="K382" s="118" t="s">
        <v>281</v>
      </c>
      <c r="L382" s="204" t="s">
        <v>3238</v>
      </c>
      <c r="M382" s="204"/>
      <c r="N382" s="118" t="s">
        <v>71</v>
      </c>
      <c r="O382" s="119">
        <v>1.49</v>
      </c>
      <c r="P382" s="119"/>
      <c r="Q382" s="99"/>
      <c r="R382" s="314">
        <f t="shared" si="56"/>
        <v>7047700</v>
      </c>
      <c r="S382" s="314">
        <f t="shared" si="57"/>
        <v>0</v>
      </c>
      <c r="T382" s="314">
        <f t="shared" si="53"/>
        <v>0</v>
      </c>
      <c r="U382" s="314">
        <f t="shared" si="52"/>
        <v>7047700</v>
      </c>
      <c r="V382" s="314">
        <f>+VLOOKUP(A382,[2]Sheet1!$B$11:$J$400,9,0)</f>
        <v>5865600</v>
      </c>
      <c r="W382" s="315" t="s">
        <v>1768</v>
      </c>
      <c r="X382" s="99" t="s">
        <v>612</v>
      </c>
      <c r="Y382" s="99" t="str">
        <f>+VLOOKUP(A382,[3]Sheet1!$B$11:$I$388,8,0)</f>
        <v>54 - 039</v>
      </c>
      <c r="Z382" s="99" t="s">
        <v>1787</v>
      </c>
      <c r="AA382" s="99" t="s">
        <v>2994</v>
      </c>
      <c r="AB382" s="100" t="s">
        <v>613</v>
      </c>
      <c r="AC382" s="99">
        <f>+VALUE(AB382:AB735)</f>
        <v>221366738</v>
      </c>
      <c r="AD382" s="205" t="s">
        <v>614</v>
      </c>
      <c r="AE382" s="99" t="s">
        <v>2427</v>
      </c>
      <c r="AF382" s="347" t="s">
        <v>616</v>
      </c>
      <c r="AG382" s="316" t="s">
        <v>687</v>
      </c>
      <c r="AH382" s="251"/>
      <c r="AI382" s="251"/>
      <c r="AJ382" s="251"/>
      <c r="AK382" s="251" t="s">
        <v>3619</v>
      </c>
      <c r="AL382" s="251"/>
      <c r="AM382" s="251"/>
      <c r="AN382" s="251"/>
      <c r="AO382" s="251"/>
      <c r="AP382" s="251"/>
      <c r="AQ382" s="251"/>
      <c r="AR382" s="251"/>
      <c r="AS382" s="251" t="s">
        <v>2400</v>
      </c>
      <c r="AT382" s="251" t="s">
        <v>3491</v>
      </c>
      <c r="AU382" s="379"/>
      <c r="AV382" s="380"/>
    </row>
    <row r="383" spans="1:48" x14ac:dyDescent="0.25">
      <c r="A383" s="354" t="s">
        <v>1903</v>
      </c>
      <c r="B383" s="396" t="s">
        <v>3542</v>
      </c>
      <c r="C383" s="100" t="s">
        <v>1904</v>
      </c>
      <c r="D383" s="205">
        <v>34899</v>
      </c>
      <c r="E383" s="97">
        <f t="shared" si="59"/>
        <v>55719</v>
      </c>
      <c r="F383" s="97">
        <f t="shared" si="54"/>
        <v>55732</v>
      </c>
      <c r="G383" s="97">
        <v>55732</v>
      </c>
      <c r="H383" s="97">
        <v>43556</v>
      </c>
      <c r="I383" s="206" t="s">
        <v>729</v>
      </c>
      <c r="J383" s="207" t="s">
        <v>287</v>
      </c>
      <c r="K383" s="118" t="s">
        <v>281</v>
      </c>
      <c r="L383" s="97">
        <v>43570</v>
      </c>
      <c r="M383" s="117"/>
      <c r="N383" s="118" t="s">
        <v>72</v>
      </c>
      <c r="O383" s="119">
        <v>1.41</v>
      </c>
      <c r="P383" s="119"/>
      <c r="Q383" s="99"/>
      <c r="R383" s="314">
        <f t="shared" si="56"/>
        <v>6669300</v>
      </c>
      <c r="S383" s="314">
        <f t="shared" si="57"/>
        <v>0</v>
      </c>
      <c r="T383" s="314">
        <f t="shared" si="53"/>
        <v>0</v>
      </c>
      <c r="U383" s="314">
        <f t="shared" si="52"/>
        <v>6669300</v>
      </c>
      <c r="V383" s="314">
        <f>+VLOOKUP(A383,[2]Sheet1!$B$11:$J$400,9,0)</f>
        <v>5865600</v>
      </c>
      <c r="W383" s="315" t="s">
        <v>1957</v>
      </c>
      <c r="X383" s="99" t="s">
        <v>666</v>
      </c>
      <c r="Y383" s="99" t="str">
        <f>+VLOOKUP(A383,[3]Sheet1!$B$11:$I$388,8,0)</f>
        <v>54 - 017</v>
      </c>
      <c r="Z383" s="99" t="s">
        <v>1787</v>
      </c>
      <c r="AA383" s="99" t="s">
        <v>2981</v>
      </c>
      <c r="AB383" s="100" t="s">
        <v>1907</v>
      </c>
      <c r="AC383" s="99">
        <f>+VALUE(AB318:AB675)</f>
        <v>221401098</v>
      </c>
      <c r="AD383" s="205" t="s">
        <v>1908</v>
      </c>
      <c r="AE383" s="99" t="s">
        <v>2427</v>
      </c>
      <c r="AF383" s="347" t="s">
        <v>2101</v>
      </c>
      <c r="AG383" s="251" t="s">
        <v>1909</v>
      </c>
      <c r="AH383" s="251"/>
      <c r="AI383" s="251"/>
      <c r="AJ383" s="251" t="s">
        <v>3674</v>
      </c>
      <c r="AK383" s="251"/>
      <c r="AL383" s="251" t="s">
        <v>3603</v>
      </c>
      <c r="AM383" s="247">
        <v>44531</v>
      </c>
      <c r="AN383" s="251"/>
      <c r="AO383" s="251"/>
      <c r="AP383" s="247">
        <v>44562</v>
      </c>
      <c r="AQ383" s="251"/>
      <c r="AR383" s="247">
        <v>45292</v>
      </c>
      <c r="AS383" s="251"/>
      <c r="AT383" s="251" t="s">
        <v>3491</v>
      </c>
      <c r="AU383" s="379"/>
      <c r="AV383" s="380"/>
    </row>
    <row r="384" spans="1:48" x14ac:dyDescent="0.25">
      <c r="A384" s="354" t="s">
        <v>686</v>
      </c>
      <c r="B384" s="396" t="s">
        <v>3542</v>
      </c>
      <c r="C384" s="100" t="s">
        <v>482</v>
      </c>
      <c r="D384" s="97">
        <v>28262</v>
      </c>
      <c r="E384" s="97">
        <f t="shared" si="59"/>
        <v>49081</v>
      </c>
      <c r="F384" s="97">
        <f t="shared" si="54"/>
        <v>49096</v>
      </c>
      <c r="G384" s="97">
        <v>49096</v>
      </c>
      <c r="H384" s="97">
        <v>36220</v>
      </c>
      <c r="I384" s="206" t="s">
        <v>729</v>
      </c>
      <c r="J384" s="207" t="s">
        <v>287</v>
      </c>
      <c r="K384" s="118" t="s">
        <v>281</v>
      </c>
      <c r="L384" s="97">
        <v>41456</v>
      </c>
      <c r="M384" s="117"/>
      <c r="N384" s="118" t="s">
        <v>74</v>
      </c>
      <c r="O384" s="119">
        <v>1.68</v>
      </c>
      <c r="P384" s="119"/>
      <c r="Q384" s="99"/>
      <c r="R384" s="314">
        <f t="shared" si="56"/>
        <v>7946400</v>
      </c>
      <c r="S384" s="314">
        <f t="shared" si="57"/>
        <v>0</v>
      </c>
      <c r="T384" s="314">
        <f t="shared" si="53"/>
        <v>0</v>
      </c>
      <c r="U384" s="314">
        <f t="shared" si="52"/>
        <v>7946400</v>
      </c>
      <c r="V384" s="314">
        <f>+VLOOKUP(A384,[2]Sheet1!$B$11:$J$400,9,0)</f>
        <v>6988800</v>
      </c>
      <c r="W384" s="315" t="s">
        <v>1764</v>
      </c>
      <c r="X384" s="99" t="s">
        <v>1282</v>
      </c>
      <c r="Y384" s="99" t="str">
        <f>+VLOOKUP(A384,[3]Sheet1!$B$11:$I$388,8,0)</f>
        <v>54 - 016</v>
      </c>
      <c r="Z384" s="99" t="s">
        <v>1787</v>
      </c>
      <c r="AA384" s="99" t="s">
        <v>2975</v>
      </c>
      <c r="AB384" s="100" t="s">
        <v>1466</v>
      </c>
      <c r="AC384" s="99">
        <f>+VALUE(AB365:AB714)</f>
        <v>220984500</v>
      </c>
      <c r="AD384" s="99" t="s">
        <v>1446</v>
      </c>
      <c r="AE384" s="99" t="s">
        <v>2427</v>
      </c>
      <c r="AF384" s="347" t="s">
        <v>1467</v>
      </c>
      <c r="AG384" s="316" t="s">
        <v>1468</v>
      </c>
      <c r="AH384" s="251"/>
      <c r="AI384" s="251"/>
      <c r="AJ384" s="251"/>
      <c r="AK384" s="251" t="s">
        <v>3585</v>
      </c>
      <c r="AL384" s="321" t="s">
        <v>3025</v>
      </c>
      <c r="AM384" s="251"/>
      <c r="AN384" s="251"/>
      <c r="AO384" s="251"/>
      <c r="AP384" s="251"/>
      <c r="AQ384" s="251"/>
      <c r="AR384" s="251"/>
      <c r="AS384" s="251" t="s">
        <v>2386</v>
      </c>
      <c r="AT384" s="251" t="s">
        <v>3491</v>
      </c>
      <c r="AU384" s="379"/>
      <c r="AV384" s="380"/>
    </row>
    <row r="385" spans="1:48" x14ac:dyDescent="0.25">
      <c r="A385" s="354" t="s">
        <v>294</v>
      </c>
      <c r="B385" s="396" t="s">
        <v>3542</v>
      </c>
      <c r="C385" s="100" t="s">
        <v>445</v>
      </c>
      <c r="D385" s="97">
        <v>29325</v>
      </c>
      <c r="E385" s="97">
        <f t="shared" si="59"/>
        <v>50144</v>
      </c>
      <c r="F385" s="97">
        <f t="shared" si="54"/>
        <v>50161</v>
      </c>
      <c r="G385" s="97">
        <v>50952</v>
      </c>
      <c r="H385" s="97">
        <v>37561</v>
      </c>
      <c r="I385" s="206" t="s">
        <v>729</v>
      </c>
      <c r="J385" s="207" t="s">
        <v>287</v>
      </c>
      <c r="K385" s="118" t="s">
        <v>281</v>
      </c>
      <c r="L385" s="97">
        <v>41091</v>
      </c>
      <c r="M385" s="117"/>
      <c r="N385" s="118" t="s">
        <v>76</v>
      </c>
      <c r="O385" s="119">
        <v>1.58</v>
      </c>
      <c r="P385" s="119"/>
      <c r="Q385" s="99"/>
      <c r="R385" s="314">
        <f t="shared" si="56"/>
        <v>7473400</v>
      </c>
      <c r="S385" s="314">
        <f t="shared" si="57"/>
        <v>0</v>
      </c>
      <c r="T385" s="314">
        <f t="shared" si="53"/>
        <v>0</v>
      </c>
      <c r="U385" s="314">
        <f t="shared" ref="U385:U398" si="60">+R385+S385+T385</f>
        <v>7473400</v>
      </c>
      <c r="V385" s="314">
        <f>+VLOOKUP(A385,[2]Sheet1!$B$11:$J$400,9,0)</f>
        <v>6572800</v>
      </c>
      <c r="W385" s="315" t="s">
        <v>1720</v>
      </c>
      <c r="X385" s="99" t="s">
        <v>1282</v>
      </c>
      <c r="Y385" s="99" t="str">
        <f>+VLOOKUP(A385,[3]Sheet1!$B$11:$I$388,8,0)</f>
        <v>54 - 162</v>
      </c>
      <c r="Z385" s="99" t="s">
        <v>1797</v>
      </c>
      <c r="AA385" s="99" t="s">
        <v>2916</v>
      </c>
      <c r="AB385" s="100">
        <v>221040782</v>
      </c>
      <c r="AC385" s="99">
        <f>+VALUE(AB288:AB642)</f>
        <v>221040782</v>
      </c>
      <c r="AD385" s="99" t="s">
        <v>1348</v>
      </c>
      <c r="AE385" s="99" t="s">
        <v>2427</v>
      </c>
      <c r="AF385" s="347" t="s">
        <v>1349</v>
      </c>
      <c r="AG385" s="316" t="s">
        <v>1284</v>
      </c>
      <c r="AH385" s="251"/>
      <c r="AI385" s="251"/>
      <c r="AJ385" s="251"/>
      <c r="AK385" s="251" t="s">
        <v>3659</v>
      </c>
      <c r="AL385" s="251"/>
      <c r="AM385" s="251"/>
      <c r="AN385" s="251"/>
      <c r="AO385" s="251"/>
      <c r="AP385" s="251"/>
      <c r="AQ385" s="251"/>
      <c r="AR385" s="251"/>
      <c r="AS385" s="251" t="s">
        <v>2329</v>
      </c>
      <c r="AT385" s="251" t="s">
        <v>3491</v>
      </c>
      <c r="AU385" s="379"/>
      <c r="AV385" s="380"/>
    </row>
    <row r="386" spans="1:48" x14ac:dyDescent="0.25">
      <c r="A386" s="355" t="s">
        <v>3294</v>
      </c>
      <c r="B386" s="396" t="s">
        <v>3542</v>
      </c>
      <c r="C386" s="100" t="s">
        <v>3292</v>
      </c>
      <c r="D386" s="205">
        <v>33420</v>
      </c>
      <c r="E386" s="97">
        <f t="shared" si="59"/>
        <v>54240</v>
      </c>
      <c r="F386" s="97">
        <f t="shared" si="54"/>
        <v>54271</v>
      </c>
      <c r="G386" s="97">
        <v>58411</v>
      </c>
      <c r="H386" s="97">
        <v>45627</v>
      </c>
      <c r="I386" s="206" t="s">
        <v>729</v>
      </c>
      <c r="J386" s="207" t="s">
        <v>287</v>
      </c>
      <c r="K386" s="118" t="s">
        <v>281</v>
      </c>
      <c r="L386" s="97">
        <v>45627</v>
      </c>
      <c r="M386" s="204"/>
      <c r="N386" s="118" t="s">
        <v>72</v>
      </c>
      <c r="O386" s="119">
        <v>1.41</v>
      </c>
      <c r="P386" s="119"/>
      <c r="Q386" s="99"/>
      <c r="R386" s="314">
        <f t="shared" si="56"/>
        <v>6669300</v>
      </c>
      <c r="S386" s="314">
        <f>+P386*4410000</f>
        <v>0</v>
      </c>
      <c r="T386" s="314">
        <f>+Q386*2340000</f>
        <v>0</v>
      </c>
      <c r="U386" s="314">
        <f t="shared" si="60"/>
        <v>6669300</v>
      </c>
      <c r="V386" s="314"/>
      <c r="W386" s="319">
        <v>5420388471</v>
      </c>
      <c r="X386" s="99" t="s">
        <v>3304</v>
      </c>
      <c r="Y386" s="99"/>
      <c r="Z386" s="99" t="s">
        <v>1787</v>
      </c>
      <c r="AA386" s="223" t="s">
        <v>3293</v>
      </c>
      <c r="AB386" s="100"/>
      <c r="AC386" s="99"/>
      <c r="AD386" s="205"/>
      <c r="AE386" s="99" t="s">
        <v>2427</v>
      </c>
      <c r="AF386" s="347" t="s">
        <v>3295</v>
      </c>
      <c r="AG386" s="316"/>
      <c r="AH386" s="251"/>
      <c r="AI386" s="251" t="s">
        <v>3675</v>
      </c>
      <c r="AJ386" s="251"/>
      <c r="AK386" s="251"/>
      <c r="AL386" s="251"/>
      <c r="AM386" s="247"/>
      <c r="AN386" s="251"/>
      <c r="AO386" s="247">
        <v>45627</v>
      </c>
      <c r="AP386" s="251"/>
      <c r="AQ386" s="251"/>
      <c r="AR386" s="251"/>
      <c r="AS386" s="340" t="s">
        <v>3297</v>
      </c>
      <c r="AT386" s="251" t="s">
        <v>3491</v>
      </c>
      <c r="AU386" s="379"/>
      <c r="AV386" s="380"/>
    </row>
    <row r="387" spans="1:48" x14ac:dyDescent="0.25">
      <c r="A387" s="355" t="s">
        <v>3440</v>
      </c>
      <c r="B387" s="396" t="s">
        <v>3542</v>
      </c>
      <c r="C387" s="100" t="s">
        <v>3441</v>
      </c>
      <c r="D387" s="205">
        <v>36368</v>
      </c>
      <c r="E387" s="97">
        <f t="shared" si="59"/>
        <v>57188</v>
      </c>
      <c r="F387" s="97">
        <f t="shared" si="54"/>
        <v>57193</v>
      </c>
      <c r="G387" s="97">
        <v>57193</v>
      </c>
      <c r="H387" s="97">
        <v>45809</v>
      </c>
      <c r="I387" s="206" t="s">
        <v>729</v>
      </c>
      <c r="J387" s="207" t="s">
        <v>287</v>
      </c>
      <c r="K387" s="118" t="s">
        <v>281</v>
      </c>
      <c r="L387" s="97">
        <v>45809</v>
      </c>
      <c r="M387" s="204"/>
      <c r="N387" s="118" t="s">
        <v>72</v>
      </c>
      <c r="O387" s="119">
        <v>1.41</v>
      </c>
      <c r="P387" s="119"/>
      <c r="Q387" s="99"/>
      <c r="R387" s="314">
        <f t="shared" si="56"/>
        <v>6669300</v>
      </c>
      <c r="S387" s="314">
        <f>+P387*4410000</f>
        <v>0</v>
      </c>
      <c r="T387" s="314">
        <f>+Q387*2340000</f>
        <v>0</v>
      </c>
      <c r="U387" s="314">
        <f t="shared" si="60"/>
        <v>6669300</v>
      </c>
      <c r="V387" s="314"/>
      <c r="W387" s="319">
        <v>5421167767</v>
      </c>
      <c r="X387" s="99" t="s">
        <v>1454</v>
      </c>
      <c r="Y387" s="99"/>
      <c r="Z387" s="99" t="s">
        <v>1787</v>
      </c>
      <c r="AA387" s="223" t="s">
        <v>3442</v>
      </c>
      <c r="AB387" s="100"/>
      <c r="AC387" s="99"/>
      <c r="AD387" s="205"/>
      <c r="AE387" s="99" t="s">
        <v>2427</v>
      </c>
      <c r="AF387" s="347" t="s">
        <v>3443</v>
      </c>
      <c r="AG387" s="316"/>
      <c r="AH387" s="251"/>
      <c r="AI387" s="251" t="s">
        <v>3676</v>
      </c>
      <c r="AJ387" s="251"/>
      <c r="AK387" s="251"/>
      <c r="AL387" s="251"/>
      <c r="AM387" s="247"/>
      <c r="AN387" s="251"/>
      <c r="AO387" s="247">
        <v>45809</v>
      </c>
      <c r="AP387" s="251"/>
      <c r="AQ387" s="251"/>
      <c r="AR387" s="251"/>
      <c r="AS387" s="340"/>
      <c r="AT387" s="251" t="s">
        <v>3491</v>
      </c>
      <c r="AU387" s="379"/>
      <c r="AV387" s="380"/>
    </row>
    <row r="388" spans="1:48" x14ac:dyDescent="0.25">
      <c r="A388" s="354" t="s">
        <v>692</v>
      </c>
      <c r="B388" s="396" t="s">
        <v>3542</v>
      </c>
      <c r="C388" s="100" t="s">
        <v>494</v>
      </c>
      <c r="D388" s="97">
        <v>25554</v>
      </c>
      <c r="E388" s="97">
        <v>46190</v>
      </c>
      <c r="F388" s="97">
        <f t="shared" si="54"/>
        <v>46204</v>
      </c>
      <c r="G388" s="97">
        <v>46204</v>
      </c>
      <c r="H388" s="97">
        <v>32295</v>
      </c>
      <c r="I388" s="206" t="s">
        <v>2102</v>
      </c>
      <c r="J388" s="207" t="s">
        <v>287</v>
      </c>
      <c r="K388" s="118" t="s">
        <v>284</v>
      </c>
      <c r="L388" s="97">
        <v>40360</v>
      </c>
      <c r="M388" s="117"/>
      <c r="N388" s="118" t="s">
        <v>74</v>
      </c>
      <c r="O388" s="119">
        <v>1.68</v>
      </c>
      <c r="P388" s="119">
        <v>0.06</v>
      </c>
      <c r="Q388" s="99"/>
      <c r="R388" s="314">
        <f t="shared" si="56"/>
        <v>7946400</v>
      </c>
      <c r="S388" s="314">
        <f t="shared" ref="S388:S398" si="61">+P388*4410000</f>
        <v>264600</v>
      </c>
      <c r="T388" s="314">
        <f t="shared" ref="T388:T398" si="62">+Q388*2340000</f>
        <v>0</v>
      </c>
      <c r="U388" s="314">
        <f t="shared" si="60"/>
        <v>8211000</v>
      </c>
      <c r="V388" s="314">
        <f>+VLOOKUP(A388,[2]Sheet1!$B$11:$J$400,9,0)</f>
        <v>7238400</v>
      </c>
      <c r="W388" s="315" t="s">
        <v>1776</v>
      </c>
      <c r="X388" s="212" t="s">
        <v>1495</v>
      </c>
      <c r="Y388" s="99" t="str">
        <f>+VLOOKUP(A388,[3]Sheet1!$B$11:$I$388,8,0)</f>
        <v>54 - 030</v>
      </c>
      <c r="Z388" s="99" t="s">
        <v>1787</v>
      </c>
      <c r="AA388" s="99" t="s">
        <v>2995</v>
      </c>
      <c r="AB388" s="100">
        <v>220963891</v>
      </c>
      <c r="AC388" s="99">
        <f>+VALUE(AB388:AB733)</f>
        <v>220963891</v>
      </c>
      <c r="AD388" s="99" t="s">
        <v>1496</v>
      </c>
      <c r="AE388" s="99" t="s">
        <v>2427</v>
      </c>
      <c r="AF388" s="347" t="s">
        <v>1497</v>
      </c>
      <c r="AG388" s="316" t="s">
        <v>1465</v>
      </c>
      <c r="AH388" s="251"/>
      <c r="AI388" s="251" t="s">
        <v>3570</v>
      </c>
      <c r="AJ388" s="251"/>
      <c r="AK388" s="251"/>
      <c r="AL388" s="251"/>
      <c r="AM388" s="251"/>
      <c r="AN388" s="251"/>
      <c r="AO388" s="251"/>
      <c r="AP388" s="251"/>
      <c r="AQ388" s="251"/>
      <c r="AR388" s="251"/>
      <c r="AS388" s="251" t="s">
        <v>2401</v>
      </c>
      <c r="AT388" s="251" t="s">
        <v>3491</v>
      </c>
      <c r="AU388" s="379"/>
      <c r="AV388" s="380"/>
    </row>
    <row r="389" spans="1:48" x14ac:dyDescent="0.25">
      <c r="A389" s="354" t="s">
        <v>694</v>
      </c>
      <c r="B389" s="396" t="s">
        <v>3542</v>
      </c>
      <c r="C389" s="100" t="s">
        <v>496</v>
      </c>
      <c r="D389" s="97">
        <v>26906</v>
      </c>
      <c r="E389" s="97">
        <f t="shared" ref="E389:E398" si="63">+DATE(YEAR(D389)+57,MONTH(D389),DAY(D389))</f>
        <v>47725</v>
      </c>
      <c r="F389" s="97">
        <f t="shared" si="54"/>
        <v>47727</v>
      </c>
      <c r="G389" s="97">
        <v>47727</v>
      </c>
      <c r="H389" s="97">
        <v>34851</v>
      </c>
      <c r="I389" s="206" t="s">
        <v>2102</v>
      </c>
      <c r="J389" s="207" t="s">
        <v>287</v>
      </c>
      <c r="K389" s="118" t="s">
        <v>281</v>
      </c>
      <c r="L389" s="97">
        <v>41091</v>
      </c>
      <c r="M389" s="117"/>
      <c r="N389" s="118" t="s">
        <v>74</v>
      </c>
      <c r="O389" s="119">
        <v>1.68</v>
      </c>
      <c r="P389" s="119"/>
      <c r="Q389" s="99"/>
      <c r="R389" s="314">
        <f t="shared" si="56"/>
        <v>7946400</v>
      </c>
      <c r="S389" s="314">
        <f t="shared" si="61"/>
        <v>0</v>
      </c>
      <c r="T389" s="314">
        <f t="shared" si="62"/>
        <v>0</v>
      </c>
      <c r="U389" s="314">
        <f t="shared" si="60"/>
        <v>7946400</v>
      </c>
      <c r="V389" s="314">
        <f>+VLOOKUP(A389,[2]Sheet1!$B$11:$J$400,9,0)</f>
        <v>6988800</v>
      </c>
      <c r="W389" s="315" t="s">
        <v>1778</v>
      </c>
      <c r="X389" s="99" t="s">
        <v>1498</v>
      </c>
      <c r="Y389" s="99" t="str">
        <f>+VLOOKUP(A389,[3]Sheet1!$B$11:$I$388,8,0)</f>
        <v>54 - 031</v>
      </c>
      <c r="Z389" s="99" t="s">
        <v>1787</v>
      </c>
      <c r="AA389" s="99" t="s">
        <v>2996</v>
      </c>
      <c r="AB389" s="100">
        <v>221386229</v>
      </c>
      <c r="AC389" s="99">
        <f>+VALUE(AB389:AB734)</f>
        <v>221386229</v>
      </c>
      <c r="AD389" s="99" t="s">
        <v>1501</v>
      </c>
      <c r="AE389" s="99" t="s">
        <v>2427</v>
      </c>
      <c r="AF389" s="347" t="s">
        <v>1502</v>
      </c>
      <c r="AG389" s="316" t="s">
        <v>1503</v>
      </c>
      <c r="AH389" s="251"/>
      <c r="AI389" s="251"/>
      <c r="AJ389" s="251"/>
      <c r="AK389" s="251" t="s">
        <v>3585</v>
      </c>
      <c r="AL389" s="251"/>
      <c r="AM389" s="251"/>
      <c r="AN389" s="251"/>
      <c r="AO389" s="251"/>
      <c r="AP389" s="251"/>
      <c r="AQ389" s="251"/>
      <c r="AR389" s="251"/>
      <c r="AS389" s="251" t="s">
        <v>2402</v>
      </c>
      <c r="AT389" s="251" t="s">
        <v>3491</v>
      </c>
      <c r="AU389" s="379"/>
      <c r="AV389" s="380"/>
    </row>
    <row r="390" spans="1:48" x14ac:dyDescent="0.25">
      <c r="A390" s="354" t="s">
        <v>695</v>
      </c>
      <c r="B390" s="396" t="s">
        <v>3542</v>
      </c>
      <c r="C390" s="100" t="s">
        <v>497</v>
      </c>
      <c r="D390" s="97">
        <v>26957</v>
      </c>
      <c r="E390" s="97">
        <f t="shared" si="63"/>
        <v>47776</v>
      </c>
      <c r="F390" s="97">
        <f t="shared" si="54"/>
        <v>47788</v>
      </c>
      <c r="G390" s="97">
        <v>47788</v>
      </c>
      <c r="H390" s="97">
        <v>34851</v>
      </c>
      <c r="I390" s="206" t="s">
        <v>2102</v>
      </c>
      <c r="J390" s="207" t="s">
        <v>287</v>
      </c>
      <c r="K390" s="118" t="s">
        <v>281</v>
      </c>
      <c r="L390" s="97">
        <v>41456</v>
      </c>
      <c r="M390" s="117"/>
      <c r="N390" s="118" t="s">
        <v>74</v>
      </c>
      <c r="O390" s="119">
        <v>1.68</v>
      </c>
      <c r="P390" s="119"/>
      <c r="Q390" s="99"/>
      <c r="R390" s="314">
        <f t="shared" si="56"/>
        <v>7946400</v>
      </c>
      <c r="S390" s="314">
        <f t="shared" si="61"/>
        <v>0</v>
      </c>
      <c r="T390" s="314">
        <f t="shared" si="62"/>
        <v>0</v>
      </c>
      <c r="U390" s="314">
        <f t="shared" si="60"/>
        <v>7946400</v>
      </c>
      <c r="V390" s="314">
        <f>+VLOOKUP(A390,[2]Sheet1!$B$11:$J$400,9,0)</f>
        <v>6988800</v>
      </c>
      <c r="W390" s="315" t="s">
        <v>1779</v>
      </c>
      <c r="X390" s="99" t="s">
        <v>1282</v>
      </c>
      <c r="Y390" s="99" t="str">
        <f>+VLOOKUP(A390,[3]Sheet1!$B$11:$I$388,8,0)</f>
        <v>54 - 016</v>
      </c>
      <c r="Z390" s="99" t="s">
        <v>1787</v>
      </c>
      <c r="AA390" s="99" t="s">
        <v>2997</v>
      </c>
      <c r="AB390" s="100">
        <v>225336568</v>
      </c>
      <c r="AC390" s="99">
        <f>+VALUE(AB390:AB735)</f>
        <v>225336568</v>
      </c>
      <c r="AD390" s="99" t="s">
        <v>1504</v>
      </c>
      <c r="AE390" s="99" t="s">
        <v>2427</v>
      </c>
      <c r="AF390" s="347" t="s">
        <v>1505</v>
      </c>
      <c r="AG390" s="316" t="s">
        <v>1487</v>
      </c>
      <c r="AH390" s="251"/>
      <c r="AI390" s="251"/>
      <c r="AJ390" s="251"/>
      <c r="AK390" s="251" t="s">
        <v>3585</v>
      </c>
      <c r="AL390" s="251"/>
      <c r="AM390" s="251"/>
      <c r="AN390" s="251"/>
      <c r="AO390" s="251"/>
      <c r="AP390" s="251"/>
      <c r="AQ390" s="251"/>
      <c r="AR390" s="251"/>
      <c r="AS390" s="251" t="s">
        <v>2403</v>
      </c>
      <c r="AT390" s="251" t="s">
        <v>3491</v>
      </c>
      <c r="AU390" s="379"/>
      <c r="AV390" s="380"/>
    </row>
    <row r="391" spans="1:48" x14ac:dyDescent="0.25">
      <c r="A391" s="354" t="s">
        <v>275</v>
      </c>
      <c r="B391" s="396" t="s">
        <v>3542</v>
      </c>
      <c r="C391" s="100" t="s">
        <v>498</v>
      </c>
      <c r="D391" s="97">
        <v>31619</v>
      </c>
      <c r="E391" s="97">
        <f t="shared" si="63"/>
        <v>52438</v>
      </c>
      <c r="F391" s="97">
        <f t="shared" si="54"/>
        <v>52444</v>
      </c>
      <c r="G391" s="97">
        <v>52444</v>
      </c>
      <c r="H391" s="97">
        <v>39479</v>
      </c>
      <c r="I391" s="206" t="s">
        <v>2102</v>
      </c>
      <c r="J391" s="207" t="s">
        <v>287</v>
      </c>
      <c r="K391" s="118" t="s">
        <v>281</v>
      </c>
      <c r="L391" s="97">
        <v>42370</v>
      </c>
      <c r="M391" s="117"/>
      <c r="N391" s="200" t="s">
        <v>71</v>
      </c>
      <c r="O391" s="119">
        <v>1.49</v>
      </c>
      <c r="P391" s="119"/>
      <c r="Q391" s="99"/>
      <c r="R391" s="314">
        <f t="shared" si="56"/>
        <v>7047700</v>
      </c>
      <c r="S391" s="314">
        <f t="shared" si="61"/>
        <v>0</v>
      </c>
      <c r="T391" s="314">
        <f t="shared" si="62"/>
        <v>0</v>
      </c>
      <c r="U391" s="314">
        <f t="shared" si="60"/>
        <v>7047700</v>
      </c>
      <c r="V391" s="314">
        <f>+VLOOKUP(A391,[2]Sheet1!$B$11:$J$400,9,0)</f>
        <v>6198400</v>
      </c>
      <c r="W391" s="315" t="s">
        <v>1780</v>
      </c>
      <c r="X391" s="99" t="s">
        <v>1506</v>
      </c>
      <c r="Y391" s="99" t="str">
        <f>+VLOOKUP(A391,[3]Sheet1!$B$11:$I$388,8,0)</f>
        <v>56 - 073</v>
      </c>
      <c r="Z391" s="99" t="s">
        <v>1787</v>
      </c>
      <c r="AA391" s="99" t="s">
        <v>2998</v>
      </c>
      <c r="AB391" s="100">
        <v>225304339</v>
      </c>
      <c r="AC391" s="99">
        <f>+VALUE(AB391:AB736)</f>
        <v>225304339</v>
      </c>
      <c r="AD391" s="99" t="s">
        <v>1507</v>
      </c>
      <c r="AE391" s="99" t="s">
        <v>2427</v>
      </c>
      <c r="AF391" s="347" t="s">
        <v>1508</v>
      </c>
      <c r="AG391" s="316" t="s">
        <v>1509</v>
      </c>
      <c r="AH391" s="251"/>
      <c r="AI391" s="251"/>
      <c r="AJ391" s="251"/>
      <c r="AK391" s="251" t="s">
        <v>3585</v>
      </c>
      <c r="AL391" s="251" t="s">
        <v>3592</v>
      </c>
      <c r="AM391" s="251"/>
      <c r="AN391" s="251"/>
      <c r="AO391" s="251"/>
      <c r="AP391" s="251"/>
      <c r="AQ391" s="251"/>
      <c r="AR391" s="251"/>
      <c r="AS391" s="251" t="s">
        <v>2404</v>
      </c>
      <c r="AT391" s="251" t="s">
        <v>3491</v>
      </c>
      <c r="AU391" s="379"/>
      <c r="AV391" s="380"/>
    </row>
    <row r="392" spans="1:48" x14ac:dyDescent="0.25">
      <c r="A392" s="354" t="s">
        <v>276</v>
      </c>
      <c r="B392" s="396" t="s">
        <v>3542</v>
      </c>
      <c r="C392" s="100" t="s">
        <v>499</v>
      </c>
      <c r="D392" s="97">
        <v>33649</v>
      </c>
      <c r="E392" s="97">
        <f t="shared" si="63"/>
        <v>54469</v>
      </c>
      <c r="F392" s="97">
        <f t="shared" si="54"/>
        <v>54483</v>
      </c>
      <c r="G392" s="97">
        <v>54483</v>
      </c>
      <c r="H392" s="97">
        <v>41671</v>
      </c>
      <c r="I392" s="206" t="s">
        <v>2102</v>
      </c>
      <c r="J392" s="207" t="s">
        <v>287</v>
      </c>
      <c r="K392" s="118" t="s">
        <v>285</v>
      </c>
      <c r="L392" s="97">
        <v>45839</v>
      </c>
      <c r="M392" s="117"/>
      <c r="N392" s="118" t="s">
        <v>76</v>
      </c>
      <c r="O392" s="119">
        <v>1.58</v>
      </c>
      <c r="P392" s="119">
        <v>0.04</v>
      </c>
      <c r="Q392" s="99"/>
      <c r="R392" s="314">
        <f t="shared" si="56"/>
        <v>7473400</v>
      </c>
      <c r="S392" s="314">
        <f t="shared" si="61"/>
        <v>176400</v>
      </c>
      <c r="T392" s="314">
        <f t="shared" si="62"/>
        <v>0</v>
      </c>
      <c r="U392" s="314">
        <f t="shared" si="60"/>
        <v>7649800</v>
      </c>
      <c r="V392" s="314">
        <f>+VLOOKUP(A392,[2]Sheet1!$B$11:$J$400,9,0)</f>
        <v>6364800</v>
      </c>
      <c r="W392" s="315" t="s">
        <v>1781</v>
      </c>
      <c r="X392" s="99" t="s">
        <v>1454</v>
      </c>
      <c r="Y392" s="99" t="str">
        <f>+VLOOKUP(A392,[3]Sheet1!$B$11:$I$388,8,0)</f>
        <v>54 - 016</v>
      </c>
      <c r="Z392" s="99" t="s">
        <v>1787</v>
      </c>
      <c r="AA392" s="99" t="s">
        <v>2999</v>
      </c>
      <c r="AB392" s="100">
        <v>221327027</v>
      </c>
      <c r="AC392" s="99">
        <f>+VALUE(AB392:AB738)</f>
        <v>221327027</v>
      </c>
      <c r="AD392" s="99" t="s">
        <v>1510</v>
      </c>
      <c r="AE392" s="99" t="s">
        <v>2427</v>
      </c>
      <c r="AF392" s="347" t="s">
        <v>1511</v>
      </c>
      <c r="AG392" s="316" t="s">
        <v>1512</v>
      </c>
      <c r="AH392" s="251"/>
      <c r="AI392" s="251"/>
      <c r="AJ392" s="251"/>
      <c r="AK392" s="251"/>
      <c r="AL392" s="251"/>
      <c r="AM392" s="251"/>
      <c r="AN392" s="251"/>
      <c r="AO392" s="251"/>
      <c r="AP392" s="251"/>
      <c r="AQ392" s="251"/>
      <c r="AR392" s="251"/>
      <c r="AS392" s="251" t="s">
        <v>2405</v>
      </c>
      <c r="AT392" s="251" t="s">
        <v>3491</v>
      </c>
      <c r="AU392" s="379"/>
      <c r="AV392" s="380"/>
    </row>
    <row r="393" spans="1:48" x14ac:dyDescent="0.25">
      <c r="A393" s="354" t="s">
        <v>591</v>
      </c>
      <c r="B393" s="396" t="s">
        <v>3542</v>
      </c>
      <c r="C393" s="100" t="s">
        <v>352</v>
      </c>
      <c r="D393" s="97">
        <v>34268</v>
      </c>
      <c r="E393" s="97">
        <f t="shared" si="63"/>
        <v>55087</v>
      </c>
      <c r="F393" s="97">
        <f t="shared" si="54"/>
        <v>55093</v>
      </c>
      <c r="G393" s="97">
        <v>55093</v>
      </c>
      <c r="H393" s="97">
        <v>43191</v>
      </c>
      <c r="I393" s="206" t="s">
        <v>2102</v>
      </c>
      <c r="J393" s="207" t="s">
        <v>287</v>
      </c>
      <c r="K393" s="118" t="s">
        <v>281</v>
      </c>
      <c r="L393" s="97">
        <v>43212</v>
      </c>
      <c r="M393" s="117"/>
      <c r="N393" s="118" t="s">
        <v>72</v>
      </c>
      <c r="O393" s="119">
        <v>1.41</v>
      </c>
      <c r="P393" s="119"/>
      <c r="Q393" s="99"/>
      <c r="R393" s="314">
        <f t="shared" si="56"/>
        <v>6669300</v>
      </c>
      <c r="S393" s="314">
        <f t="shared" si="61"/>
        <v>0</v>
      </c>
      <c r="T393" s="314">
        <f t="shared" si="62"/>
        <v>0</v>
      </c>
      <c r="U393" s="314">
        <f t="shared" si="60"/>
        <v>6669300</v>
      </c>
      <c r="V393" s="314">
        <f>+VLOOKUP(A393,[2]Sheet1!$B$11:$J$400,9,0)</f>
        <v>5865600</v>
      </c>
      <c r="W393" s="315" t="s">
        <v>1785</v>
      </c>
      <c r="X393" s="99"/>
      <c r="Y393" s="99" t="str">
        <f>+VLOOKUP(A393,[3]Sheet1!$B$11:$I$388,8,0)</f>
        <v>54 - 031</v>
      </c>
      <c r="Z393" s="99" t="s">
        <v>1787</v>
      </c>
      <c r="AA393" s="99" t="s">
        <v>3000</v>
      </c>
      <c r="AB393" s="100" t="s">
        <v>649</v>
      </c>
      <c r="AC393" s="99">
        <f>+VALUE(AB393:AB739)</f>
        <v>221345253</v>
      </c>
      <c r="AD393" s="205" t="s">
        <v>650</v>
      </c>
      <c r="AE393" s="99" t="s">
        <v>2427</v>
      </c>
      <c r="AF393" s="347" t="s">
        <v>651</v>
      </c>
      <c r="AG393" s="316"/>
      <c r="AH393" s="251"/>
      <c r="AI393" s="251"/>
      <c r="AJ393" s="251"/>
      <c r="AK393" s="251" t="s">
        <v>3610</v>
      </c>
      <c r="AL393" s="251"/>
      <c r="AM393" s="251"/>
      <c r="AN393" s="251"/>
      <c r="AO393" s="251"/>
      <c r="AP393" s="251"/>
      <c r="AQ393" s="251"/>
      <c r="AR393" s="251"/>
      <c r="AS393" s="251" t="s">
        <v>2406</v>
      </c>
      <c r="AT393" s="251" t="s">
        <v>3491</v>
      </c>
      <c r="AU393" s="379"/>
      <c r="AV393" s="380"/>
    </row>
    <row r="394" spans="1:48" x14ac:dyDescent="0.25">
      <c r="A394" s="354" t="s">
        <v>2586</v>
      </c>
      <c r="B394" s="396" t="s">
        <v>3542</v>
      </c>
      <c r="C394" s="100" t="s">
        <v>2587</v>
      </c>
      <c r="D394" s="205">
        <v>34717</v>
      </c>
      <c r="E394" s="97">
        <f t="shared" si="63"/>
        <v>55536</v>
      </c>
      <c r="F394" s="97">
        <f t="shared" si="54"/>
        <v>55550</v>
      </c>
      <c r="G394" s="97">
        <v>55550</v>
      </c>
      <c r="H394" s="97">
        <v>44896</v>
      </c>
      <c r="I394" s="206" t="s">
        <v>2102</v>
      </c>
      <c r="J394" s="207" t="s">
        <v>287</v>
      </c>
      <c r="K394" s="118" t="s">
        <v>281</v>
      </c>
      <c r="L394" s="97">
        <v>44927</v>
      </c>
      <c r="M394" s="117"/>
      <c r="N394" s="118" t="s">
        <v>72</v>
      </c>
      <c r="O394" s="119">
        <v>1.41</v>
      </c>
      <c r="P394" s="119"/>
      <c r="Q394" s="99"/>
      <c r="R394" s="314">
        <f t="shared" si="56"/>
        <v>6669300</v>
      </c>
      <c r="S394" s="314">
        <f t="shared" si="61"/>
        <v>0</v>
      </c>
      <c r="T394" s="314">
        <f t="shared" si="62"/>
        <v>0</v>
      </c>
      <c r="U394" s="314">
        <f t="shared" si="60"/>
        <v>6669300</v>
      </c>
      <c r="V394" s="314">
        <f>+VLOOKUP(A394,[2]Sheet1!$B$11:$J$400,9,0)</f>
        <v>5865600</v>
      </c>
      <c r="W394" s="315" t="s">
        <v>2714</v>
      </c>
      <c r="X394" s="99"/>
      <c r="Y394" s="99" t="str">
        <f>+VLOOKUP(A394,[3]Sheet1!$B$11:$I$388,8,0)</f>
        <v>56 - 002</v>
      </c>
      <c r="Z394" s="99" t="s">
        <v>1787</v>
      </c>
      <c r="AA394" s="99" t="s">
        <v>2937</v>
      </c>
      <c r="AB394" s="223" t="s">
        <v>2588</v>
      </c>
      <c r="AC394" s="99">
        <f>+VALUE(AB306:AB678)</f>
        <v>225600934</v>
      </c>
      <c r="AD394" s="205" t="s">
        <v>1271</v>
      </c>
      <c r="AE394" s="99" t="s">
        <v>2427</v>
      </c>
      <c r="AF394" s="347" t="s">
        <v>2589</v>
      </c>
      <c r="AG394" s="251" t="s">
        <v>2590</v>
      </c>
      <c r="AH394" s="251"/>
      <c r="AI394" s="251"/>
      <c r="AJ394" s="251"/>
      <c r="AK394" s="251"/>
      <c r="AL394" s="251" t="s">
        <v>3603</v>
      </c>
      <c r="AM394" s="247">
        <v>44896</v>
      </c>
      <c r="AN394" s="251"/>
      <c r="AO394" s="251"/>
      <c r="AP394" s="247">
        <v>44927</v>
      </c>
      <c r="AQ394" s="251"/>
      <c r="AR394" s="251"/>
      <c r="AS394" s="321" t="s">
        <v>2591</v>
      </c>
      <c r="AT394" s="251" t="s">
        <v>3491</v>
      </c>
      <c r="AU394" s="379"/>
      <c r="AV394" s="380"/>
    </row>
    <row r="395" spans="1:48" x14ac:dyDescent="0.25">
      <c r="A395" s="354" t="s">
        <v>241</v>
      </c>
      <c r="B395" s="396" t="s">
        <v>3542</v>
      </c>
      <c r="C395" s="100" t="s">
        <v>302</v>
      </c>
      <c r="D395" s="97">
        <v>31133</v>
      </c>
      <c r="E395" s="97">
        <f t="shared" si="63"/>
        <v>51952</v>
      </c>
      <c r="F395" s="97">
        <f t="shared" si="54"/>
        <v>51957</v>
      </c>
      <c r="G395" s="97">
        <v>51957</v>
      </c>
      <c r="H395" s="97">
        <v>42309</v>
      </c>
      <c r="I395" s="206" t="s">
        <v>2102</v>
      </c>
      <c r="J395" s="207" t="s">
        <v>287</v>
      </c>
      <c r="K395" s="118" t="s">
        <v>281</v>
      </c>
      <c r="L395" s="97">
        <v>42370</v>
      </c>
      <c r="M395" s="117"/>
      <c r="N395" s="200" t="s">
        <v>71</v>
      </c>
      <c r="O395" s="119">
        <v>1.49</v>
      </c>
      <c r="P395" s="119"/>
      <c r="Q395" s="99"/>
      <c r="R395" s="314">
        <f t="shared" si="56"/>
        <v>7047700</v>
      </c>
      <c r="S395" s="314">
        <f t="shared" si="61"/>
        <v>0</v>
      </c>
      <c r="T395" s="314">
        <f t="shared" si="62"/>
        <v>0</v>
      </c>
      <c r="U395" s="314">
        <f t="shared" si="60"/>
        <v>7047700</v>
      </c>
      <c r="V395" s="314">
        <f>+VLOOKUP(A395,[2]Sheet1!$B$11:$J$400,9,0)</f>
        <v>6198400</v>
      </c>
      <c r="W395" s="315" t="s">
        <v>1732</v>
      </c>
      <c r="X395" s="99" t="s">
        <v>618</v>
      </c>
      <c r="Y395" s="99" t="str">
        <f>+VLOOKUP(A395,[3]Sheet1!$B$11:$I$388,8,0)</f>
        <v>54 - 002</v>
      </c>
      <c r="Z395" s="99" t="s">
        <v>1787</v>
      </c>
      <c r="AA395" s="99" t="s">
        <v>2990</v>
      </c>
      <c r="AB395" s="100">
        <v>221178834</v>
      </c>
      <c r="AC395" s="99">
        <f>+VALUE(AB300:AB657)</f>
        <v>221178834</v>
      </c>
      <c r="AD395" s="99" t="s">
        <v>1384</v>
      </c>
      <c r="AE395" s="99" t="s">
        <v>2427</v>
      </c>
      <c r="AF395" s="347" t="s">
        <v>1385</v>
      </c>
      <c r="AG395" s="316" t="s">
        <v>1386</v>
      </c>
      <c r="AH395" s="251"/>
      <c r="AI395" s="251"/>
      <c r="AJ395" s="251"/>
      <c r="AK395" s="251" t="s">
        <v>3585</v>
      </c>
      <c r="AL395" s="251"/>
      <c r="AM395" s="251"/>
      <c r="AN395" s="251"/>
      <c r="AO395" s="251"/>
      <c r="AP395" s="251"/>
      <c r="AQ395" s="251"/>
      <c r="AR395" s="251"/>
      <c r="AS395" s="321" t="s">
        <v>2419</v>
      </c>
      <c r="AT395" s="251" t="s">
        <v>3491</v>
      </c>
      <c r="AU395" s="379"/>
      <c r="AV395" s="380"/>
    </row>
    <row r="396" spans="1:48" x14ac:dyDescent="0.25">
      <c r="A396" s="354" t="s">
        <v>252</v>
      </c>
      <c r="B396" s="396" t="s">
        <v>3542</v>
      </c>
      <c r="C396" s="100" t="s">
        <v>665</v>
      </c>
      <c r="D396" s="97">
        <v>34539</v>
      </c>
      <c r="E396" s="97">
        <f t="shared" si="63"/>
        <v>55358</v>
      </c>
      <c r="F396" s="97">
        <f t="shared" si="54"/>
        <v>55366</v>
      </c>
      <c r="G396" s="97">
        <v>55366</v>
      </c>
      <c r="H396" s="97">
        <v>43191</v>
      </c>
      <c r="I396" s="206" t="s">
        <v>2102</v>
      </c>
      <c r="J396" s="207" t="s">
        <v>287</v>
      </c>
      <c r="K396" s="118" t="s">
        <v>281</v>
      </c>
      <c r="L396" s="97">
        <v>43191</v>
      </c>
      <c r="M396" s="117"/>
      <c r="N396" s="118" t="s">
        <v>72</v>
      </c>
      <c r="O396" s="119">
        <v>1.41</v>
      </c>
      <c r="P396" s="119"/>
      <c r="Q396" s="99"/>
      <c r="R396" s="314">
        <f t="shared" si="56"/>
        <v>6669300</v>
      </c>
      <c r="S396" s="314">
        <f t="shared" si="61"/>
        <v>0</v>
      </c>
      <c r="T396" s="314">
        <f t="shared" si="62"/>
        <v>0</v>
      </c>
      <c r="U396" s="314">
        <f t="shared" si="60"/>
        <v>6669300</v>
      </c>
      <c r="V396" s="314">
        <f>+VLOOKUP(A396,[2]Sheet1!$B$11:$J$400,9,0)</f>
        <v>5865600</v>
      </c>
      <c r="W396" s="315" t="s">
        <v>1743</v>
      </c>
      <c r="X396" s="99" t="s">
        <v>666</v>
      </c>
      <c r="Y396" s="99" t="str">
        <f>+VLOOKUP(A396,[3]Sheet1!$B$11:$I$388,8,0)</f>
        <v>54 - 130</v>
      </c>
      <c r="Z396" s="99" t="s">
        <v>1787</v>
      </c>
      <c r="AA396" s="99" t="s">
        <v>2991</v>
      </c>
      <c r="AB396" s="100" t="s">
        <v>667</v>
      </c>
      <c r="AC396" s="99">
        <f>+VALUE(AB317:AB673)</f>
        <v>221392760</v>
      </c>
      <c r="AD396" s="201" t="s">
        <v>668</v>
      </c>
      <c r="AE396" s="99" t="s">
        <v>2427</v>
      </c>
      <c r="AF396" s="347" t="s">
        <v>1525</v>
      </c>
      <c r="AG396" s="316" t="e">
        <v>#N/A</v>
      </c>
      <c r="AH396" s="251"/>
      <c r="AI396" s="251"/>
      <c r="AJ396" s="251"/>
      <c r="AK396" s="251" t="s">
        <v>3610</v>
      </c>
      <c r="AL396" s="251"/>
      <c r="AM396" s="251"/>
      <c r="AN396" s="251"/>
      <c r="AO396" s="251"/>
      <c r="AP396" s="247">
        <v>43556</v>
      </c>
      <c r="AQ396" s="251"/>
      <c r="AR396" s="247">
        <v>44287</v>
      </c>
      <c r="AS396" s="251" t="s">
        <v>2356</v>
      </c>
      <c r="AT396" s="251" t="s">
        <v>3491</v>
      </c>
      <c r="AU396" s="379"/>
      <c r="AV396" s="380"/>
    </row>
    <row r="397" spans="1:48" x14ac:dyDescent="0.25">
      <c r="A397" s="354" t="s">
        <v>2560</v>
      </c>
      <c r="B397" s="396" t="s">
        <v>3542</v>
      </c>
      <c r="C397" s="100" t="s">
        <v>2561</v>
      </c>
      <c r="D397" s="205">
        <v>33812</v>
      </c>
      <c r="E397" s="97">
        <f t="shared" si="63"/>
        <v>54631</v>
      </c>
      <c r="F397" s="97">
        <f t="shared" si="54"/>
        <v>54636</v>
      </c>
      <c r="G397" s="97">
        <v>54636</v>
      </c>
      <c r="H397" s="97">
        <v>44896</v>
      </c>
      <c r="I397" s="206" t="s">
        <v>2102</v>
      </c>
      <c r="J397" s="207" t="s">
        <v>287</v>
      </c>
      <c r="K397" s="118" t="s">
        <v>281</v>
      </c>
      <c r="L397" s="97">
        <v>44927</v>
      </c>
      <c r="M397" s="117"/>
      <c r="N397" s="118" t="s">
        <v>72</v>
      </c>
      <c r="O397" s="119">
        <v>1.41</v>
      </c>
      <c r="P397" s="119"/>
      <c r="Q397" s="99"/>
      <c r="R397" s="314">
        <f t="shared" si="56"/>
        <v>6669300</v>
      </c>
      <c r="S397" s="314">
        <f t="shared" si="61"/>
        <v>0</v>
      </c>
      <c r="T397" s="314">
        <f t="shared" si="62"/>
        <v>0</v>
      </c>
      <c r="U397" s="314">
        <f t="shared" si="60"/>
        <v>6669300</v>
      </c>
      <c r="V397" s="314">
        <f>+VLOOKUP(A397,[2]Sheet1!$B$11:$J$400,9,0)</f>
        <v>5865600</v>
      </c>
      <c r="W397" s="315" t="s">
        <v>2729</v>
      </c>
      <c r="X397" s="99"/>
      <c r="Y397" s="99" t="str">
        <f>+VLOOKUP(A397,[3]Sheet1!$B$11:$I$388,8,0)</f>
        <v>54 - 031</v>
      </c>
      <c r="Z397" s="99" t="s">
        <v>1787</v>
      </c>
      <c r="AA397" s="99" t="s">
        <v>2993</v>
      </c>
      <c r="AB397" s="100" t="s">
        <v>2562</v>
      </c>
      <c r="AC397" s="223" t="s">
        <v>2562</v>
      </c>
      <c r="AD397" s="201" t="s">
        <v>2563</v>
      </c>
      <c r="AE397" s="99" t="s">
        <v>2427</v>
      </c>
      <c r="AF397" s="347" t="s">
        <v>2564</v>
      </c>
      <c r="AG397" s="316" t="s">
        <v>2565</v>
      </c>
      <c r="AH397" s="251"/>
      <c r="AI397" s="251"/>
      <c r="AJ397" s="251"/>
      <c r="AK397" s="251"/>
      <c r="AL397" s="251" t="s">
        <v>3603</v>
      </c>
      <c r="AM397" s="247">
        <v>44896</v>
      </c>
      <c r="AN397" s="251"/>
      <c r="AO397" s="251"/>
      <c r="AP397" s="247">
        <v>44927</v>
      </c>
      <c r="AQ397" s="251"/>
      <c r="AR397" s="251"/>
      <c r="AS397" s="321" t="s">
        <v>2566</v>
      </c>
      <c r="AT397" s="251" t="s">
        <v>3491</v>
      </c>
      <c r="AU397" s="379"/>
      <c r="AV397" s="380"/>
    </row>
    <row r="398" spans="1:48" x14ac:dyDescent="0.25">
      <c r="A398" s="371" t="s">
        <v>2413</v>
      </c>
      <c r="B398" s="396" t="s">
        <v>3542</v>
      </c>
      <c r="C398" s="244" t="s">
        <v>2414</v>
      </c>
      <c r="D398" s="243">
        <v>35603</v>
      </c>
      <c r="E398" s="97">
        <f t="shared" si="63"/>
        <v>56422</v>
      </c>
      <c r="F398" s="97">
        <f t="shared" si="54"/>
        <v>56431</v>
      </c>
      <c r="G398" s="351">
        <v>56431</v>
      </c>
      <c r="H398" s="243">
        <v>44378</v>
      </c>
      <c r="I398" s="269" t="s">
        <v>2102</v>
      </c>
      <c r="J398" s="270" t="s">
        <v>287</v>
      </c>
      <c r="K398" s="267" t="s">
        <v>281</v>
      </c>
      <c r="L398" s="243">
        <v>44409</v>
      </c>
      <c r="M398" s="271"/>
      <c r="N398" s="267" t="s">
        <v>72</v>
      </c>
      <c r="O398" s="272">
        <v>1.41</v>
      </c>
      <c r="P398" s="272"/>
      <c r="Q398" s="265"/>
      <c r="R398" s="314">
        <f t="shared" si="56"/>
        <v>6669300</v>
      </c>
      <c r="S398" s="314">
        <f t="shared" si="61"/>
        <v>0</v>
      </c>
      <c r="T398" s="314">
        <f t="shared" si="62"/>
        <v>0</v>
      </c>
      <c r="U398" s="314">
        <f t="shared" si="60"/>
        <v>6669300</v>
      </c>
      <c r="V398" s="314">
        <f>+VLOOKUP(A398,[2]Sheet1!$B$11:$J$400,9,0)</f>
        <v>5865600</v>
      </c>
      <c r="W398" s="315" t="s">
        <v>2730</v>
      </c>
      <c r="X398" s="265"/>
      <c r="Y398" s="99" t="str">
        <f>+VLOOKUP(A398,[3]Sheet1!$B$11:$I$388,8,0)</f>
        <v>54 - 031</v>
      </c>
      <c r="Z398" s="265" t="s">
        <v>1787</v>
      </c>
      <c r="AA398" s="265" t="s">
        <v>3001</v>
      </c>
      <c r="AB398" s="244" t="s">
        <v>2415</v>
      </c>
      <c r="AC398" s="265">
        <v>221422248</v>
      </c>
      <c r="AD398" s="245" t="s">
        <v>2416</v>
      </c>
      <c r="AE398" s="265" t="s">
        <v>2427</v>
      </c>
      <c r="AF398" s="352" t="s">
        <v>2417</v>
      </c>
      <c r="AG398" s="316" t="s">
        <v>2418</v>
      </c>
      <c r="AH398" s="251"/>
      <c r="AI398" s="251"/>
      <c r="AJ398" s="251"/>
      <c r="AK398" s="251" t="s">
        <v>3610</v>
      </c>
      <c r="AL398" s="251"/>
      <c r="AM398" s="251"/>
      <c r="AN398" s="251"/>
      <c r="AO398" s="251"/>
      <c r="AP398" s="251"/>
      <c r="AQ398" s="251"/>
      <c r="AR398" s="251"/>
      <c r="AS398" s="251"/>
      <c r="AT398" s="251" t="s">
        <v>3491</v>
      </c>
      <c r="AU398" s="379"/>
      <c r="AV398" s="380"/>
    </row>
    <row r="399" spans="1:48" x14ac:dyDescent="0.25">
      <c r="B399" s="401"/>
      <c r="AC399" s="55"/>
      <c r="AG399" s="282"/>
    </row>
    <row r="400" spans="1:48" x14ac:dyDescent="0.25">
      <c r="B400" s="401"/>
      <c r="AC400" s="55"/>
      <c r="AG400" s="282"/>
    </row>
    <row r="401" spans="2:33" x14ac:dyDescent="0.25">
      <c r="B401" s="401"/>
      <c r="AC401" s="55"/>
      <c r="AG401" s="282"/>
    </row>
    <row r="402" spans="2:33" x14ac:dyDescent="0.25">
      <c r="B402" s="401"/>
      <c r="AC402" s="55"/>
      <c r="AG402" s="282"/>
    </row>
    <row r="403" spans="2:33" x14ac:dyDescent="0.25">
      <c r="B403" s="401"/>
      <c r="AC403" s="55"/>
      <c r="AG403" s="282"/>
    </row>
    <row r="404" spans="2:33" x14ac:dyDescent="0.25">
      <c r="B404" s="401"/>
      <c r="AC404" s="55"/>
      <c r="AG404" s="282"/>
    </row>
    <row r="405" spans="2:33" x14ac:dyDescent="0.25">
      <c r="B405" s="401"/>
      <c r="AC405" s="55"/>
      <c r="AG405" s="282"/>
    </row>
    <row r="406" spans="2:33" x14ac:dyDescent="0.25">
      <c r="B406" s="401"/>
      <c r="AC406" s="55"/>
      <c r="AG406" s="282"/>
    </row>
    <row r="407" spans="2:33" x14ac:dyDescent="0.25">
      <c r="B407" s="401"/>
      <c r="AC407" s="55"/>
      <c r="AG407" s="282"/>
    </row>
    <row r="408" spans="2:33" x14ac:dyDescent="0.25">
      <c r="B408" s="401"/>
      <c r="AC408" s="55"/>
      <c r="AG408" s="282"/>
    </row>
    <row r="409" spans="2:33" x14ac:dyDescent="0.25">
      <c r="B409" s="401"/>
      <c r="AC409" s="55"/>
      <c r="AG409" s="282"/>
    </row>
    <row r="410" spans="2:33" x14ac:dyDescent="0.25">
      <c r="B410" s="401"/>
      <c r="AC410" s="55"/>
      <c r="AG410" s="282"/>
    </row>
    <row r="411" spans="2:33" x14ac:dyDescent="0.25">
      <c r="B411" s="401"/>
      <c r="AC411" s="55"/>
      <c r="AG411" s="282"/>
    </row>
    <row r="412" spans="2:33" x14ac:dyDescent="0.25">
      <c r="B412" s="401"/>
      <c r="AC412" s="55"/>
      <c r="AG412" s="282"/>
    </row>
    <row r="413" spans="2:33" x14ac:dyDescent="0.25">
      <c r="B413" s="401"/>
      <c r="AC413" s="55"/>
      <c r="AG413" s="282"/>
    </row>
    <row r="414" spans="2:33" x14ac:dyDescent="0.25">
      <c r="B414" s="401"/>
      <c r="AC414" s="55"/>
      <c r="AG414" s="282"/>
    </row>
    <row r="415" spans="2:33" x14ac:dyDescent="0.25">
      <c r="B415" s="401"/>
      <c r="AC415" s="55"/>
      <c r="AG415" s="282"/>
    </row>
    <row r="416" spans="2:33" x14ac:dyDescent="0.25">
      <c r="B416" s="401"/>
      <c r="AC416" s="55"/>
      <c r="AG416" s="282"/>
    </row>
    <row r="417" spans="2:33" x14ac:dyDescent="0.25">
      <c r="B417" s="401"/>
      <c r="AC417" s="55"/>
      <c r="AG417" s="282"/>
    </row>
    <row r="418" spans="2:33" x14ac:dyDescent="0.25">
      <c r="B418" s="401"/>
      <c r="AC418" s="55"/>
      <c r="AG418" s="282"/>
    </row>
    <row r="419" spans="2:33" x14ac:dyDescent="0.25">
      <c r="B419" s="401"/>
      <c r="AC419" s="55"/>
      <c r="AG419" s="282"/>
    </row>
    <row r="420" spans="2:33" x14ac:dyDescent="0.25">
      <c r="B420" s="401"/>
      <c r="AC420" s="55"/>
      <c r="AG420" s="282"/>
    </row>
    <row r="421" spans="2:33" x14ac:dyDescent="0.25">
      <c r="B421" s="401"/>
      <c r="AC421" s="55"/>
      <c r="AG421" s="282"/>
    </row>
    <row r="422" spans="2:33" x14ac:dyDescent="0.25">
      <c r="AC422" s="55"/>
      <c r="AG422" s="282"/>
    </row>
    <row r="423" spans="2:33" x14ac:dyDescent="0.25">
      <c r="AC423" s="55"/>
      <c r="AG423" s="282"/>
    </row>
    <row r="424" spans="2:33" x14ac:dyDescent="0.25">
      <c r="AC424" s="55"/>
      <c r="AG424" s="282"/>
    </row>
    <row r="425" spans="2:33" x14ac:dyDescent="0.25">
      <c r="AC425" s="55"/>
      <c r="AG425" s="282"/>
    </row>
    <row r="426" spans="2:33" x14ac:dyDescent="0.25">
      <c r="AC426" s="55"/>
    </row>
    <row r="427" spans="2:33" x14ac:dyDescent="0.25">
      <c r="AC427" s="55"/>
    </row>
    <row r="428" spans="2:33" x14ac:dyDescent="0.25">
      <c r="AC428" s="55"/>
    </row>
    <row r="429" spans="2:33" x14ac:dyDescent="0.25">
      <c r="AC429" s="55"/>
    </row>
    <row r="430" spans="2:33" x14ac:dyDescent="0.25">
      <c r="AC430" s="55"/>
    </row>
    <row r="431" spans="2:33" x14ac:dyDescent="0.25">
      <c r="AC431" s="55"/>
    </row>
    <row r="432" spans="2:33" x14ac:dyDescent="0.25">
      <c r="AC432" s="55"/>
    </row>
    <row r="433" spans="29:29" x14ac:dyDescent="0.25">
      <c r="AC433" s="55"/>
    </row>
    <row r="434" spans="29:29" x14ac:dyDescent="0.25">
      <c r="AC434" s="55"/>
    </row>
    <row r="435" spans="29:29" x14ac:dyDescent="0.25">
      <c r="AC435" s="55"/>
    </row>
    <row r="436" spans="29:29" x14ac:dyDescent="0.25">
      <c r="AC436" s="55"/>
    </row>
    <row r="437" spans="29:29" x14ac:dyDescent="0.25">
      <c r="AC437" s="55"/>
    </row>
    <row r="438" spans="29:29" x14ac:dyDescent="0.25">
      <c r="AC438" s="55"/>
    </row>
    <row r="439" spans="29:29" x14ac:dyDescent="0.25">
      <c r="AC439" s="55"/>
    </row>
    <row r="440" spans="29:29" x14ac:dyDescent="0.25">
      <c r="AC440" s="55"/>
    </row>
    <row r="441" spans="29:29" x14ac:dyDescent="0.25">
      <c r="AC441" s="55"/>
    </row>
    <row r="442" spans="29:29" x14ac:dyDescent="0.25">
      <c r="AC442" s="55"/>
    </row>
    <row r="443" spans="29:29" x14ac:dyDescent="0.25">
      <c r="AC443" s="55"/>
    </row>
    <row r="444" spans="29:29" x14ac:dyDescent="0.25">
      <c r="AC444" s="55"/>
    </row>
    <row r="445" spans="29:29" x14ac:dyDescent="0.25">
      <c r="AC445" s="55"/>
    </row>
    <row r="446" spans="29:29" x14ac:dyDescent="0.25">
      <c r="AC446" s="55"/>
    </row>
    <row r="447" spans="29:29" x14ac:dyDescent="0.25">
      <c r="AC447" s="55"/>
    </row>
    <row r="448" spans="29:29" x14ac:dyDescent="0.25">
      <c r="AC448" s="55"/>
    </row>
    <row r="449" spans="29:29" x14ac:dyDescent="0.25">
      <c r="AC449" s="55"/>
    </row>
    <row r="450" spans="29:29" x14ac:dyDescent="0.25">
      <c r="AC450" s="55"/>
    </row>
    <row r="451" spans="29:29" x14ac:dyDescent="0.25">
      <c r="AC451" s="55"/>
    </row>
    <row r="452" spans="29:29" x14ac:dyDescent="0.25">
      <c r="AC452" s="55"/>
    </row>
    <row r="453" spans="29:29" x14ac:dyDescent="0.25">
      <c r="AC453" s="55"/>
    </row>
    <row r="454" spans="29:29" x14ac:dyDescent="0.25">
      <c r="AC454" s="55"/>
    </row>
    <row r="455" spans="29:29" x14ac:dyDescent="0.25">
      <c r="AC455" s="55"/>
    </row>
    <row r="456" spans="29:29" x14ac:dyDescent="0.25">
      <c r="AC456" s="55"/>
    </row>
    <row r="457" spans="29:29" x14ac:dyDescent="0.25">
      <c r="AC457" s="55"/>
    </row>
    <row r="458" spans="29:29" x14ac:dyDescent="0.25">
      <c r="AC458" s="55"/>
    </row>
    <row r="459" spans="29:29" x14ac:dyDescent="0.25">
      <c r="AC459" s="55"/>
    </row>
    <row r="460" spans="29:29" x14ac:dyDescent="0.25">
      <c r="AC460" s="55"/>
    </row>
    <row r="461" spans="29:29" x14ac:dyDescent="0.25">
      <c r="AC461" s="55"/>
    </row>
    <row r="462" spans="29:29" x14ac:dyDescent="0.25">
      <c r="AC462" s="55"/>
    </row>
    <row r="463" spans="29:29" x14ac:dyDescent="0.25">
      <c r="AC463" s="55"/>
    </row>
    <row r="464" spans="29:29" x14ac:dyDescent="0.25">
      <c r="AC464" s="55"/>
    </row>
    <row r="465" spans="29:29" x14ac:dyDescent="0.25">
      <c r="AC465" s="55"/>
    </row>
    <row r="466" spans="29:29" x14ac:dyDescent="0.25">
      <c r="AC466" s="55"/>
    </row>
    <row r="467" spans="29:29" x14ac:dyDescent="0.25">
      <c r="AC467" s="55"/>
    </row>
    <row r="468" spans="29:29" x14ac:dyDescent="0.25">
      <c r="AC468" s="55"/>
    </row>
    <row r="469" spans="29:29" x14ac:dyDescent="0.25">
      <c r="AC469" s="55"/>
    </row>
    <row r="470" spans="29:29" x14ac:dyDescent="0.25">
      <c r="AC470" s="55"/>
    </row>
    <row r="471" spans="29:29" x14ac:dyDescent="0.25">
      <c r="AC471" s="55"/>
    </row>
    <row r="472" spans="29:29" x14ac:dyDescent="0.25">
      <c r="AC472" s="55"/>
    </row>
    <row r="473" spans="29:29" x14ac:dyDescent="0.25">
      <c r="AC473" s="55"/>
    </row>
    <row r="474" spans="29:29" x14ac:dyDescent="0.25">
      <c r="AC474" s="55"/>
    </row>
    <row r="475" spans="29:29" x14ac:dyDescent="0.25">
      <c r="AC475" s="55"/>
    </row>
    <row r="476" spans="29:29" x14ac:dyDescent="0.25">
      <c r="AC476" s="55"/>
    </row>
    <row r="477" spans="29:29" x14ac:dyDescent="0.25">
      <c r="AC477" s="55"/>
    </row>
    <row r="478" spans="29:29" x14ac:dyDescent="0.25">
      <c r="AC478" s="55"/>
    </row>
    <row r="479" spans="29:29" x14ac:dyDescent="0.25">
      <c r="AC479" s="55"/>
    </row>
    <row r="480" spans="29:29" x14ac:dyDescent="0.25">
      <c r="AC480" s="55"/>
    </row>
    <row r="481" spans="29:29" x14ac:dyDescent="0.25">
      <c r="AC481" s="55"/>
    </row>
    <row r="482" spans="29:29" x14ac:dyDescent="0.25">
      <c r="AC482" s="55"/>
    </row>
    <row r="483" spans="29:29" x14ac:dyDescent="0.25">
      <c r="AC483" s="55"/>
    </row>
    <row r="484" spans="29:29" x14ac:dyDescent="0.25">
      <c r="AC484" s="55"/>
    </row>
    <row r="485" spans="29:29" x14ac:dyDescent="0.25">
      <c r="AC485" s="55"/>
    </row>
    <row r="486" spans="29:29" x14ac:dyDescent="0.25">
      <c r="AC486" s="55"/>
    </row>
    <row r="487" spans="29:29" x14ac:dyDescent="0.25">
      <c r="AC487" s="55"/>
    </row>
    <row r="488" spans="29:29" x14ac:dyDescent="0.25">
      <c r="AC488" s="55"/>
    </row>
    <row r="489" spans="29:29" x14ac:dyDescent="0.25">
      <c r="AC489" s="55"/>
    </row>
    <row r="490" spans="29:29" x14ac:dyDescent="0.25">
      <c r="AC490" s="55"/>
    </row>
    <row r="491" spans="29:29" x14ac:dyDescent="0.25">
      <c r="AC491" s="55"/>
    </row>
    <row r="492" spans="29:29" x14ac:dyDescent="0.25">
      <c r="AC492" s="55"/>
    </row>
    <row r="493" spans="29:29" x14ac:dyDescent="0.25">
      <c r="AC493" s="55"/>
    </row>
    <row r="494" spans="29:29" x14ac:dyDescent="0.25">
      <c r="AC494" s="55"/>
    </row>
    <row r="495" spans="29:29" x14ac:dyDescent="0.25">
      <c r="AC495" s="55"/>
    </row>
    <row r="496" spans="29:29" x14ac:dyDescent="0.25">
      <c r="AC496" s="55"/>
    </row>
    <row r="497" spans="29:29" x14ac:dyDescent="0.25">
      <c r="AC497" s="55"/>
    </row>
    <row r="498" spans="29:29" x14ac:dyDescent="0.25">
      <c r="AC498" s="55"/>
    </row>
    <row r="499" spans="29:29" x14ac:dyDescent="0.25">
      <c r="AC499" s="55"/>
    </row>
    <row r="500" spans="29:29" x14ac:dyDescent="0.25">
      <c r="AC500" s="55"/>
    </row>
    <row r="501" spans="29:29" x14ac:dyDescent="0.25">
      <c r="AC501" s="55"/>
    </row>
    <row r="502" spans="29:29" x14ac:dyDescent="0.25">
      <c r="AC502" s="55"/>
    </row>
    <row r="503" spans="29:29" x14ac:dyDescent="0.25">
      <c r="AC503" s="55"/>
    </row>
    <row r="504" spans="29:29" x14ac:dyDescent="0.25">
      <c r="AC504" s="55"/>
    </row>
    <row r="505" spans="29:29" x14ac:dyDescent="0.25">
      <c r="AC505" s="55"/>
    </row>
    <row r="506" spans="29:29" x14ac:dyDescent="0.25">
      <c r="AC506" s="55"/>
    </row>
    <row r="507" spans="29:29" x14ac:dyDescent="0.25">
      <c r="AC507" s="55"/>
    </row>
    <row r="508" spans="29:29" x14ac:dyDescent="0.25">
      <c r="AC508" s="55"/>
    </row>
    <row r="509" spans="29:29" x14ac:dyDescent="0.25">
      <c r="AC509" s="55"/>
    </row>
    <row r="510" spans="29:29" x14ac:dyDescent="0.25">
      <c r="AC510" s="55"/>
    </row>
    <row r="511" spans="29:29" x14ac:dyDescent="0.25">
      <c r="AC511" s="55"/>
    </row>
    <row r="512" spans="29:29" x14ac:dyDescent="0.25">
      <c r="AC512" s="55"/>
    </row>
    <row r="513" spans="29:29" x14ac:dyDescent="0.25">
      <c r="AC513" s="55"/>
    </row>
    <row r="514" spans="29:29" x14ac:dyDescent="0.25">
      <c r="AC514" s="55"/>
    </row>
    <row r="515" spans="29:29" x14ac:dyDescent="0.25">
      <c r="AC515" s="55"/>
    </row>
    <row r="516" spans="29:29" x14ac:dyDescent="0.25">
      <c r="AC516" s="55"/>
    </row>
    <row r="517" spans="29:29" x14ac:dyDescent="0.25">
      <c r="AC517" s="55"/>
    </row>
    <row r="518" spans="29:29" x14ac:dyDescent="0.25">
      <c r="AC518" s="55"/>
    </row>
    <row r="519" spans="29:29" x14ac:dyDescent="0.25">
      <c r="AC519" s="55"/>
    </row>
    <row r="520" spans="29:29" x14ac:dyDescent="0.25">
      <c r="AC520" s="55"/>
    </row>
    <row r="521" spans="29:29" x14ac:dyDescent="0.25">
      <c r="AC521" s="55"/>
    </row>
    <row r="522" spans="29:29" x14ac:dyDescent="0.25">
      <c r="AC522" s="55"/>
    </row>
    <row r="523" spans="29:29" x14ac:dyDescent="0.25">
      <c r="AC523" s="55"/>
    </row>
    <row r="524" spans="29:29" x14ac:dyDescent="0.25">
      <c r="AC524" s="55"/>
    </row>
    <row r="525" spans="29:29" x14ac:dyDescent="0.25">
      <c r="AC525" s="55"/>
    </row>
    <row r="526" spans="29:29" x14ac:dyDescent="0.25">
      <c r="AC526" s="55"/>
    </row>
    <row r="527" spans="29:29" x14ac:dyDescent="0.25">
      <c r="AC527" s="55"/>
    </row>
    <row r="528" spans="29:29" x14ac:dyDescent="0.25">
      <c r="AC528" s="55"/>
    </row>
    <row r="529" spans="29:29" x14ac:dyDescent="0.25">
      <c r="AC529" s="55"/>
    </row>
    <row r="530" spans="29:29" x14ac:dyDescent="0.25">
      <c r="AC530" s="55"/>
    </row>
    <row r="531" spans="29:29" x14ac:dyDescent="0.25">
      <c r="AC531" s="55"/>
    </row>
    <row r="532" spans="29:29" x14ac:dyDescent="0.25">
      <c r="AC532" s="55"/>
    </row>
    <row r="533" spans="29:29" x14ac:dyDescent="0.25">
      <c r="AC533" s="55"/>
    </row>
    <row r="534" spans="29:29" x14ac:dyDescent="0.25">
      <c r="AC534" s="55"/>
    </row>
    <row r="535" spans="29:29" x14ac:dyDescent="0.25">
      <c r="AC535" s="55"/>
    </row>
    <row r="536" spans="29:29" x14ac:dyDescent="0.25">
      <c r="AC536" s="55"/>
    </row>
    <row r="537" spans="29:29" x14ac:dyDescent="0.25">
      <c r="AC537" s="55"/>
    </row>
    <row r="538" spans="29:29" x14ac:dyDescent="0.25">
      <c r="AC538" s="55"/>
    </row>
    <row r="539" spans="29:29" x14ac:dyDescent="0.25">
      <c r="AC539" s="55"/>
    </row>
    <row r="540" spans="29:29" x14ac:dyDescent="0.25">
      <c r="AC540" s="55"/>
    </row>
    <row r="541" spans="29:29" x14ac:dyDescent="0.25">
      <c r="AC541" s="55"/>
    </row>
    <row r="542" spans="29:29" x14ac:dyDescent="0.25">
      <c r="AC542" s="55"/>
    </row>
    <row r="543" spans="29:29" x14ac:dyDescent="0.25">
      <c r="AC543" s="55"/>
    </row>
    <row r="544" spans="29:29" x14ac:dyDescent="0.25">
      <c r="AC544" s="55"/>
    </row>
    <row r="545" spans="29:29" x14ac:dyDescent="0.25">
      <c r="AC545" s="55"/>
    </row>
    <row r="546" spans="29:29" x14ac:dyDescent="0.25">
      <c r="AC546" s="55"/>
    </row>
    <row r="547" spans="29:29" x14ac:dyDescent="0.25">
      <c r="AC547" s="55"/>
    </row>
    <row r="548" spans="29:29" x14ac:dyDescent="0.25">
      <c r="AC548" s="55"/>
    </row>
    <row r="549" spans="29:29" x14ac:dyDescent="0.25">
      <c r="AC549" s="55"/>
    </row>
    <row r="550" spans="29:29" x14ac:dyDescent="0.25">
      <c r="AC550" s="55"/>
    </row>
    <row r="551" spans="29:29" x14ac:dyDescent="0.25">
      <c r="AC551" s="55"/>
    </row>
    <row r="552" spans="29:29" x14ac:dyDescent="0.25">
      <c r="AC552" s="55"/>
    </row>
    <row r="553" spans="29:29" x14ac:dyDescent="0.25">
      <c r="AC553" s="55"/>
    </row>
    <row r="554" spans="29:29" x14ac:dyDescent="0.25">
      <c r="AC554" s="55"/>
    </row>
    <row r="555" spans="29:29" x14ac:dyDescent="0.25">
      <c r="AC555" s="55"/>
    </row>
    <row r="556" spans="29:29" x14ac:dyDescent="0.25">
      <c r="AC556" s="55"/>
    </row>
    <row r="557" spans="29:29" x14ac:dyDescent="0.25">
      <c r="AC557" s="55"/>
    </row>
    <row r="558" spans="29:29" x14ac:dyDescent="0.25">
      <c r="AC558" s="55"/>
    </row>
    <row r="559" spans="29:29" x14ac:dyDescent="0.25">
      <c r="AC559" s="55"/>
    </row>
    <row r="560" spans="29:29" x14ac:dyDescent="0.25">
      <c r="AC560" s="55"/>
    </row>
    <row r="561" spans="29:29" x14ac:dyDescent="0.25">
      <c r="AC561" s="55"/>
    </row>
    <row r="562" spans="29:29" x14ac:dyDescent="0.25">
      <c r="AC562" s="55"/>
    </row>
    <row r="563" spans="29:29" x14ac:dyDescent="0.25">
      <c r="AC563" s="55"/>
    </row>
    <row r="564" spans="29:29" x14ac:dyDescent="0.25">
      <c r="AC564" s="55"/>
    </row>
    <row r="565" spans="29:29" x14ac:dyDescent="0.25">
      <c r="AC565" s="55"/>
    </row>
    <row r="566" spans="29:29" x14ac:dyDescent="0.25">
      <c r="AC566" s="55"/>
    </row>
    <row r="567" spans="29:29" x14ac:dyDescent="0.25">
      <c r="AC567" s="55"/>
    </row>
    <row r="568" spans="29:29" x14ac:dyDescent="0.25">
      <c r="AC568" s="55"/>
    </row>
    <row r="569" spans="29:29" x14ac:dyDescent="0.25">
      <c r="AC569" s="55"/>
    </row>
    <row r="570" spans="29:29" x14ac:dyDescent="0.25">
      <c r="AC570" s="55"/>
    </row>
    <row r="571" spans="29:29" x14ac:dyDescent="0.25">
      <c r="AC571" s="55"/>
    </row>
    <row r="572" spans="29:29" x14ac:dyDescent="0.25">
      <c r="AC572" s="55"/>
    </row>
    <row r="573" spans="29:29" x14ac:dyDescent="0.25">
      <c r="AC573" s="55"/>
    </row>
    <row r="574" spans="29:29" x14ac:dyDescent="0.25">
      <c r="AC574" s="55"/>
    </row>
    <row r="575" spans="29:29" x14ac:dyDescent="0.25">
      <c r="AC575" s="55"/>
    </row>
    <row r="576" spans="29:29" x14ac:dyDescent="0.25">
      <c r="AC576" s="55"/>
    </row>
    <row r="577" spans="29:29" x14ac:dyDescent="0.25">
      <c r="AC577" s="55"/>
    </row>
    <row r="578" spans="29:29" x14ac:dyDescent="0.25">
      <c r="AC578" s="55"/>
    </row>
    <row r="579" spans="29:29" x14ac:dyDescent="0.25">
      <c r="AC579" s="55"/>
    </row>
    <row r="580" spans="29:29" x14ac:dyDescent="0.25">
      <c r="AC580" s="55"/>
    </row>
    <row r="581" spans="29:29" x14ac:dyDescent="0.25">
      <c r="AC581" s="55"/>
    </row>
    <row r="582" spans="29:29" x14ac:dyDescent="0.25">
      <c r="AC582" s="55"/>
    </row>
    <row r="583" spans="29:29" x14ac:dyDescent="0.25">
      <c r="AC583" s="55"/>
    </row>
    <row r="584" spans="29:29" x14ac:dyDescent="0.25">
      <c r="AC584" s="55"/>
    </row>
    <row r="585" spans="29:29" x14ac:dyDescent="0.25">
      <c r="AC585" s="55"/>
    </row>
    <row r="586" spans="29:29" x14ac:dyDescent="0.25">
      <c r="AC586" s="55"/>
    </row>
    <row r="587" spans="29:29" x14ac:dyDescent="0.25">
      <c r="AC587" s="55"/>
    </row>
    <row r="588" spans="29:29" x14ac:dyDescent="0.25">
      <c r="AC588" s="55"/>
    </row>
    <row r="589" spans="29:29" x14ac:dyDescent="0.25">
      <c r="AC589" s="55"/>
    </row>
    <row r="590" spans="29:29" x14ac:dyDescent="0.25">
      <c r="AC590" s="55"/>
    </row>
    <row r="591" spans="29:29" x14ac:dyDescent="0.25">
      <c r="AC591" s="55"/>
    </row>
    <row r="592" spans="29:29" x14ac:dyDescent="0.25">
      <c r="AC592" s="55"/>
    </row>
    <row r="593" spans="29:29" x14ac:dyDescent="0.25">
      <c r="AC593" s="55"/>
    </row>
    <row r="594" spans="29:29" x14ac:dyDescent="0.25">
      <c r="AC594" s="55"/>
    </row>
    <row r="595" spans="29:29" x14ac:dyDescent="0.25">
      <c r="AC595" s="55"/>
    </row>
    <row r="596" spans="29:29" x14ac:dyDescent="0.25">
      <c r="AC596" s="55"/>
    </row>
    <row r="597" spans="29:29" x14ac:dyDescent="0.25">
      <c r="AC597" s="55"/>
    </row>
    <row r="598" spans="29:29" x14ac:dyDescent="0.25">
      <c r="AC598" s="55"/>
    </row>
    <row r="599" spans="29:29" x14ac:dyDescent="0.25">
      <c r="AC599" s="55"/>
    </row>
    <row r="600" spans="29:29" x14ac:dyDescent="0.25">
      <c r="AC600" s="55"/>
    </row>
    <row r="601" spans="29:29" x14ac:dyDescent="0.25">
      <c r="AC601" s="55"/>
    </row>
    <row r="602" spans="29:29" x14ac:dyDescent="0.25">
      <c r="AC602" s="55"/>
    </row>
    <row r="603" spans="29:29" x14ac:dyDescent="0.25">
      <c r="AC603" s="55"/>
    </row>
    <row r="604" spans="29:29" x14ac:dyDescent="0.25">
      <c r="AC604" s="55"/>
    </row>
    <row r="605" spans="29:29" x14ac:dyDescent="0.25">
      <c r="AC605" s="55"/>
    </row>
    <row r="606" spans="29:29" x14ac:dyDescent="0.25">
      <c r="AC606" s="55"/>
    </row>
    <row r="607" spans="29:29" x14ac:dyDescent="0.25">
      <c r="AC607" s="55"/>
    </row>
    <row r="608" spans="29:29" x14ac:dyDescent="0.25">
      <c r="AC608" s="55"/>
    </row>
    <row r="609" spans="29:29" x14ac:dyDescent="0.25">
      <c r="AC609" s="55"/>
    </row>
    <row r="610" spans="29:29" x14ac:dyDescent="0.25">
      <c r="AC610" s="55"/>
    </row>
    <row r="611" spans="29:29" x14ac:dyDescent="0.25">
      <c r="AC611" s="55"/>
    </row>
    <row r="612" spans="29:29" x14ac:dyDescent="0.25">
      <c r="AC612" s="55"/>
    </row>
    <row r="613" spans="29:29" x14ac:dyDescent="0.25">
      <c r="AC613" s="55"/>
    </row>
    <row r="614" spans="29:29" x14ac:dyDescent="0.25">
      <c r="AC614" s="55"/>
    </row>
    <row r="615" spans="29:29" x14ac:dyDescent="0.25">
      <c r="AC615" s="55"/>
    </row>
    <row r="616" spans="29:29" x14ac:dyDescent="0.25">
      <c r="AC616" s="55"/>
    </row>
    <row r="617" spans="29:29" x14ac:dyDescent="0.25">
      <c r="AC617" s="55"/>
    </row>
    <row r="618" spans="29:29" x14ac:dyDescent="0.25">
      <c r="AC618" s="55"/>
    </row>
    <row r="619" spans="29:29" x14ac:dyDescent="0.25">
      <c r="AC619" s="55"/>
    </row>
    <row r="620" spans="29:29" x14ac:dyDescent="0.25">
      <c r="AC620" s="55"/>
    </row>
    <row r="621" spans="29:29" x14ac:dyDescent="0.25">
      <c r="AC621" s="55"/>
    </row>
    <row r="622" spans="29:29" x14ac:dyDescent="0.25">
      <c r="AC622" s="55"/>
    </row>
    <row r="623" spans="29:29" x14ac:dyDescent="0.25">
      <c r="AC623" s="55"/>
    </row>
    <row r="624" spans="29:29" x14ac:dyDescent="0.25">
      <c r="AC624" s="55"/>
    </row>
    <row r="625" spans="29:29" x14ac:dyDescent="0.25">
      <c r="AC625" s="55"/>
    </row>
    <row r="626" spans="29:29" x14ac:dyDescent="0.25">
      <c r="AC626" s="55"/>
    </row>
    <row r="627" spans="29:29" x14ac:dyDescent="0.25">
      <c r="AC627" s="55"/>
    </row>
    <row r="628" spans="29:29" x14ac:dyDescent="0.25">
      <c r="AC628" s="55"/>
    </row>
    <row r="629" spans="29:29" x14ac:dyDescent="0.25">
      <c r="AC629" s="55"/>
    </row>
    <row r="630" spans="29:29" x14ac:dyDescent="0.25">
      <c r="AC630" s="55"/>
    </row>
    <row r="631" spans="29:29" x14ac:dyDescent="0.25">
      <c r="AC631" s="55"/>
    </row>
    <row r="632" spans="29:29" x14ac:dyDescent="0.25">
      <c r="AC632" s="55"/>
    </row>
    <row r="633" spans="29:29" x14ac:dyDescent="0.25">
      <c r="AC633" s="55"/>
    </row>
    <row r="634" spans="29:29" x14ac:dyDescent="0.25">
      <c r="AC634" s="55"/>
    </row>
    <row r="635" spans="29:29" x14ac:dyDescent="0.25">
      <c r="AC635" s="55"/>
    </row>
    <row r="636" spans="29:29" x14ac:dyDescent="0.25">
      <c r="AC636" s="55"/>
    </row>
    <row r="637" spans="29:29" x14ac:dyDescent="0.25">
      <c r="AC637" s="55"/>
    </row>
    <row r="638" spans="29:29" x14ac:dyDescent="0.25">
      <c r="AC638" s="55"/>
    </row>
    <row r="639" spans="29:29" x14ac:dyDescent="0.25">
      <c r="AC639" s="55"/>
    </row>
    <row r="640" spans="29:29" x14ac:dyDescent="0.25">
      <c r="AC640" s="55"/>
    </row>
    <row r="641" spans="29:29" x14ac:dyDescent="0.25">
      <c r="AC641" s="55"/>
    </row>
    <row r="642" spans="29:29" x14ac:dyDescent="0.25">
      <c r="AC642" s="55"/>
    </row>
    <row r="643" spans="29:29" x14ac:dyDescent="0.25">
      <c r="AC643" s="55"/>
    </row>
    <row r="644" spans="29:29" x14ac:dyDescent="0.25">
      <c r="AC644" s="55"/>
    </row>
    <row r="645" spans="29:29" x14ac:dyDescent="0.25">
      <c r="AC645" s="55"/>
    </row>
    <row r="646" spans="29:29" x14ac:dyDescent="0.25">
      <c r="AC646" s="55"/>
    </row>
    <row r="647" spans="29:29" x14ac:dyDescent="0.25">
      <c r="AC647" s="55"/>
    </row>
    <row r="648" spans="29:29" x14ac:dyDescent="0.25">
      <c r="AC648" s="55"/>
    </row>
    <row r="649" spans="29:29" x14ac:dyDescent="0.25">
      <c r="AC649" s="55"/>
    </row>
    <row r="650" spans="29:29" x14ac:dyDescent="0.25">
      <c r="AC650" s="55"/>
    </row>
    <row r="651" spans="29:29" x14ac:dyDescent="0.25">
      <c r="AC651" s="55"/>
    </row>
    <row r="652" spans="29:29" x14ac:dyDescent="0.25">
      <c r="AC652" s="55"/>
    </row>
    <row r="653" spans="29:29" x14ac:dyDescent="0.25">
      <c r="AC653" s="55"/>
    </row>
    <row r="654" spans="29:29" x14ac:dyDescent="0.25">
      <c r="AC654" s="55"/>
    </row>
    <row r="655" spans="29:29" x14ac:dyDescent="0.25">
      <c r="AC655" s="55"/>
    </row>
    <row r="656" spans="29:29" x14ac:dyDescent="0.25">
      <c r="AC656" s="55"/>
    </row>
    <row r="657" spans="29:29" x14ac:dyDescent="0.25">
      <c r="AC657" s="55"/>
    </row>
    <row r="658" spans="29:29" x14ac:dyDescent="0.25">
      <c r="AC658" s="55"/>
    </row>
    <row r="659" spans="29:29" x14ac:dyDescent="0.25">
      <c r="AC659" s="55"/>
    </row>
    <row r="660" spans="29:29" x14ac:dyDescent="0.25">
      <c r="AC660" s="55"/>
    </row>
    <row r="661" spans="29:29" x14ac:dyDescent="0.25">
      <c r="AC661" s="55"/>
    </row>
    <row r="662" spans="29:29" x14ac:dyDescent="0.25">
      <c r="AC662" s="55"/>
    </row>
    <row r="663" spans="29:29" x14ac:dyDescent="0.25">
      <c r="AC663" s="55"/>
    </row>
    <row r="664" spans="29:29" x14ac:dyDescent="0.25">
      <c r="AC664" s="55"/>
    </row>
    <row r="665" spans="29:29" x14ac:dyDescent="0.25">
      <c r="AC665" s="55"/>
    </row>
    <row r="666" spans="29:29" x14ac:dyDescent="0.25">
      <c r="AC666" s="55"/>
    </row>
    <row r="667" spans="29:29" x14ac:dyDescent="0.25">
      <c r="AC667" s="55"/>
    </row>
    <row r="668" spans="29:29" x14ac:dyDescent="0.25">
      <c r="AC668" s="55"/>
    </row>
    <row r="669" spans="29:29" x14ac:dyDescent="0.25">
      <c r="AC669" s="55"/>
    </row>
    <row r="670" spans="29:29" x14ac:dyDescent="0.25">
      <c r="AC670" s="55"/>
    </row>
    <row r="671" spans="29:29" x14ac:dyDescent="0.25">
      <c r="AC671" s="55"/>
    </row>
    <row r="672" spans="29:29" x14ac:dyDescent="0.25">
      <c r="AC672" s="55"/>
    </row>
    <row r="673" spans="29:29" x14ac:dyDescent="0.25">
      <c r="AC673" s="55"/>
    </row>
    <row r="674" spans="29:29" x14ac:dyDescent="0.25">
      <c r="AC674" s="55"/>
    </row>
    <row r="675" spans="29:29" x14ac:dyDescent="0.25">
      <c r="AC675" s="55"/>
    </row>
    <row r="676" spans="29:29" x14ac:dyDescent="0.25">
      <c r="AC676" s="55"/>
    </row>
    <row r="677" spans="29:29" x14ac:dyDescent="0.25">
      <c r="AC677" s="55"/>
    </row>
    <row r="678" spans="29:29" x14ac:dyDescent="0.25">
      <c r="AC678" s="55"/>
    </row>
    <row r="679" spans="29:29" x14ac:dyDescent="0.25">
      <c r="AC679" s="55"/>
    </row>
    <row r="680" spans="29:29" x14ac:dyDescent="0.25">
      <c r="AC680" s="55"/>
    </row>
    <row r="681" spans="29:29" x14ac:dyDescent="0.25">
      <c r="AC681" s="55"/>
    </row>
    <row r="682" spans="29:29" x14ac:dyDescent="0.25">
      <c r="AC682" s="55"/>
    </row>
    <row r="683" spans="29:29" x14ac:dyDescent="0.25">
      <c r="AC683" s="55"/>
    </row>
    <row r="684" spans="29:29" x14ac:dyDescent="0.25">
      <c r="AC684" s="55"/>
    </row>
    <row r="685" spans="29:29" x14ac:dyDescent="0.25">
      <c r="AC685" s="55"/>
    </row>
    <row r="686" spans="29:29" x14ac:dyDescent="0.25">
      <c r="AC686" s="55"/>
    </row>
    <row r="687" spans="29:29" x14ac:dyDescent="0.25">
      <c r="AC687" s="55"/>
    </row>
    <row r="688" spans="29:29" x14ac:dyDescent="0.25">
      <c r="AC688" s="55"/>
    </row>
    <row r="689" spans="29:29" x14ac:dyDescent="0.25">
      <c r="AC689" s="55"/>
    </row>
    <row r="690" spans="29:29" x14ac:dyDescent="0.25">
      <c r="AC690" s="55"/>
    </row>
    <row r="691" spans="29:29" x14ac:dyDescent="0.25">
      <c r="AC691" s="55"/>
    </row>
    <row r="692" spans="29:29" x14ac:dyDescent="0.25">
      <c r="AC692" s="55"/>
    </row>
    <row r="693" spans="29:29" x14ac:dyDescent="0.25">
      <c r="AC693" s="55"/>
    </row>
    <row r="694" spans="29:29" x14ac:dyDescent="0.25">
      <c r="AC694" s="55"/>
    </row>
    <row r="695" spans="29:29" x14ac:dyDescent="0.25">
      <c r="AC695" s="55"/>
    </row>
    <row r="696" spans="29:29" x14ac:dyDescent="0.25">
      <c r="AC696" s="55"/>
    </row>
    <row r="697" spans="29:29" x14ac:dyDescent="0.25">
      <c r="AC697" s="55"/>
    </row>
    <row r="698" spans="29:29" x14ac:dyDescent="0.25">
      <c r="AC698" s="55"/>
    </row>
    <row r="699" spans="29:29" x14ac:dyDescent="0.25">
      <c r="AC699" s="55"/>
    </row>
    <row r="700" spans="29:29" x14ac:dyDescent="0.25">
      <c r="AC700" s="55"/>
    </row>
    <row r="701" spans="29:29" x14ac:dyDescent="0.25">
      <c r="AC701" s="55"/>
    </row>
    <row r="702" spans="29:29" x14ac:dyDescent="0.25">
      <c r="AC702" s="55"/>
    </row>
    <row r="703" spans="29:29" x14ac:dyDescent="0.25">
      <c r="AC703" s="55"/>
    </row>
    <row r="704" spans="29:29" x14ac:dyDescent="0.25">
      <c r="AC704" s="55"/>
    </row>
    <row r="705" spans="29:29" x14ac:dyDescent="0.25">
      <c r="AC705" s="55"/>
    </row>
    <row r="706" spans="29:29" x14ac:dyDescent="0.25">
      <c r="AC706" s="55"/>
    </row>
    <row r="707" spans="29:29" x14ac:dyDescent="0.25">
      <c r="AC707" s="55"/>
    </row>
    <row r="708" spans="29:29" x14ac:dyDescent="0.25">
      <c r="AC708" s="55"/>
    </row>
    <row r="709" spans="29:29" x14ac:dyDescent="0.25">
      <c r="AC709" s="55"/>
    </row>
    <row r="710" spans="29:29" x14ac:dyDescent="0.25">
      <c r="AC710" s="55"/>
    </row>
    <row r="711" spans="29:29" x14ac:dyDescent="0.25">
      <c r="AC711" s="55"/>
    </row>
    <row r="712" spans="29:29" x14ac:dyDescent="0.25">
      <c r="AC712" s="55"/>
    </row>
    <row r="713" spans="29:29" x14ac:dyDescent="0.25">
      <c r="AC713" s="55"/>
    </row>
    <row r="714" spans="29:29" x14ac:dyDescent="0.25">
      <c r="AC714" s="55"/>
    </row>
    <row r="715" spans="29:29" x14ac:dyDescent="0.25">
      <c r="AC715" s="55"/>
    </row>
    <row r="716" spans="29:29" x14ac:dyDescent="0.25">
      <c r="AC716" s="55"/>
    </row>
    <row r="717" spans="29:29" x14ac:dyDescent="0.25">
      <c r="AC717" s="55"/>
    </row>
    <row r="718" spans="29:29" x14ac:dyDescent="0.25">
      <c r="AC718" s="55"/>
    </row>
    <row r="719" spans="29:29" x14ac:dyDescent="0.25">
      <c r="AC719" s="55"/>
    </row>
    <row r="720" spans="29:29" x14ac:dyDescent="0.25">
      <c r="AC720" s="55"/>
    </row>
    <row r="721" spans="29:29" x14ac:dyDescent="0.25">
      <c r="AC721" s="55"/>
    </row>
    <row r="722" spans="29:29" x14ac:dyDescent="0.25">
      <c r="AC722" s="55"/>
    </row>
    <row r="723" spans="29:29" x14ac:dyDescent="0.25">
      <c r="AC723" s="55"/>
    </row>
    <row r="724" spans="29:29" x14ac:dyDescent="0.25">
      <c r="AC724" s="55"/>
    </row>
    <row r="725" spans="29:29" x14ac:dyDescent="0.25">
      <c r="AC725" s="55"/>
    </row>
    <row r="726" spans="29:29" x14ac:dyDescent="0.25">
      <c r="AC726" s="55"/>
    </row>
    <row r="727" spans="29:29" x14ac:dyDescent="0.25">
      <c r="AC727" s="55"/>
    </row>
    <row r="728" spans="29:29" x14ac:dyDescent="0.25">
      <c r="AC728" s="55"/>
    </row>
    <row r="729" spans="29:29" x14ac:dyDescent="0.25">
      <c r="AC729" s="55"/>
    </row>
    <row r="730" spans="29:29" x14ac:dyDescent="0.25">
      <c r="AC730" s="55"/>
    </row>
    <row r="731" spans="29:29" x14ac:dyDescent="0.25">
      <c r="AC731" s="55"/>
    </row>
    <row r="732" spans="29:29" x14ac:dyDescent="0.25">
      <c r="AC732" s="55"/>
    </row>
    <row r="733" spans="29:29" x14ac:dyDescent="0.25">
      <c r="AC733" s="55"/>
    </row>
    <row r="734" spans="29:29" x14ac:dyDescent="0.25">
      <c r="AC734" s="55"/>
    </row>
    <row r="735" spans="29:29" x14ac:dyDescent="0.25">
      <c r="AC735" s="55"/>
    </row>
    <row r="736" spans="29:29" x14ac:dyDescent="0.25">
      <c r="AC736" s="55"/>
    </row>
    <row r="737" spans="29:29" x14ac:dyDescent="0.25">
      <c r="AC737" s="55"/>
    </row>
    <row r="738" spans="29:29" x14ac:dyDescent="0.25">
      <c r="AC738" s="55"/>
    </row>
    <row r="739" spans="29:29" x14ac:dyDescent="0.25">
      <c r="AC739" s="55"/>
    </row>
    <row r="740" spans="29:29" x14ac:dyDescent="0.25">
      <c r="AC740" s="55"/>
    </row>
    <row r="741" spans="29:29" x14ac:dyDescent="0.25">
      <c r="AC741" s="55"/>
    </row>
    <row r="742" spans="29:29" x14ac:dyDescent="0.25">
      <c r="AC742" s="55"/>
    </row>
    <row r="743" spans="29:29" x14ac:dyDescent="0.25">
      <c r="AC743" s="55"/>
    </row>
    <row r="744" spans="29:29" x14ac:dyDescent="0.25">
      <c r="AC744" s="55"/>
    </row>
    <row r="745" spans="29:29" x14ac:dyDescent="0.25">
      <c r="AC745" s="55"/>
    </row>
    <row r="746" spans="29:29" x14ac:dyDescent="0.25">
      <c r="AC746" s="55"/>
    </row>
    <row r="747" spans="29:29" x14ac:dyDescent="0.25">
      <c r="AC747" s="55"/>
    </row>
    <row r="748" spans="29:29" x14ac:dyDescent="0.25">
      <c r="AC748" s="55"/>
    </row>
    <row r="749" spans="29:29" x14ac:dyDescent="0.25">
      <c r="AC749" s="55"/>
    </row>
    <row r="750" spans="29:29" x14ac:dyDescent="0.25">
      <c r="AC750" s="55"/>
    </row>
    <row r="751" spans="29:29" x14ac:dyDescent="0.25">
      <c r="AC751" s="55"/>
    </row>
    <row r="752" spans="29:29" x14ac:dyDescent="0.25">
      <c r="AC752" s="55"/>
    </row>
    <row r="753" spans="29:29" x14ac:dyDescent="0.25">
      <c r="AC753" s="55"/>
    </row>
    <row r="754" spans="29:29" x14ac:dyDescent="0.25">
      <c r="AC754" s="55"/>
    </row>
    <row r="755" spans="29:29" x14ac:dyDescent="0.25">
      <c r="AC755" s="55"/>
    </row>
    <row r="756" spans="29:29" x14ac:dyDescent="0.25">
      <c r="AC756" s="55"/>
    </row>
    <row r="757" spans="29:29" x14ac:dyDescent="0.25">
      <c r="AC757" s="55"/>
    </row>
    <row r="758" spans="29:29" x14ac:dyDescent="0.25">
      <c r="AC758" s="55"/>
    </row>
    <row r="759" spans="29:29" x14ac:dyDescent="0.25">
      <c r="AC759" s="55"/>
    </row>
    <row r="760" spans="29:29" x14ac:dyDescent="0.25">
      <c r="AC760" s="55"/>
    </row>
    <row r="761" spans="29:29" x14ac:dyDescent="0.25">
      <c r="AC761" s="55"/>
    </row>
    <row r="762" spans="29:29" x14ac:dyDescent="0.25">
      <c r="AC762" s="55"/>
    </row>
    <row r="763" spans="29:29" x14ac:dyDescent="0.25">
      <c r="AC763" s="55"/>
    </row>
    <row r="764" spans="29:29" x14ac:dyDescent="0.25">
      <c r="AC764" s="55"/>
    </row>
    <row r="765" spans="29:29" x14ac:dyDescent="0.25">
      <c r="AC765" s="55"/>
    </row>
    <row r="766" spans="29:29" x14ac:dyDescent="0.25">
      <c r="AC766" s="55"/>
    </row>
    <row r="767" spans="29:29" x14ac:dyDescent="0.25">
      <c r="AC767" s="55"/>
    </row>
    <row r="768" spans="29:29" x14ac:dyDescent="0.25">
      <c r="AC768" s="55"/>
    </row>
    <row r="769" spans="29:29" x14ac:dyDescent="0.25">
      <c r="AC769" s="55"/>
    </row>
    <row r="770" spans="29:29" x14ac:dyDescent="0.25">
      <c r="AC770" s="55"/>
    </row>
    <row r="771" spans="29:29" x14ac:dyDescent="0.25">
      <c r="AC771" s="55"/>
    </row>
    <row r="772" spans="29:29" x14ac:dyDescent="0.25">
      <c r="AC772" s="55"/>
    </row>
    <row r="773" spans="29:29" x14ac:dyDescent="0.25">
      <c r="AC773" s="55"/>
    </row>
    <row r="774" spans="29:29" x14ac:dyDescent="0.25">
      <c r="AC774" s="55"/>
    </row>
    <row r="775" spans="29:29" x14ac:dyDescent="0.25">
      <c r="AC775" s="55"/>
    </row>
    <row r="776" spans="29:29" x14ac:dyDescent="0.25">
      <c r="AC776" s="55"/>
    </row>
    <row r="777" spans="29:29" x14ac:dyDescent="0.25">
      <c r="AC777" s="55"/>
    </row>
    <row r="778" spans="29:29" x14ac:dyDescent="0.25">
      <c r="AC778" s="55"/>
    </row>
    <row r="779" spans="29:29" x14ac:dyDescent="0.25">
      <c r="AC779" s="55"/>
    </row>
    <row r="780" spans="29:29" x14ac:dyDescent="0.25">
      <c r="AC780" s="55"/>
    </row>
    <row r="781" spans="29:29" x14ac:dyDescent="0.25">
      <c r="AC781" s="55"/>
    </row>
    <row r="782" spans="29:29" x14ac:dyDescent="0.25">
      <c r="AC782" s="55"/>
    </row>
    <row r="783" spans="29:29" x14ac:dyDescent="0.25">
      <c r="AC783" s="55"/>
    </row>
    <row r="784" spans="29:29" x14ac:dyDescent="0.25">
      <c r="AC784" s="55"/>
    </row>
    <row r="785" spans="29:29" x14ac:dyDescent="0.25">
      <c r="AC785" s="55"/>
    </row>
    <row r="786" spans="29:29" x14ac:dyDescent="0.25">
      <c r="AC786" s="55"/>
    </row>
    <row r="787" spans="29:29" x14ac:dyDescent="0.25">
      <c r="AC787" s="55"/>
    </row>
    <row r="788" spans="29:29" x14ac:dyDescent="0.25">
      <c r="AC788" s="55"/>
    </row>
    <row r="789" spans="29:29" x14ac:dyDescent="0.25">
      <c r="AC789" s="55"/>
    </row>
    <row r="790" spans="29:29" x14ac:dyDescent="0.25">
      <c r="AC790" s="55"/>
    </row>
    <row r="791" spans="29:29" x14ac:dyDescent="0.25">
      <c r="AC791" s="55"/>
    </row>
    <row r="792" spans="29:29" x14ac:dyDescent="0.25">
      <c r="AC792" s="55"/>
    </row>
    <row r="793" spans="29:29" x14ac:dyDescent="0.25">
      <c r="AC793" s="55"/>
    </row>
    <row r="794" spans="29:29" x14ac:dyDescent="0.25">
      <c r="AC794" s="55"/>
    </row>
  </sheetData>
  <conditionalFormatting sqref="B36:B44 B72:B73 B2:B16 B18:B34 B75:B168">
    <cfRule type="duplicateValues" dxfId="13" priority="2" stopIfTrue="1"/>
  </conditionalFormatting>
  <conditionalFormatting sqref="B74">
    <cfRule type="duplicateValues" dxfId="12" priority="1" stopIfTrue="1"/>
  </conditionalFormatting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CAD5-B61F-4789-AA6F-87B398D6D59A}">
  <dimension ref="A1:E42"/>
  <sheetViews>
    <sheetView topLeftCell="A31" workbookViewId="0">
      <selection activeCell="D9" sqref="D9"/>
    </sheetView>
  </sheetViews>
  <sheetFormatPr defaultRowHeight="16.8" x14ac:dyDescent="0.3"/>
  <cols>
    <col min="1" max="1" width="23.54296875" bestFit="1" customWidth="1"/>
    <col min="2" max="2" width="24.90625" bestFit="1" customWidth="1"/>
    <col min="3" max="3" width="14" customWidth="1"/>
    <col min="4" max="4" width="10.1796875" bestFit="1" customWidth="1"/>
    <col min="5" max="5" width="24.26953125" bestFit="1" customWidth="1"/>
  </cols>
  <sheetData>
    <row r="1" spans="1:5" x14ac:dyDescent="0.3">
      <c r="A1" s="291" t="s">
        <v>1</v>
      </c>
      <c r="B1" s="291" t="s">
        <v>3488</v>
      </c>
      <c r="C1" s="291" t="s">
        <v>3492</v>
      </c>
      <c r="D1" s="291" t="s">
        <v>703</v>
      </c>
      <c r="E1" s="291" t="s">
        <v>3564</v>
      </c>
    </row>
    <row r="2" spans="1:5" x14ac:dyDescent="0.3">
      <c r="A2" s="290" t="s">
        <v>3487</v>
      </c>
      <c r="B2" s="290" t="s">
        <v>42</v>
      </c>
      <c r="C2" s="290">
        <v>1</v>
      </c>
      <c r="D2" s="290"/>
      <c r="E2" s="290">
        <v>0.5</v>
      </c>
    </row>
    <row r="3" spans="1:5" x14ac:dyDescent="0.3">
      <c r="A3" s="290" t="s">
        <v>3487</v>
      </c>
      <c r="B3" s="290" t="s">
        <v>583</v>
      </c>
      <c r="C3" s="290">
        <v>1</v>
      </c>
      <c r="D3" s="290"/>
      <c r="E3" s="290">
        <v>0.5</v>
      </c>
    </row>
    <row r="4" spans="1:5" x14ac:dyDescent="0.3">
      <c r="A4" s="290" t="s">
        <v>3487</v>
      </c>
      <c r="B4" s="290" t="s">
        <v>584</v>
      </c>
      <c r="C4" s="290">
        <v>1</v>
      </c>
      <c r="D4" s="290"/>
      <c r="E4" s="290">
        <v>0.5</v>
      </c>
    </row>
    <row r="5" spans="1:5" x14ac:dyDescent="0.3">
      <c r="A5" s="290" t="s">
        <v>3487</v>
      </c>
      <c r="B5" s="290" t="s">
        <v>26</v>
      </c>
      <c r="C5" s="290">
        <v>1</v>
      </c>
      <c r="D5" s="290"/>
      <c r="E5" s="290">
        <v>0.5</v>
      </c>
    </row>
    <row r="6" spans="1:5" x14ac:dyDescent="0.3">
      <c r="A6" s="290" t="s">
        <v>3487</v>
      </c>
      <c r="B6" s="290" t="s">
        <v>736</v>
      </c>
      <c r="C6" s="290">
        <v>1</v>
      </c>
      <c r="D6" s="290"/>
      <c r="E6" s="290">
        <v>0.5</v>
      </c>
    </row>
    <row r="7" spans="1:5" x14ac:dyDescent="0.3">
      <c r="A7" s="290" t="s">
        <v>3487</v>
      </c>
      <c r="B7" s="290" t="s">
        <v>737</v>
      </c>
      <c r="C7" s="290">
        <v>1</v>
      </c>
      <c r="D7" s="290"/>
      <c r="E7" s="290">
        <v>0.5</v>
      </c>
    </row>
    <row r="8" spans="1:5" x14ac:dyDescent="0.3">
      <c r="A8" s="290" t="s">
        <v>3487</v>
      </c>
      <c r="B8" s="290" t="s">
        <v>27</v>
      </c>
      <c r="C8" s="290">
        <v>1</v>
      </c>
      <c r="D8" s="290"/>
      <c r="E8" s="290">
        <v>0.5</v>
      </c>
    </row>
    <row r="9" spans="1:5" x14ac:dyDescent="0.3">
      <c r="A9" s="290" t="s">
        <v>3487</v>
      </c>
      <c r="B9" s="290" t="s">
        <v>28</v>
      </c>
      <c r="C9" s="290">
        <v>1</v>
      </c>
      <c r="D9" s="290"/>
      <c r="E9" s="290">
        <v>0.5</v>
      </c>
    </row>
    <row r="10" spans="1:5" x14ac:dyDescent="0.3">
      <c r="A10" s="290" t="s">
        <v>3487</v>
      </c>
      <c r="B10" s="290" t="s">
        <v>29</v>
      </c>
      <c r="C10" s="290">
        <v>1</v>
      </c>
      <c r="D10" s="290"/>
      <c r="E10" s="290">
        <v>0.5</v>
      </c>
    </row>
    <row r="11" spans="1:5" x14ac:dyDescent="0.3">
      <c r="A11" s="290" t="s">
        <v>3487</v>
      </c>
      <c r="B11" s="290" t="s">
        <v>3243</v>
      </c>
      <c r="C11" s="290">
        <v>1</v>
      </c>
      <c r="D11" s="290"/>
      <c r="E11" s="290">
        <v>0.5</v>
      </c>
    </row>
    <row r="12" spans="1:5" x14ac:dyDescent="0.3">
      <c r="A12" s="290" t="s">
        <v>3489</v>
      </c>
      <c r="B12" s="290" t="s">
        <v>715</v>
      </c>
      <c r="C12" s="290">
        <v>1</v>
      </c>
      <c r="D12" s="290"/>
      <c r="E12" s="290">
        <v>0.5</v>
      </c>
    </row>
    <row r="13" spans="1:5" x14ac:dyDescent="0.3">
      <c r="A13" s="290" t="s">
        <v>3489</v>
      </c>
      <c r="B13" s="290" t="s">
        <v>3299</v>
      </c>
      <c r="C13" s="290">
        <v>1</v>
      </c>
      <c r="D13" s="290"/>
      <c r="E13" s="290">
        <v>0.5</v>
      </c>
    </row>
    <row r="14" spans="1:5" x14ac:dyDescent="0.3">
      <c r="A14" s="290" t="s">
        <v>3489</v>
      </c>
      <c r="B14" s="290" t="s">
        <v>500</v>
      </c>
      <c r="C14" s="290">
        <v>1</v>
      </c>
      <c r="D14" s="290"/>
      <c r="E14" s="290">
        <v>0.5</v>
      </c>
    </row>
    <row r="15" spans="1:5" x14ac:dyDescent="0.3">
      <c r="A15" s="290" t="s">
        <v>3489</v>
      </c>
      <c r="B15" s="290" t="s">
        <v>1902</v>
      </c>
      <c r="C15" s="290">
        <v>1</v>
      </c>
      <c r="D15" s="290"/>
      <c r="E15" s="290">
        <v>0.5</v>
      </c>
    </row>
    <row r="16" spans="1:5" x14ac:dyDescent="0.3">
      <c r="A16" s="290" t="s">
        <v>3489</v>
      </c>
      <c r="B16" s="290" t="s">
        <v>3486</v>
      </c>
      <c r="C16" s="290">
        <v>1</v>
      </c>
      <c r="D16" s="290"/>
      <c r="E16" s="290">
        <v>0.5</v>
      </c>
    </row>
    <row r="17" spans="1:5" x14ac:dyDescent="0.3">
      <c r="A17" s="290" t="s">
        <v>3489</v>
      </c>
      <c r="B17" s="290" t="s">
        <v>717</v>
      </c>
      <c r="C17" s="290">
        <v>1</v>
      </c>
      <c r="D17" s="290"/>
      <c r="E17" s="290">
        <v>0.5</v>
      </c>
    </row>
    <row r="18" spans="1:5" x14ac:dyDescent="0.3">
      <c r="A18" s="290" t="s">
        <v>3489</v>
      </c>
      <c r="B18" s="290" t="s">
        <v>718</v>
      </c>
      <c r="C18" s="290">
        <v>1</v>
      </c>
      <c r="D18" s="290"/>
      <c r="E18" s="290">
        <v>0.5</v>
      </c>
    </row>
    <row r="19" spans="1:5" x14ac:dyDescent="0.3">
      <c r="A19" s="290" t="s">
        <v>3489</v>
      </c>
      <c r="B19" s="290" t="s">
        <v>719</v>
      </c>
      <c r="C19" s="290">
        <v>1</v>
      </c>
      <c r="D19" s="290"/>
      <c r="E19" s="290">
        <v>0.5</v>
      </c>
    </row>
    <row r="20" spans="1:5" x14ac:dyDescent="0.3">
      <c r="A20" s="290" t="s">
        <v>3489</v>
      </c>
      <c r="B20" s="290" t="s">
        <v>720</v>
      </c>
      <c r="C20" s="290">
        <v>1</v>
      </c>
      <c r="D20" s="290"/>
      <c r="E20" s="290">
        <v>0.5</v>
      </c>
    </row>
    <row r="21" spans="1:5" x14ac:dyDescent="0.3">
      <c r="A21" s="290" t="s">
        <v>3490</v>
      </c>
      <c r="B21" s="290" t="s">
        <v>730</v>
      </c>
      <c r="C21" s="290">
        <v>2</v>
      </c>
      <c r="D21" s="290"/>
      <c r="E21" s="290">
        <v>0.5</v>
      </c>
    </row>
    <row r="22" spans="1:5" x14ac:dyDescent="0.3">
      <c r="A22" s="290" t="s">
        <v>3490</v>
      </c>
      <c r="B22" s="290" t="s">
        <v>731</v>
      </c>
      <c r="C22" s="290">
        <v>2</v>
      </c>
      <c r="D22" s="290"/>
      <c r="E22" s="290">
        <v>0.5</v>
      </c>
    </row>
    <row r="23" spans="1:5" x14ac:dyDescent="0.3">
      <c r="A23" s="290" t="s">
        <v>3490</v>
      </c>
      <c r="B23" s="290" t="s">
        <v>2537</v>
      </c>
      <c r="C23" s="290">
        <v>2</v>
      </c>
      <c r="D23" s="290"/>
      <c r="E23" s="290">
        <v>0.5</v>
      </c>
    </row>
    <row r="24" spans="1:5" x14ac:dyDescent="0.3">
      <c r="A24" s="290" t="s">
        <v>3490</v>
      </c>
      <c r="B24" s="290" t="s">
        <v>732</v>
      </c>
      <c r="C24" s="290">
        <v>2</v>
      </c>
      <c r="D24" s="290">
        <v>0.1</v>
      </c>
      <c r="E24" s="290">
        <v>0.5</v>
      </c>
    </row>
    <row r="25" spans="1:5" x14ac:dyDescent="0.3">
      <c r="A25" s="290" t="s">
        <v>3490</v>
      </c>
      <c r="B25" s="290" t="s">
        <v>721</v>
      </c>
      <c r="C25" s="290">
        <v>2</v>
      </c>
      <c r="D25" s="290">
        <v>0.1</v>
      </c>
      <c r="E25" s="290">
        <v>0.5</v>
      </c>
    </row>
    <row r="26" spans="1:5" x14ac:dyDescent="0.3">
      <c r="A26" s="290" t="s">
        <v>3490</v>
      </c>
      <c r="B26" s="290" t="s">
        <v>3298</v>
      </c>
      <c r="C26" s="290">
        <v>2</v>
      </c>
      <c r="D26" s="290">
        <v>0.1</v>
      </c>
      <c r="E26" s="290">
        <v>0.5</v>
      </c>
    </row>
    <row r="27" spans="1:5" x14ac:dyDescent="0.3">
      <c r="A27" s="290" t="s">
        <v>3490</v>
      </c>
      <c r="B27" s="290" t="s">
        <v>722</v>
      </c>
      <c r="C27" s="290">
        <v>2</v>
      </c>
      <c r="D27" s="290">
        <v>0.2</v>
      </c>
      <c r="E27" s="290">
        <v>0.5</v>
      </c>
    </row>
    <row r="28" spans="1:5" x14ac:dyDescent="0.3">
      <c r="A28" s="290" t="s">
        <v>3490</v>
      </c>
      <c r="B28" s="290" t="s">
        <v>723</v>
      </c>
      <c r="C28" s="290">
        <v>2</v>
      </c>
      <c r="D28" s="290">
        <v>0.1</v>
      </c>
      <c r="E28" s="290">
        <v>0.5</v>
      </c>
    </row>
    <row r="29" spans="1:5" x14ac:dyDescent="0.3">
      <c r="A29" s="290" t="s">
        <v>3490</v>
      </c>
      <c r="B29" s="290" t="s">
        <v>724</v>
      </c>
      <c r="C29" s="290">
        <v>2</v>
      </c>
      <c r="D29" s="290">
        <v>0.2</v>
      </c>
      <c r="E29" s="290">
        <v>0.5</v>
      </c>
    </row>
    <row r="30" spans="1:5" x14ac:dyDescent="0.3">
      <c r="A30" s="290" t="s">
        <v>3490</v>
      </c>
      <c r="B30" s="290" t="s">
        <v>725</v>
      </c>
      <c r="C30" s="290">
        <v>2</v>
      </c>
      <c r="D30" s="290">
        <v>0.2</v>
      </c>
      <c r="E30" s="290">
        <v>0.5</v>
      </c>
    </row>
    <row r="31" spans="1:5" x14ac:dyDescent="0.3">
      <c r="A31" s="290" t="s">
        <v>3491</v>
      </c>
      <c r="B31" s="290" t="s">
        <v>733</v>
      </c>
      <c r="C31" s="290">
        <v>2</v>
      </c>
      <c r="D31" s="290"/>
      <c r="E31" s="290">
        <v>0.5</v>
      </c>
    </row>
    <row r="32" spans="1:5" x14ac:dyDescent="0.3">
      <c r="A32" s="290" t="s">
        <v>3491</v>
      </c>
      <c r="B32" s="290" t="s">
        <v>734</v>
      </c>
      <c r="C32" s="290">
        <v>2</v>
      </c>
      <c r="D32" s="290"/>
      <c r="E32" s="290">
        <v>0.5</v>
      </c>
    </row>
    <row r="33" spans="1:5" x14ac:dyDescent="0.3">
      <c r="A33" s="290" t="s">
        <v>3491</v>
      </c>
      <c r="B33" s="290" t="s">
        <v>735</v>
      </c>
      <c r="C33" s="290">
        <v>2</v>
      </c>
      <c r="D33" s="290"/>
      <c r="E33" s="290">
        <v>0.5</v>
      </c>
    </row>
    <row r="34" spans="1:5" x14ac:dyDescent="0.3">
      <c r="A34" s="290" t="s">
        <v>3491</v>
      </c>
      <c r="B34" s="290" t="s">
        <v>277</v>
      </c>
      <c r="C34" s="290">
        <v>2</v>
      </c>
      <c r="D34" s="290"/>
      <c r="E34" s="290">
        <v>0.5</v>
      </c>
    </row>
    <row r="35" spans="1:5" x14ac:dyDescent="0.3">
      <c r="A35" s="290" t="s">
        <v>3491</v>
      </c>
      <c r="B35" s="290" t="s">
        <v>726</v>
      </c>
      <c r="C35" s="290">
        <v>2</v>
      </c>
      <c r="D35" s="290"/>
      <c r="E35" s="290">
        <v>0.5</v>
      </c>
    </row>
    <row r="36" spans="1:5" x14ac:dyDescent="0.3">
      <c r="A36" s="290" t="s">
        <v>3491</v>
      </c>
      <c r="B36" s="290" t="s">
        <v>727</v>
      </c>
      <c r="C36" s="290">
        <v>2</v>
      </c>
      <c r="D36" s="290"/>
      <c r="E36" s="290">
        <v>0.5</v>
      </c>
    </row>
    <row r="37" spans="1:5" x14ac:dyDescent="0.3">
      <c r="A37" s="290" t="s">
        <v>3491</v>
      </c>
      <c r="B37" s="290" t="s">
        <v>728</v>
      </c>
      <c r="C37" s="290">
        <v>2</v>
      </c>
      <c r="D37" s="290"/>
      <c r="E37" s="290">
        <v>0.5</v>
      </c>
    </row>
    <row r="38" spans="1:5" x14ac:dyDescent="0.3">
      <c r="A38" s="290" t="s">
        <v>3491</v>
      </c>
      <c r="B38" s="290" t="s">
        <v>2538</v>
      </c>
      <c r="C38" s="290">
        <v>2</v>
      </c>
      <c r="D38" s="290"/>
      <c r="E38" s="290">
        <v>0.5</v>
      </c>
    </row>
    <row r="39" spans="1:5" x14ac:dyDescent="0.3">
      <c r="A39" s="290" t="s">
        <v>3491</v>
      </c>
      <c r="B39" s="290" t="s">
        <v>1860</v>
      </c>
      <c r="C39" s="290">
        <v>2</v>
      </c>
      <c r="D39" s="290">
        <v>0.2</v>
      </c>
      <c r="E39" s="290">
        <v>0.5</v>
      </c>
    </row>
    <row r="40" spans="1:5" x14ac:dyDescent="0.3">
      <c r="A40" s="290" t="s">
        <v>3491</v>
      </c>
      <c r="B40" s="290" t="s">
        <v>2103</v>
      </c>
      <c r="C40" s="290">
        <v>2</v>
      </c>
      <c r="D40" s="290"/>
      <c r="E40" s="290">
        <v>0.5</v>
      </c>
    </row>
    <row r="41" spans="1:5" x14ac:dyDescent="0.3">
      <c r="A41" s="290" t="s">
        <v>3491</v>
      </c>
      <c r="B41" s="290" t="s">
        <v>729</v>
      </c>
      <c r="C41" s="290">
        <v>2</v>
      </c>
      <c r="D41" s="290"/>
      <c r="E41" s="290">
        <v>0.5</v>
      </c>
    </row>
    <row r="42" spans="1:5" x14ac:dyDescent="0.3">
      <c r="A42" s="290" t="s">
        <v>3491</v>
      </c>
      <c r="B42" s="290" t="s">
        <v>2102</v>
      </c>
      <c r="C42" s="290">
        <v>2</v>
      </c>
      <c r="D42" s="290"/>
      <c r="E42" s="290">
        <v>0.5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2C06-AB6C-45FD-950B-A757D54BC645}">
  <dimension ref="A1:B7"/>
  <sheetViews>
    <sheetView workbookViewId="0">
      <selection activeCell="E33" sqref="E33"/>
    </sheetView>
  </sheetViews>
  <sheetFormatPr defaultRowHeight="16.8" x14ac:dyDescent="0.3"/>
  <cols>
    <col min="1" max="1" width="4.453125" bestFit="1" customWidth="1"/>
    <col min="2" max="2" width="14.08984375" bestFit="1" customWidth="1"/>
  </cols>
  <sheetData>
    <row r="1" spans="1:2" x14ac:dyDescent="0.3">
      <c r="A1" s="291" t="s">
        <v>1513</v>
      </c>
      <c r="B1" s="291" t="s">
        <v>3493</v>
      </c>
    </row>
    <row r="2" spans="1:2" x14ac:dyDescent="0.3">
      <c r="A2" s="290">
        <v>1</v>
      </c>
      <c r="B2" s="290" t="s">
        <v>42</v>
      </c>
    </row>
    <row r="3" spans="1:2" x14ac:dyDescent="0.3">
      <c r="A3" s="290">
        <v>2</v>
      </c>
      <c r="B3" s="290" t="s">
        <v>41</v>
      </c>
    </row>
    <row r="4" spans="1:2" x14ac:dyDescent="0.3">
      <c r="A4" s="290">
        <v>3</v>
      </c>
      <c r="B4" s="290" t="s">
        <v>43</v>
      </c>
    </row>
    <row r="5" spans="1:2" x14ac:dyDescent="0.3">
      <c r="A5" s="290">
        <v>4</v>
      </c>
      <c r="B5" s="290" t="s">
        <v>1837</v>
      </c>
    </row>
    <row r="6" spans="1:2" x14ac:dyDescent="0.3">
      <c r="A6" s="290">
        <v>5</v>
      </c>
      <c r="B6" s="290" t="s">
        <v>1838</v>
      </c>
    </row>
    <row r="7" spans="1:2" x14ac:dyDescent="0.3">
      <c r="A7" s="290">
        <v>6</v>
      </c>
      <c r="B7" s="290" t="s">
        <v>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24E7-7B85-4DA1-8CDB-6AB444791459}">
  <dimension ref="A1:B24"/>
  <sheetViews>
    <sheetView zoomScale="115" zoomScaleNormal="115" workbookViewId="0">
      <selection activeCell="B24" sqref="B24"/>
    </sheetView>
  </sheetViews>
  <sheetFormatPr defaultRowHeight="16.8" x14ac:dyDescent="0.3"/>
  <cols>
    <col min="1" max="1" width="4.6328125" bestFit="1" customWidth="1"/>
    <col min="2" max="2" width="37.54296875" customWidth="1"/>
  </cols>
  <sheetData>
    <row r="1" spans="1:2" x14ac:dyDescent="0.3">
      <c r="A1" s="291" t="s">
        <v>1513</v>
      </c>
      <c r="B1" s="291" t="s">
        <v>3484</v>
      </c>
    </row>
    <row r="2" spans="1:2" x14ac:dyDescent="0.3">
      <c r="A2" s="290">
        <v>1</v>
      </c>
      <c r="B2" s="290" t="s">
        <v>2021</v>
      </c>
    </row>
    <row r="3" spans="1:2" x14ac:dyDescent="0.3">
      <c r="A3" s="290">
        <f>A2+1</f>
        <v>2</v>
      </c>
      <c r="B3" s="290" t="s">
        <v>30</v>
      </c>
    </row>
    <row r="4" spans="1:2" x14ac:dyDescent="0.3">
      <c r="A4" s="290">
        <f t="shared" ref="A4:A24" si="0">A3+1</f>
        <v>3</v>
      </c>
      <c r="B4" s="290" t="s">
        <v>3496</v>
      </c>
    </row>
    <row r="5" spans="1:2" x14ac:dyDescent="0.3">
      <c r="A5" s="290">
        <f t="shared" si="0"/>
        <v>4</v>
      </c>
      <c r="B5" s="290" t="s">
        <v>32</v>
      </c>
    </row>
    <row r="6" spans="1:2" x14ac:dyDescent="0.3">
      <c r="A6" s="290">
        <f t="shared" si="0"/>
        <v>5</v>
      </c>
      <c r="B6" s="290" t="s">
        <v>35</v>
      </c>
    </row>
    <row r="7" spans="1:2" x14ac:dyDescent="0.3">
      <c r="A7" s="290">
        <f t="shared" si="0"/>
        <v>6</v>
      </c>
      <c r="B7" s="290" t="s">
        <v>34</v>
      </c>
    </row>
    <row r="8" spans="1:2" x14ac:dyDescent="0.3">
      <c r="A8" s="290">
        <f t="shared" si="0"/>
        <v>7</v>
      </c>
      <c r="B8" s="290" t="s">
        <v>33</v>
      </c>
    </row>
    <row r="9" spans="1:2" x14ac:dyDescent="0.3">
      <c r="A9" s="290">
        <f t="shared" si="0"/>
        <v>8</v>
      </c>
      <c r="B9" s="290" t="s">
        <v>36</v>
      </c>
    </row>
    <row r="10" spans="1:2" x14ac:dyDescent="0.3">
      <c r="A10" s="290">
        <f t="shared" si="0"/>
        <v>9</v>
      </c>
      <c r="B10" s="290" t="s">
        <v>3439</v>
      </c>
    </row>
    <row r="11" spans="1:2" x14ac:dyDescent="0.3">
      <c r="A11" s="290">
        <f t="shared" si="0"/>
        <v>10</v>
      </c>
      <c r="B11" s="290" t="s">
        <v>38</v>
      </c>
    </row>
    <row r="12" spans="1:2" x14ac:dyDescent="0.3">
      <c r="A12" s="290">
        <f t="shared" si="0"/>
        <v>11</v>
      </c>
      <c r="B12" s="290" t="s">
        <v>3485</v>
      </c>
    </row>
    <row r="13" spans="1:2" x14ac:dyDescent="0.3">
      <c r="A13" s="290">
        <f t="shared" si="0"/>
        <v>12</v>
      </c>
      <c r="B13" s="290" t="s">
        <v>281</v>
      </c>
    </row>
    <row r="14" spans="1:2" x14ac:dyDescent="0.3">
      <c r="A14" s="290">
        <f t="shared" si="0"/>
        <v>13</v>
      </c>
      <c r="B14" s="290" t="s">
        <v>3312</v>
      </c>
    </row>
    <row r="15" spans="1:2" x14ac:dyDescent="0.3">
      <c r="A15" s="290">
        <f t="shared" si="0"/>
        <v>14</v>
      </c>
      <c r="B15" s="290" t="s">
        <v>3313</v>
      </c>
    </row>
    <row r="16" spans="1:2" x14ac:dyDescent="0.3">
      <c r="A16" s="290">
        <f t="shared" si="0"/>
        <v>15</v>
      </c>
      <c r="B16" s="290" t="s">
        <v>278</v>
      </c>
    </row>
    <row r="17" spans="1:2" x14ac:dyDescent="0.3">
      <c r="A17" s="290">
        <f t="shared" si="0"/>
        <v>16</v>
      </c>
      <c r="B17" s="290" t="s">
        <v>279</v>
      </c>
    </row>
    <row r="18" spans="1:2" x14ac:dyDescent="0.3">
      <c r="A18" s="290">
        <f t="shared" si="0"/>
        <v>17</v>
      </c>
      <c r="B18" s="290" t="s">
        <v>280</v>
      </c>
    </row>
    <row r="19" spans="1:2" x14ac:dyDescent="0.3">
      <c r="A19" s="290">
        <f t="shared" si="0"/>
        <v>18</v>
      </c>
      <c r="B19" s="290" t="s">
        <v>283</v>
      </c>
    </row>
    <row r="20" spans="1:2" x14ac:dyDescent="0.3">
      <c r="A20" s="290">
        <f t="shared" si="0"/>
        <v>19</v>
      </c>
      <c r="B20" s="290" t="s">
        <v>3245</v>
      </c>
    </row>
    <row r="21" spans="1:2" x14ac:dyDescent="0.3">
      <c r="A21" s="290">
        <f t="shared" si="0"/>
        <v>20</v>
      </c>
      <c r="B21" s="290" t="s">
        <v>285</v>
      </c>
    </row>
    <row r="22" spans="1:2" x14ac:dyDescent="0.3">
      <c r="A22" s="290">
        <f t="shared" si="0"/>
        <v>21</v>
      </c>
      <c r="B22" s="290" t="s">
        <v>284</v>
      </c>
    </row>
    <row r="23" spans="1:2" x14ac:dyDescent="0.3">
      <c r="A23" s="290">
        <f t="shared" si="0"/>
        <v>22</v>
      </c>
      <c r="B23" s="290" t="s">
        <v>3183</v>
      </c>
    </row>
    <row r="24" spans="1:2" x14ac:dyDescent="0.3">
      <c r="A24" s="290">
        <f t="shared" si="0"/>
        <v>23</v>
      </c>
      <c r="B24" s="290" t="s">
        <v>3466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3BA6D-FDF2-4329-A8F2-97358F22614A}">
  <dimension ref="A1:FY818"/>
  <sheetViews>
    <sheetView zoomScale="115" zoomScaleNormal="115" workbookViewId="0">
      <pane xSplit="5" ySplit="1" topLeftCell="F258" activePane="bottomRight" state="frozen"/>
      <selection pane="topRight" activeCell="E1" sqref="E1"/>
      <selection pane="bottomLeft" activeCell="A6" sqref="A6"/>
      <selection pane="bottomRight" activeCell="F264" sqref="A1:IV65536"/>
    </sheetView>
  </sheetViews>
  <sheetFormatPr defaultColWidth="8.90625" defaultRowHeight="12" x14ac:dyDescent="0.3"/>
  <cols>
    <col min="1" max="1" width="7.81640625" style="55" bestFit="1" customWidth="1"/>
    <col min="2" max="2" width="7.6328125" style="55" bestFit="1" customWidth="1"/>
    <col min="3" max="3" width="7.54296875" style="55" customWidth="1"/>
    <col min="4" max="4" width="10.6328125" style="55" bestFit="1" customWidth="1"/>
    <col min="5" max="5" width="18.08984375" style="55" bestFit="1" customWidth="1"/>
    <col min="6" max="6" width="29.81640625" style="55" bestFit="1" customWidth="1"/>
    <col min="7" max="7" width="30.54296875" style="55" bestFit="1" customWidth="1"/>
    <col min="8" max="8" width="7.1796875" style="55" bestFit="1" customWidth="1"/>
    <col min="9" max="9" width="12.54296875" style="55" bestFit="1" customWidth="1"/>
    <col min="10" max="10" width="6.90625" style="55" bestFit="1" customWidth="1"/>
    <col min="11" max="11" width="30.54296875" style="55" bestFit="1" customWidth="1"/>
    <col min="12" max="12" width="14.1796875" style="55" bestFit="1" customWidth="1"/>
    <col min="13" max="13" width="9.6328125" style="55" bestFit="1" customWidth="1"/>
    <col min="14" max="14" width="11.81640625" style="55" bestFit="1" customWidth="1"/>
    <col min="15" max="15" width="12" style="55" bestFit="1" customWidth="1"/>
    <col min="16" max="16" width="12.453125" style="55" bestFit="1" customWidth="1"/>
    <col min="17" max="17" width="6.54296875" style="55" bestFit="1" customWidth="1"/>
    <col min="18" max="18" width="10.81640625" style="254" bestFit="1" customWidth="1"/>
    <col min="19" max="19" width="10.54296875" style="55" bestFit="1" customWidth="1"/>
    <col min="20" max="20" width="10.6328125" style="55" bestFit="1" customWidth="1"/>
    <col min="21" max="21" width="12.453125" style="55" bestFit="1" customWidth="1"/>
    <col min="22" max="22" width="11.90625" style="55" bestFit="1" customWidth="1"/>
    <col min="23" max="23" width="12" style="55" bestFit="1" customWidth="1"/>
    <col min="24" max="24" width="11.1796875" style="55" bestFit="1" customWidth="1"/>
    <col min="25" max="25" width="9" style="55" bestFit="1" customWidth="1"/>
    <col min="26" max="26" width="8.6328125" style="55" customWidth="1"/>
    <col min="27" max="27" width="10.1796875" style="55" bestFit="1" customWidth="1"/>
    <col min="28" max="28" width="31" style="55" bestFit="1" customWidth="1"/>
    <col min="29" max="29" width="5.36328125" style="55" bestFit="1" customWidth="1"/>
    <col min="30" max="30" width="25.1796875" style="55" bestFit="1" customWidth="1"/>
    <col min="31" max="31" width="9" style="55" bestFit="1" customWidth="1"/>
    <col min="32" max="32" width="12.1796875" style="196" bestFit="1" customWidth="1"/>
    <col min="33" max="33" width="11.453125" style="196" bestFit="1" customWidth="1"/>
    <col min="34" max="34" width="14.81640625" style="55" bestFit="1" customWidth="1"/>
    <col min="35" max="35" width="27.90625" style="55" bestFit="1" customWidth="1"/>
    <col min="36" max="36" width="59.08984375" style="55" bestFit="1" customWidth="1"/>
    <col min="37" max="37" width="45.1796875" style="55" bestFit="1" customWidth="1"/>
    <col min="38" max="38" width="22.36328125" style="55" bestFit="1" customWidth="1"/>
    <col min="39" max="39" width="28.81640625" style="55" bestFit="1" customWidth="1"/>
    <col min="40" max="40" width="31.81640625" style="55" bestFit="1" customWidth="1"/>
    <col min="41" max="41" width="28.6328125" style="55" bestFit="1" customWidth="1"/>
    <col min="42" max="42" width="32.1796875" style="55" bestFit="1" customWidth="1"/>
    <col min="43" max="43" width="14.1796875" style="55" bestFit="1" customWidth="1"/>
    <col min="44" max="44" width="13.36328125" style="55" bestFit="1" customWidth="1"/>
    <col min="45" max="45" width="14.08984375" style="55" bestFit="1" customWidth="1"/>
    <col min="46" max="47" width="9" style="55" bestFit="1" customWidth="1"/>
    <col min="48" max="48" width="12" style="55" bestFit="1" customWidth="1"/>
    <col min="49" max="49" width="11.90625" style="55" bestFit="1" customWidth="1"/>
    <col min="50" max="50" width="12.81640625" style="55" bestFit="1" customWidth="1"/>
    <col min="51" max="51" width="23.81640625" style="55" bestFit="1" customWidth="1"/>
    <col min="52" max="16384" width="8.90625" style="55"/>
  </cols>
  <sheetData>
    <row r="1" spans="1:181" s="42" customFormat="1" ht="23.4" thickBot="1" x14ac:dyDescent="0.35">
      <c r="A1" s="1" t="s">
        <v>630</v>
      </c>
      <c r="B1" s="1" t="s">
        <v>631</v>
      </c>
      <c r="C1" s="1"/>
      <c r="D1" s="1" t="s">
        <v>632</v>
      </c>
      <c r="E1" s="2" t="s">
        <v>633</v>
      </c>
      <c r="F1" s="2" t="s">
        <v>634</v>
      </c>
      <c r="G1" s="2" t="s">
        <v>635</v>
      </c>
      <c r="H1" s="2"/>
      <c r="I1" s="2" t="s">
        <v>697</v>
      </c>
      <c r="J1" s="2"/>
      <c r="K1" s="1" t="s">
        <v>698</v>
      </c>
      <c r="L1" s="2" t="s">
        <v>1</v>
      </c>
      <c r="M1" s="2" t="s">
        <v>2</v>
      </c>
      <c r="N1" s="2" t="s">
        <v>0</v>
      </c>
      <c r="O1" s="2" t="s">
        <v>699</v>
      </c>
      <c r="P1" s="2" t="s">
        <v>700</v>
      </c>
      <c r="Q1" s="2" t="s">
        <v>3</v>
      </c>
      <c r="R1" s="3" t="s">
        <v>701</v>
      </c>
      <c r="S1" s="3" t="s">
        <v>702</v>
      </c>
      <c r="T1" s="3" t="s">
        <v>703</v>
      </c>
      <c r="U1" s="3" t="s">
        <v>1804</v>
      </c>
      <c r="V1" s="3" t="s">
        <v>704</v>
      </c>
      <c r="W1" s="3" t="s">
        <v>705</v>
      </c>
      <c r="X1" s="3" t="s">
        <v>706</v>
      </c>
      <c r="Y1" s="3"/>
      <c r="Z1" s="3"/>
      <c r="AA1" s="3" t="s">
        <v>707</v>
      </c>
      <c r="AB1" s="3" t="s">
        <v>4</v>
      </c>
      <c r="AC1" s="3"/>
      <c r="AD1" s="3" t="s">
        <v>1799</v>
      </c>
      <c r="AE1" s="3" t="s">
        <v>3002</v>
      </c>
      <c r="AF1" s="8" t="s">
        <v>2128</v>
      </c>
      <c r="AG1" s="8" t="s">
        <v>2127</v>
      </c>
      <c r="AH1" s="2" t="s">
        <v>708</v>
      </c>
      <c r="AI1" s="2" t="s">
        <v>709</v>
      </c>
      <c r="AJ1" s="4" t="s">
        <v>710</v>
      </c>
      <c r="AK1" s="2" t="s">
        <v>5</v>
      </c>
      <c r="AL1" s="5" t="s">
        <v>84</v>
      </c>
      <c r="AM1" s="5" t="s">
        <v>83</v>
      </c>
      <c r="AN1" s="5" t="s">
        <v>85</v>
      </c>
      <c r="AO1" s="5" t="s">
        <v>86</v>
      </c>
      <c r="AP1" s="5" t="s">
        <v>87</v>
      </c>
      <c r="AQ1" s="2" t="s">
        <v>711</v>
      </c>
      <c r="AR1" s="2" t="s">
        <v>712</v>
      </c>
      <c r="AS1" s="2" t="s">
        <v>713</v>
      </c>
      <c r="AT1" s="7" t="s">
        <v>1858</v>
      </c>
      <c r="AU1" s="7" t="s">
        <v>2082</v>
      </c>
      <c r="AV1" s="2" t="s">
        <v>714</v>
      </c>
      <c r="AW1" s="9" t="s">
        <v>2151</v>
      </c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</row>
    <row r="2" spans="1:181" ht="12.6" thickTop="1" x14ac:dyDescent="0.3">
      <c r="A2" s="43">
        <v>1</v>
      </c>
      <c r="B2" s="43">
        <v>1</v>
      </c>
      <c r="C2" s="43" t="s">
        <v>2540</v>
      </c>
      <c r="D2" s="44">
        <v>1</v>
      </c>
      <c r="E2" s="45" t="s">
        <v>7</v>
      </c>
      <c r="F2" s="46" t="s">
        <v>47</v>
      </c>
      <c r="G2" s="47">
        <v>27332</v>
      </c>
      <c r="H2" s="48">
        <f>+DATE(YEAR(G2)+62,MONTH(G2),DAY(G2))</f>
        <v>49978</v>
      </c>
      <c r="I2" s="48">
        <f>+EOMONTH(H2,0)+1</f>
        <v>49980</v>
      </c>
      <c r="J2" s="48">
        <f>+VLOOKUP(E2,'[1]DATA 06.2023'!$E$2:$J$390,6,0)</f>
        <v>49980</v>
      </c>
      <c r="K2" s="47">
        <v>34274</v>
      </c>
      <c r="L2" s="43" t="s">
        <v>42</v>
      </c>
      <c r="M2" s="49" t="s">
        <v>42</v>
      </c>
      <c r="N2" s="43" t="s">
        <v>2021</v>
      </c>
      <c r="O2" s="47">
        <v>42370</v>
      </c>
      <c r="P2" s="47">
        <v>43862</v>
      </c>
      <c r="Q2" s="50" t="s">
        <v>70</v>
      </c>
      <c r="R2" s="51">
        <v>3.4</v>
      </c>
      <c r="S2" s="51"/>
      <c r="T2" s="45"/>
      <c r="U2" s="52">
        <f>+R2*5310000</f>
        <v>18054000</v>
      </c>
      <c r="V2" s="52">
        <f t="shared" ref="V2:V46" si="0">+S2*4960000</f>
        <v>0</v>
      </c>
      <c r="W2" s="52">
        <f t="shared" ref="W2:W34" si="1">+T2*2340000</f>
        <v>0</v>
      </c>
      <c r="X2" s="52">
        <f t="shared" ref="X2:X68" si="2">+U2+V2+W2</f>
        <v>18054000</v>
      </c>
      <c r="Y2" s="52">
        <f>+VLOOKUP(E2,[2]Sheet1!$B$11:$J$400,9,0)</f>
        <v>15912000</v>
      </c>
      <c r="Z2" s="52"/>
      <c r="AA2" s="53" t="s">
        <v>1530</v>
      </c>
      <c r="AB2" s="45" t="s">
        <v>743</v>
      </c>
      <c r="AC2" s="45" t="str">
        <f>+VLOOKUP(E2,[3]Sheet1!$B$11:$I$388,8,0)</f>
        <v>79 - 034</v>
      </c>
      <c r="AD2" s="45" t="s">
        <v>1786</v>
      </c>
      <c r="AE2" s="45" t="s">
        <v>2736</v>
      </c>
      <c r="AF2" s="46" t="s">
        <v>744</v>
      </c>
      <c r="AG2" s="45">
        <f>+VALUE(AF2:AF392)</f>
        <v>25689282</v>
      </c>
      <c r="AH2" s="54" t="s">
        <v>2425</v>
      </c>
      <c r="AI2" s="45" t="s">
        <v>599</v>
      </c>
      <c r="AJ2" s="45" t="s">
        <v>745</v>
      </c>
      <c r="AK2" s="44" t="s">
        <v>746</v>
      </c>
      <c r="AL2" s="45"/>
      <c r="AM2" s="45" t="s">
        <v>82</v>
      </c>
      <c r="AN2" s="45"/>
      <c r="AO2" s="45"/>
      <c r="AP2" s="45"/>
      <c r="AQ2" s="45"/>
      <c r="AR2" s="45"/>
      <c r="AS2" s="45"/>
      <c r="AT2" s="45"/>
      <c r="AU2" s="45"/>
      <c r="AV2" s="45"/>
      <c r="AX2" s="55" t="s">
        <v>2539</v>
      </c>
    </row>
    <row r="3" spans="1:181" x14ac:dyDescent="0.3">
      <c r="A3" s="43">
        <v>2</v>
      </c>
      <c r="B3" s="43">
        <v>2</v>
      </c>
      <c r="C3" s="43" t="s">
        <v>2540</v>
      </c>
      <c r="D3" s="44">
        <v>2</v>
      </c>
      <c r="E3" s="45" t="s">
        <v>6</v>
      </c>
      <c r="F3" s="46" t="s">
        <v>46</v>
      </c>
      <c r="G3" s="47">
        <v>23930</v>
      </c>
      <c r="H3" s="48">
        <f>+DATE(YEAR(G3)+62,MONTH(G3),DAY(G3))</f>
        <v>46575</v>
      </c>
      <c r="I3" s="48">
        <f>+EOMONTH(H3,0)+1</f>
        <v>46600</v>
      </c>
      <c r="J3" s="48">
        <f>+VLOOKUP(E3,'[1]DATA 06.2023'!$E$2:$J$390,6,0)</f>
        <v>46508</v>
      </c>
      <c r="K3" s="47">
        <v>30560</v>
      </c>
      <c r="L3" s="43" t="s">
        <v>42</v>
      </c>
      <c r="M3" s="49" t="s">
        <v>42</v>
      </c>
      <c r="N3" s="43" t="s">
        <v>31</v>
      </c>
      <c r="O3" s="47">
        <v>42339</v>
      </c>
      <c r="P3" s="47">
        <v>43435</v>
      </c>
      <c r="Q3" s="50" t="s">
        <v>70</v>
      </c>
      <c r="R3" s="51">
        <v>2.89</v>
      </c>
      <c r="S3" s="51"/>
      <c r="T3" s="45"/>
      <c r="U3" s="52">
        <f>+R3*5310000</f>
        <v>15345900</v>
      </c>
      <c r="V3" s="52">
        <f t="shared" si="0"/>
        <v>0</v>
      </c>
      <c r="W3" s="52">
        <f t="shared" si="1"/>
        <v>0</v>
      </c>
      <c r="X3" s="52">
        <f t="shared" si="2"/>
        <v>15345900</v>
      </c>
      <c r="Y3" s="52">
        <f>+VLOOKUP(E3,[2]Sheet1!$B$11:$J$400,9,0)</f>
        <v>13525200</v>
      </c>
      <c r="Z3" s="52"/>
      <c r="AA3" s="53" t="s">
        <v>1529</v>
      </c>
      <c r="AB3" s="45" t="s">
        <v>740</v>
      </c>
      <c r="AC3" s="45" t="str">
        <f>+VLOOKUP(E3,[3]Sheet1!$B$11:$I$388,8,0)</f>
        <v>79 - 025</v>
      </c>
      <c r="AD3" s="45" t="s">
        <v>1789</v>
      </c>
      <c r="AE3" s="45" t="s">
        <v>2737</v>
      </c>
      <c r="AF3" s="46" t="s">
        <v>741</v>
      </c>
      <c r="AG3" s="45">
        <f>+VALUE(AF3:AF399)</f>
        <v>25667545</v>
      </c>
      <c r="AH3" s="45" t="s">
        <v>627</v>
      </c>
      <c r="AI3" s="45" t="s">
        <v>599</v>
      </c>
      <c r="AJ3" s="45" t="s">
        <v>742</v>
      </c>
      <c r="AK3" s="44" t="s">
        <v>1023</v>
      </c>
      <c r="AL3" s="45" t="s">
        <v>1522</v>
      </c>
      <c r="AM3" s="45"/>
      <c r="AN3" s="45"/>
      <c r="AO3" s="45"/>
      <c r="AP3" s="45"/>
      <c r="AQ3" s="45"/>
      <c r="AR3" s="45"/>
      <c r="AS3" s="45"/>
      <c r="AT3" s="45"/>
      <c r="AU3" s="45"/>
      <c r="AV3" s="45"/>
      <c r="AX3" s="55" t="s">
        <v>2539</v>
      </c>
    </row>
    <row r="4" spans="1:181" s="58" customFormat="1" x14ac:dyDescent="0.3">
      <c r="A4" s="43">
        <v>3</v>
      </c>
      <c r="B4" s="43">
        <v>3</v>
      </c>
      <c r="C4" s="43" t="s">
        <v>2540</v>
      </c>
      <c r="D4" s="44">
        <v>3</v>
      </c>
      <c r="E4" s="45" t="s">
        <v>291</v>
      </c>
      <c r="F4" s="46" t="s">
        <v>152</v>
      </c>
      <c r="G4" s="47">
        <v>27378</v>
      </c>
      <c r="H4" s="48">
        <f>+DATE(YEAR(G4)+62,MONTH(G4),DAY(G4))</f>
        <v>50024</v>
      </c>
      <c r="I4" s="48">
        <f>+EOMONTH(H4,0)+1</f>
        <v>50041</v>
      </c>
      <c r="J4" s="48">
        <f>+VLOOKUP(E4,'[1]DATA 06.2023'!$E$2:$J$390,6,0)</f>
        <v>50041</v>
      </c>
      <c r="K4" s="47">
        <v>34639</v>
      </c>
      <c r="L4" s="43" t="s">
        <v>42</v>
      </c>
      <c r="M4" s="49" t="s">
        <v>42</v>
      </c>
      <c r="N4" s="43" t="s">
        <v>30</v>
      </c>
      <c r="O4" s="47">
        <v>42370</v>
      </c>
      <c r="P4" s="50" t="s">
        <v>3239</v>
      </c>
      <c r="Q4" s="50" t="s">
        <v>3242</v>
      </c>
      <c r="R4" s="51">
        <v>3</v>
      </c>
      <c r="S4" s="51"/>
      <c r="T4" s="45"/>
      <c r="U4" s="52">
        <f t="shared" ref="U4:U71" si="3">+R4*5310000</f>
        <v>15930000</v>
      </c>
      <c r="V4" s="52">
        <f t="shared" si="0"/>
        <v>0</v>
      </c>
      <c r="W4" s="52">
        <f t="shared" si="1"/>
        <v>0</v>
      </c>
      <c r="X4" s="52">
        <f t="shared" si="2"/>
        <v>15930000</v>
      </c>
      <c r="Y4" s="52">
        <f>+VLOOKUP(E4,[2]Sheet1!$B$11:$J$400,9,0)</f>
        <v>13525200</v>
      </c>
      <c r="Z4" s="52"/>
      <c r="AA4" s="53" t="s">
        <v>1556</v>
      </c>
      <c r="AB4" s="45" t="s">
        <v>857</v>
      </c>
      <c r="AC4" s="45" t="str">
        <f>+VLOOKUP(E4,[3]Sheet1!$B$11:$I$388,8,0)</f>
        <v>79 - 034</v>
      </c>
      <c r="AD4" s="45" t="s">
        <v>1788</v>
      </c>
      <c r="AE4" s="45" t="s">
        <v>1845</v>
      </c>
      <c r="AF4" s="46" t="s">
        <v>1845</v>
      </c>
      <c r="AG4" s="45">
        <f>+VALUE(AF4:AF400)</f>
        <v>24074000335</v>
      </c>
      <c r="AH4" s="56" t="s">
        <v>2426</v>
      </c>
      <c r="AI4" s="45" t="s">
        <v>2427</v>
      </c>
      <c r="AJ4" s="57" t="s">
        <v>3360</v>
      </c>
      <c r="AK4" s="44" t="s">
        <v>858</v>
      </c>
      <c r="AL4" s="45"/>
      <c r="AM4" s="45" t="s">
        <v>79</v>
      </c>
      <c r="AN4" s="45"/>
      <c r="AO4" s="45"/>
      <c r="AP4" s="45"/>
      <c r="AQ4" s="45"/>
      <c r="AR4" s="45"/>
      <c r="AS4" s="45"/>
      <c r="AT4" s="45"/>
      <c r="AU4" s="45"/>
      <c r="AV4" s="45"/>
      <c r="AW4" s="55"/>
      <c r="AX4" s="55" t="s">
        <v>2539</v>
      </c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</row>
    <row r="5" spans="1:181" s="58" customFormat="1" x14ac:dyDescent="0.3">
      <c r="A5" s="43">
        <v>4</v>
      </c>
      <c r="B5" s="43">
        <v>4</v>
      </c>
      <c r="C5" s="43" t="s">
        <v>2540</v>
      </c>
      <c r="D5" s="44">
        <v>4</v>
      </c>
      <c r="E5" s="59" t="s">
        <v>9</v>
      </c>
      <c r="F5" s="46" t="s">
        <v>49</v>
      </c>
      <c r="G5" s="47">
        <v>30583</v>
      </c>
      <c r="H5" s="48">
        <f>+DATE(YEAR(G5)+62,MONTH(G5),DAY(G5))</f>
        <v>53229</v>
      </c>
      <c r="I5" s="48">
        <v>49882</v>
      </c>
      <c r="J5" s="48">
        <f>+VLOOKUP(E5,'[1]DATA 06.2023'!$E$2:$J$390,6,0)</f>
        <v>53236</v>
      </c>
      <c r="K5" s="47">
        <v>38991</v>
      </c>
      <c r="L5" s="43" t="s">
        <v>42</v>
      </c>
      <c r="M5" s="49" t="s">
        <v>42</v>
      </c>
      <c r="N5" s="43" t="s">
        <v>31</v>
      </c>
      <c r="O5" s="47">
        <v>42370</v>
      </c>
      <c r="P5" s="47">
        <v>45597</v>
      </c>
      <c r="Q5" s="60" t="s">
        <v>3242</v>
      </c>
      <c r="R5" s="43">
        <v>2.72</v>
      </c>
      <c r="S5" s="51"/>
      <c r="T5" s="45"/>
      <c r="U5" s="52">
        <f t="shared" si="3"/>
        <v>14443200.000000002</v>
      </c>
      <c r="V5" s="52">
        <f t="shared" si="0"/>
        <v>0</v>
      </c>
      <c r="W5" s="52">
        <f t="shared" si="1"/>
        <v>0</v>
      </c>
      <c r="X5" s="52">
        <f t="shared" si="2"/>
        <v>14443200.000000002</v>
      </c>
      <c r="Y5" s="52">
        <f>+VLOOKUP(E5,[2]Sheet1!$B$11:$J$400,9,0)</f>
        <v>10015200</v>
      </c>
      <c r="Z5" s="52"/>
      <c r="AA5" s="53" t="s">
        <v>1532</v>
      </c>
      <c r="AB5" s="45" t="s">
        <v>752</v>
      </c>
      <c r="AC5" s="45" t="str">
        <f>+VLOOKUP(E5,[3]Sheet1!$B$11:$I$388,8,0)</f>
        <v>79 - 031</v>
      </c>
      <c r="AD5" s="45" t="s">
        <v>1789</v>
      </c>
      <c r="AE5" s="45" t="s">
        <v>2739</v>
      </c>
      <c r="AF5" s="46" t="s">
        <v>2147</v>
      </c>
      <c r="AG5" s="45">
        <f>+VALUE(AF5:AF448)</f>
        <v>186013062</v>
      </c>
      <c r="AH5" s="45" t="s">
        <v>753</v>
      </c>
      <c r="AI5" s="45" t="s">
        <v>754</v>
      </c>
      <c r="AJ5" s="45" t="s">
        <v>3361</v>
      </c>
      <c r="AK5" s="44" t="s">
        <v>755</v>
      </c>
      <c r="AL5" s="45"/>
      <c r="AM5" s="45" t="s">
        <v>88</v>
      </c>
      <c r="AN5" s="45"/>
      <c r="AO5" s="45"/>
      <c r="AP5" s="45"/>
      <c r="AQ5" s="45"/>
      <c r="AR5" s="45"/>
      <c r="AS5" s="45"/>
      <c r="AT5" s="45"/>
      <c r="AU5" s="45"/>
      <c r="AV5" s="45"/>
      <c r="AW5" s="55"/>
      <c r="AX5" s="55" t="s">
        <v>2539</v>
      </c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</row>
    <row r="6" spans="1:181" x14ac:dyDescent="0.3">
      <c r="A6" s="43">
        <v>5</v>
      </c>
      <c r="B6" s="43">
        <v>5</v>
      </c>
      <c r="C6" s="43" t="s">
        <v>2540</v>
      </c>
      <c r="D6" s="44">
        <v>5</v>
      </c>
      <c r="E6" s="59" t="s">
        <v>23</v>
      </c>
      <c r="F6" s="46" t="s">
        <v>3184</v>
      </c>
      <c r="G6" s="47">
        <v>25270</v>
      </c>
      <c r="H6" s="48">
        <f>+DATE(YEAR(G6)+62,MONTH(G6),DAY(G6))</f>
        <v>47915</v>
      </c>
      <c r="I6" s="48">
        <f>+EOMONTH(H6,0)+1</f>
        <v>47939</v>
      </c>
      <c r="J6" s="48">
        <f>+VLOOKUP(E6,'[1]DATA 06.2023'!$E$2:$J$390,6,0)</f>
        <v>47939</v>
      </c>
      <c r="K6" s="47">
        <v>33543</v>
      </c>
      <c r="L6" s="43" t="s">
        <v>42</v>
      </c>
      <c r="M6" s="49" t="s">
        <v>42</v>
      </c>
      <c r="N6" s="43" t="s">
        <v>31</v>
      </c>
      <c r="O6" s="47">
        <v>42370</v>
      </c>
      <c r="P6" s="47">
        <v>45597</v>
      </c>
      <c r="Q6" s="60" t="s">
        <v>3242</v>
      </c>
      <c r="R6" s="51">
        <v>2.72</v>
      </c>
      <c r="S6" s="51"/>
      <c r="T6" s="45"/>
      <c r="U6" s="52">
        <f t="shared" si="3"/>
        <v>14443200.000000002</v>
      </c>
      <c r="V6" s="52">
        <f t="shared" si="0"/>
        <v>0</v>
      </c>
      <c r="W6" s="52">
        <f t="shared" si="1"/>
        <v>0</v>
      </c>
      <c r="X6" s="52">
        <f t="shared" si="2"/>
        <v>14443200.000000002</v>
      </c>
      <c r="Y6" s="52">
        <f>+VLOOKUP(E6,[2]Sheet1!$B$11:$J$400,9,0)</f>
        <v>12729600</v>
      </c>
      <c r="Z6" s="52"/>
      <c r="AA6" s="53" t="s">
        <v>1552</v>
      </c>
      <c r="AB6" s="45" t="s">
        <v>842</v>
      </c>
      <c r="AC6" s="45" t="str">
        <f>+VLOOKUP(E6,[3]Sheet1!$B$11:$I$388,8,0)</f>
        <v>79 - 025</v>
      </c>
      <c r="AD6" s="45" t="s">
        <v>1789</v>
      </c>
      <c r="AE6" s="45" t="s">
        <v>2756</v>
      </c>
      <c r="AF6" s="46" t="s">
        <v>843</v>
      </c>
      <c r="AG6" s="45">
        <f>+VALUE(AF6:AF442)</f>
        <v>25438396</v>
      </c>
      <c r="AH6" s="45" t="s">
        <v>844</v>
      </c>
      <c r="AI6" s="45" t="s">
        <v>599</v>
      </c>
      <c r="AJ6" s="45" t="s">
        <v>845</v>
      </c>
      <c r="AK6" s="44" t="s">
        <v>739</v>
      </c>
      <c r="AL6" s="45"/>
      <c r="AM6" s="45" t="s">
        <v>81</v>
      </c>
      <c r="AN6" s="45"/>
      <c r="AO6" s="45"/>
      <c r="AP6" s="45"/>
      <c r="AQ6" s="45"/>
      <c r="AR6" s="45"/>
      <c r="AS6" s="45"/>
      <c r="AT6" s="45"/>
      <c r="AU6" s="45"/>
      <c r="AV6" s="45"/>
      <c r="AX6" s="55" t="s">
        <v>2539</v>
      </c>
    </row>
    <row r="7" spans="1:181" x14ac:dyDescent="0.3">
      <c r="A7" s="43">
        <v>6</v>
      </c>
      <c r="B7" s="43">
        <v>6</v>
      </c>
      <c r="C7" s="43" t="s">
        <v>2540</v>
      </c>
      <c r="D7" s="44">
        <v>6</v>
      </c>
      <c r="E7" s="61" t="s">
        <v>585</v>
      </c>
      <c r="F7" s="62" t="s">
        <v>45</v>
      </c>
      <c r="G7" s="47">
        <v>28064</v>
      </c>
      <c r="H7" s="48">
        <f>+DATE(YEAR(G7)+60,MONTH(G7),DAY(G7))</f>
        <v>49979</v>
      </c>
      <c r="I7" s="48">
        <v>49979</v>
      </c>
      <c r="J7" s="48">
        <f>+EOMONTH(I7,0)+1</f>
        <v>49980</v>
      </c>
      <c r="K7" s="47">
        <v>34973</v>
      </c>
      <c r="L7" s="43" t="s">
        <v>583</v>
      </c>
      <c r="M7" s="49" t="s">
        <v>42</v>
      </c>
      <c r="N7" s="43" t="s">
        <v>32</v>
      </c>
      <c r="O7" s="47">
        <v>42248</v>
      </c>
      <c r="P7" s="47">
        <v>43466</v>
      </c>
      <c r="Q7" s="50" t="s">
        <v>74</v>
      </c>
      <c r="R7" s="51">
        <v>1.89</v>
      </c>
      <c r="S7" s="51">
        <v>0.35</v>
      </c>
      <c r="T7" s="45"/>
      <c r="U7" s="52">
        <f t="shared" si="3"/>
        <v>10035900</v>
      </c>
      <c r="V7" s="52">
        <f t="shared" si="0"/>
        <v>1736000</v>
      </c>
      <c r="W7" s="52">
        <f t="shared" si="1"/>
        <v>0</v>
      </c>
      <c r="X7" s="52">
        <f t="shared" si="2"/>
        <v>11771900</v>
      </c>
      <c r="Y7" s="52">
        <f>+VLOOKUP(E7,[2]Sheet1!$B$11:$J$400,9,0)</f>
        <v>10483200</v>
      </c>
      <c r="Z7" s="52"/>
      <c r="AA7" s="53" t="s">
        <v>1536</v>
      </c>
      <c r="AB7" s="45" t="s">
        <v>770</v>
      </c>
      <c r="AC7" s="45" t="str">
        <f>+VLOOKUP(E7,[3]Sheet1!$B$11:$I$388,8,0)</f>
        <v>79 - 002</v>
      </c>
      <c r="AD7" s="45" t="s">
        <v>1790</v>
      </c>
      <c r="AE7" s="45" t="s">
        <v>2738</v>
      </c>
      <c r="AF7" s="46" t="s">
        <v>771</v>
      </c>
      <c r="AG7" s="45">
        <f>+VALUE(AF7:AF403)</f>
        <v>22788073</v>
      </c>
      <c r="AH7" s="45" t="s">
        <v>772</v>
      </c>
      <c r="AI7" s="45" t="s">
        <v>599</v>
      </c>
      <c r="AJ7" s="45" t="s">
        <v>773</v>
      </c>
      <c r="AK7" s="44" t="s">
        <v>1850</v>
      </c>
      <c r="AL7" s="45"/>
      <c r="AM7" s="45" t="s">
        <v>80</v>
      </c>
      <c r="AN7" s="45"/>
      <c r="AO7" s="45"/>
      <c r="AP7" s="45"/>
      <c r="AQ7" s="45"/>
      <c r="AR7" s="45"/>
      <c r="AS7" s="45"/>
      <c r="AT7" s="45"/>
      <c r="AU7" s="45"/>
      <c r="AV7" s="45"/>
      <c r="AX7" s="55" t="s">
        <v>2539</v>
      </c>
    </row>
    <row r="8" spans="1:181" ht="24" x14ac:dyDescent="0.3">
      <c r="A8" s="43">
        <v>7</v>
      </c>
      <c r="B8" s="43">
        <v>7</v>
      </c>
      <c r="C8" s="43" t="s">
        <v>2540</v>
      </c>
      <c r="D8" s="63">
        <v>1</v>
      </c>
      <c r="E8" s="64" t="s">
        <v>11</v>
      </c>
      <c r="F8" s="46" t="s">
        <v>51</v>
      </c>
      <c r="G8" s="47">
        <v>31556</v>
      </c>
      <c r="H8" s="48">
        <f t="shared" ref="H8:H16" si="4">+DATE(YEAR(G8)+62,MONTH(G8),DAY(G8))</f>
        <v>54202</v>
      </c>
      <c r="I8" s="48">
        <v>54756</v>
      </c>
      <c r="J8" s="48">
        <f>+VLOOKUP(E8,'[1]DATA 06.2023'!$E$2:$J$390,6,0)</f>
        <v>54210</v>
      </c>
      <c r="K8" s="47">
        <v>41153</v>
      </c>
      <c r="L8" s="43" t="s">
        <v>584</v>
      </c>
      <c r="M8" s="49" t="s">
        <v>41</v>
      </c>
      <c r="N8" s="43" t="s">
        <v>35</v>
      </c>
      <c r="O8" s="47">
        <v>42370</v>
      </c>
      <c r="P8" s="47">
        <v>43466</v>
      </c>
      <c r="Q8" s="50" t="s">
        <v>76</v>
      </c>
      <c r="R8" s="51">
        <v>1.79</v>
      </c>
      <c r="S8" s="51">
        <v>0.35</v>
      </c>
      <c r="T8" s="45"/>
      <c r="U8" s="52">
        <f t="shared" si="3"/>
        <v>9504900</v>
      </c>
      <c r="V8" s="52">
        <f t="shared" si="0"/>
        <v>1736000</v>
      </c>
      <c r="W8" s="52">
        <f t="shared" si="1"/>
        <v>0</v>
      </c>
      <c r="X8" s="52">
        <f t="shared" si="2"/>
        <v>11240900</v>
      </c>
      <c r="Y8" s="52">
        <f>+VLOOKUP(E8,[2]Sheet1!$B$11:$J$400,9,0)</f>
        <v>9079200</v>
      </c>
      <c r="Z8" s="52"/>
      <c r="AA8" s="53" t="s">
        <v>1534</v>
      </c>
      <c r="AB8" s="45" t="s">
        <v>751</v>
      </c>
      <c r="AC8" s="45" t="str">
        <f>+VLOOKUP(E8,[3]Sheet1!$B$11:$I$388,8,0)</f>
        <v>79 - 071</v>
      </c>
      <c r="AD8" s="45" t="s">
        <v>3272</v>
      </c>
      <c r="AE8" s="45" t="s">
        <v>2740</v>
      </c>
      <c r="AF8" s="46" t="s">
        <v>761</v>
      </c>
      <c r="AG8" s="45">
        <f>+VALUE(AF8:AF405)</f>
        <v>186307086</v>
      </c>
      <c r="AH8" s="54" t="s">
        <v>2131</v>
      </c>
      <c r="AI8" s="45" t="s">
        <v>754</v>
      </c>
      <c r="AJ8" s="45" t="s">
        <v>762</v>
      </c>
      <c r="AK8" s="44" t="s">
        <v>763</v>
      </c>
      <c r="AL8" s="45"/>
      <c r="AM8" s="59" t="s">
        <v>2045</v>
      </c>
      <c r="AN8" s="45"/>
      <c r="AO8" s="45"/>
      <c r="AP8" s="45"/>
      <c r="AQ8" s="45"/>
      <c r="AR8" s="45"/>
      <c r="AS8" s="45"/>
      <c r="AT8" s="45"/>
      <c r="AU8" s="45"/>
      <c r="AV8" s="45"/>
      <c r="AX8" s="55" t="s">
        <v>2539</v>
      </c>
    </row>
    <row r="9" spans="1:181" x14ac:dyDescent="0.3">
      <c r="A9" s="43">
        <v>8</v>
      </c>
      <c r="B9" s="43">
        <v>8</v>
      </c>
      <c r="C9" s="43" t="s">
        <v>2540</v>
      </c>
      <c r="D9" s="63">
        <v>2</v>
      </c>
      <c r="E9" s="65" t="s">
        <v>3366</v>
      </c>
      <c r="F9" s="66" t="s">
        <v>3367</v>
      </c>
      <c r="G9" s="67">
        <v>37040</v>
      </c>
      <c r="H9" s="47">
        <f>+DATE(YEAR(G9)+57,MONTH(G9),DAY(G9))</f>
        <v>57859</v>
      </c>
      <c r="I9" s="48">
        <f>+EOMONTH(H9,0)+1</f>
        <v>57862</v>
      </c>
      <c r="J9" s="48">
        <v>57862</v>
      </c>
      <c r="K9" s="67">
        <v>45748</v>
      </c>
      <c r="L9" s="43" t="s">
        <v>584</v>
      </c>
      <c r="M9" s="49" t="s">
        <v>41</v>
      </c>
      <c r="N9" s="43" t="s">
        <v>34</v>
      </c>
      <c r="O9" s="67">
        <v>45748</v>
      </c>
      <c r="P9" s="68"/>
      <c r="Q9" s="69" t="s">
        <v>73</v>
      </c>
      <c r="R9" s="70">
        <v>1.5</v>
      </c>
      <c r="S9" s="71"/>
      <c r="T9" s="72"/>
      <c r="U9" s="52">
        <f>+R9*5310000</f>
        <v>7965000</v>
      </c>
      <c r="V9" s="52">
        <f>+S9*4960000</f>
        <v>0</v>
      </c>
      <c r="W9" s="52">
        <f>+T9*2340000</f>
        <v>0</v>
      </c>
      <c r="X9" s="52">
        <f>+U9+V9+W9</f>
        <v>7965000</v>
      </c>
      <c r="Y9" s="52"/>
      <c r="Z9" s="52"/>
      <c r="AA9" s="73">
        <v>7929932891</v>
      </c>
      <c r="AB9" s="72" t="s">
        <v>3386</v>
      </c>
      <c r="AC9" s="45"/>
      <c r="AD9" s="72" t="s">
        <v>34</v>
      </c>
      <c r="AE9" s="74" t="s">
        <v>3368</v>
      </c>
      <c r="AF9" s="66"/>
      <c r="AG9" s="45"/>
      <c r="AH9" s="75">
        <v>44302</v>
      </c>
      <c r="AI9" s="72" t="s">
        <v>2427</v>
      </c>
      <c r="AJ9" s="72" t="s">
        <v>3369</v>
      </c>
      <c r="AK9" s="76"/>
      <c r="AL9" s="72"/>
      <c r="AM9" s="72" t="s">
        <v>3370</v>
      </c>
      <c r="AN9" s="72"/>
      <c r="AO9" s="72"/>
      <c r="AP9" s="72"/>
      <c r="AQ9" s="67"/>
      <c r="AR9" s="72"/>
      <c r="AS9" s="67">
        <v>45748</v>
      </c>
      <c r="AT9" s="67"/>
      <c r="AU9" s="72"/>
      <c r="AV9" s="67"/>
      <c r="AW9" s="77"/>
      <c r="AX9" s="55" t="s">
        <v>2539</v>
      </c>
    </row>
    <row r="10" spans="1:181" x14ac:dyDescent="0.3">
      <c r="A10" s="43">
        <v>9</v>
      </c>
      <c r="B10" s="43">
        <v>9</v>
      </c>
      <c r="C10" s="43" t="s">
        <v>2540</v>
      </c>
      <c r="D10" s="63">
        <v>3</v>
      </c>
      <c r="E10" s="78" t="s">
        <v>3388</v>
      </c>
      <c r="F10" s="66" t="s">
        <v>3389</v>
      </c>
      <c r="G10" s="67">
        <v>37454</v>
      </c>
      <c r="H10" s="47">
        <f>+DATE(YEAR(G10)+57,MONTH(G10),DAY(G10))</f>
        <v>58273</v>
      </c>
      <c r="I10" s="48">
        <f>+EOMONTH(H10,0)+1</f>
        <v>58288</v>
      </c>
      <c r="J10" s="48">
        <v>58288</v>
      </c>
      <c r="K10" s="67">
        <v>45778</v>
      </c>
      <c r="L10" s="43" t="s">
        <v>584</v>
      </c>
      <c r="M10" s="49" t="s">
        <v>41</v>
      </c>
      <c r="N10" s="43" t="s">
        <v>34</v>
      </c>
      <c r="O10" s="67">
        <v>45778</v>
      </c>
      <c r="P10" s="68"/>
      <c r="Q10" s="69" t="s">
        <v>73</v>
      </c>
      <c r="R10" s="70">
        <v>1.5</v>
      </c>
      <c r="S10" s="71"/>
      <c r="T10" s="72"/>
      <c r="U10" s="52">
        <f>+R10*5310000</f>
        <v>7965000</v>
      </c>
      <c r="V10" s="52">
        <f>+S10*4960000</f>
        <v>0</v>
      </c>
      <c r="W10" s="52">
        <f>+T10*2340000</f>
        <v>0</v>
      </c>
      <c r="X10" s="52">
        <f>+U10+V10+W10</f>
        <v>7965000</v>
      </c>
      <c r="Y10" s="52"/>
      <c r="Z10" s="52"/>
      <c r="AA10" s="73">
        <v>5420987794</v>
      </c>
      <c r="AB10" s="72" t="s">
        <v>3385</v>
      </c>
      <c r="AC10" s="45"/>
      <c r="AD10" s="72" t="s">
        <v>34</v>
      </c>
      <c r="AE10" s="79" t="s">
        <v>3390</v>
      </c>
      <c r="AF10" s="66"/>
      <c r="AG10" s="72"/>
      <c r="AH10" s="80"/>
      <c r="AI10" s="72" t="s">
        <v>2427</v>
      </c>
      <c r="AJ10" s="72" t="s">
        <v>3391</v>
      </c>
      <c r="AK10" s="72"/>
      <c r="AL10" s="72"/>
      <c r="AM10" s="72" t="s">
        <v>3392</v>
      </c>
      <c r="AN10" s="72"/>
      <c r="AO10" s="72"/>
      <c r="AP10" s="72"/>
      <c r="AQ10" s="67"/>
      <c r="AR10" s="72"/>
      <c r="AS10" s="67">
        <v>45778</v>
      </c>
      <c r="AT10" s="72"/>
      <c r="AU10" s="72"/>
      <c r="AV10" s="67"/>
      <c r="AW10" s="81" t="s">
        <v>3393</v>
      </c>
      <c r="AX10" s="55" t="s">
        <v>2539</v>
      </c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</row>
    <row r="11" spans="1:181" ht="24" x14ac:dyDescent="0.3">
      <c r="A11" s="43">
        <v>10</v>
      </c>
      <c r="B11" s="43">
        <v>10</v>
      </c>
      <c r="C11" s="43" t="s">
        <v>2540</v>
      </c>
      <c r="D11" s="63">
        <v>4</v>
      </c>
      <c r="E11" s="59" t="s">
        <v>10</v>
      </c>
      <c r="F11" s="46" t="s">
        <v>50</v>
      </c>
      <c r="G11" s="47">
        <v>30195</v>
      </c>
      <c r="H11" s="48">
        <f t="shared" si="4"/>
        <v>52841</v>
      </c>
      <c r="I11" s="48">
        <v>50775</v>
      </c>
      <c r="J11" s="48">
        <f>+VLOOKUP(E11,'[1]DATA 06.2023'!$E$2:$J$390,6,0)</f>
        <v>52871</v>
      </c>
      <c r="K11" s="47">
        <v>38473</v>
      </c>
      <c r="L11" s="43" t="s">
        <v>584</v>
      </c>
      <c r="M11" s="49" t="s">
        <v>41</v>
      </c>
      <c r="N11" s="43" t="s">
        <v>34</v>
      </c>
      <c r="O11" s="47">
        <v>44197</v>
      </c>
      <c r="P11" s="47">
        <v>45292</v>
      </c>
      <c r="Q11" s="60" t="s">
        <v>76</v>
      </c>
      <c r="R11" s="51">
        <v>1.79</v>
      </c>
      <c r="S11" s="51"/>
      <c r="T11" s="45"/>
      <c r="U11" s="52">
        <f t="shared" si="3"/>
        <v>9504900</v>
      </c>
      <c r="V11" s="52">
        <f t="shared" si="0"/>
        <v>0</v>
      </c>
      <c r="W11" s="52">
        <f t="shared" si="1"/>
        <v>0</v>
      </c>
      <c r="X11" s="52">
        <f t="shared" si="2"/>
        <v>9504900</v>
      </c>
      <c r="Y11" s="52">
        <f>+VLOOKUP(E11,[2]Sheet1!$B$11:$J$400,9,0)</f>
        <v>8377200</v>
      </c>
      <c r="Z11" s="52"/>
      <c r="AA11" s="53" t="s">
        <v>1533</v>
      </c>
      <c r="AB11" s="45" t="s">
        <v>1836</v>
      </c>
      <c r="AC11" s="45" t="str">
        <f>+VLOOKUP(E11,[3]Sheet1!$B$11:$I$388,8,0)</f>
        <v>79 - 014</v>
      </c>
      <c r="AD11" s="45" t="s">
        <v>34</v>
      </c>
      <c r="AE11" s="45" t="s">
        <v>2741</v>
      </c>
      <c r="AF11" s="46" t="s">
        <v>757</v>
      </c>
      <c r="AG11" s="45">
        <f>+VALUE(AF11:AF431)</f>
        <v>271499752</v>
      </c>
      <c r="AH11" s="45" t="s">
        <v>758</v>
      </c>
      <c r="AI11" s="45" t="s">
        <v>519</v>
      </c>
      <c r="AJ11" s="45" t="s">
        <v>759</v>
      </c>
      <c r="AK11" s="44" t="s">
        <v>760</v>
      </c>
      <c r="AL11" s="45"/>
      <c r="AM11" s="59" t="s">
        <v>2502</v>
      </c>
      <c r="AN11" s="45"/>
      <c r="AO11" s="45"/>
      <c r="AP11" s="45"/>
      <c r="AQ11" s="45"/>
      <c r="AR11" s="45"/>
      <c r="AS11" s="45"/>
      <c r="AT11" s="45"/>
      <c r="AU11" s="45"/>
      <c r="AV11" s="45"/>
      <c r="AX11" s="55" t="s">
        <v>2539</v>
      </c>
    </row>
    <row r="12" spans="1:181" s="58" customFormat="1" ht="24" x14ac:dyDescent="0.3">
      <c r="A12" s="43">
        <v>11</v>
      </c>
      <c r="B12" s="43">
        <v>11</v>
      </c>
      <c r="C12" s="43" t="s">
        <v>2540</v>
      </c>
      <c r="D12" s="63">
        <v>5</v>
      </c>
      <c r="E12" s="45" t="s">
        <v>12</v>
      </c>
      <c r="F12" s="46" t="s">
        <v>52</v>
      </c>
      <c r="G12" s="47">
        <v>30623</v>
      </c>
      <c r="H12" s="48">
        <f t="shared" si="4"/>
        <v>53269</v>
      </c>
      <c r="I12" s="48">
        <v>53868</v>
      </c>
      <c r="J12" s="48">
        <f>+VLOOKUP(E12,'[1]DATA 06.2023'!$E$2:$J$390,6,0)</f>
        <v>53297</v>
      </c>
      <c r="K12" s="47">
        <v>40269</v>
      </c>
      <c r="L12" s="43" t="s">
        <v>584</v>
      </c>
      <c r="M12" s="49" t="s">
        <v>41</v>
      </c>
      <c r="N12" s="43" t="s">
        <v>34</v>
      </c>
      <c r="O12" s="47">
        <v>44378</v>
      </c>
      <c r="P12" s="47">
        <v>45474</v>
      </c>
      <c r="Q12" s="60" t="s">
        <v>76</v>
      </c>
      <c r="R12" s="51">
        <v>1.79</v>
      </c>
      <c r="S12" s="51"/>
      <c r="T12" s="45"/>
      <c r="U12" s="52">
        <f t="shared" si="3"/>
        <v>9504900</v>
      </c>
      <c r="V12" s="52">
        <f t="shared" si="0"/>
        <v>0</v>
      </c>
      <c r="W12" s="52">
        <f t="shared" si="1"/>
        <v>0</v>
      </c>
      <c r="X12" s="52">
        <f t="shared" si="2"/>
        <v>9504900</v>
      </c>
      <c r="Y12" s="52">
        <f>+VLOOKUP(E12,[2]Sheet1!$B$11:$J$400,9,0)</f>
        <v>7909200</v>
      </c>
      <c r="Z12" s="52"/>
      <c r="AA12" s="53" t="s">
        <v>1535</v>
      </c>
      <c r="AB12" s="45" t="s">
        <v>764</v>
      </c>
      <c r="AC12" s="45" t="str">
        <f>+VLOOKUP(E12,[3]Sheet1!$B$11:$I$388,8,0)</f>
        <v>79 - 016</v>
      </c>
      <c r="AD12" s="45" t="s">
        <v>34</v>
      </c>
      <c r="AE12" s="45" t="s">
        <v>765</v>
      </c>
      <c r="AF12" s="46" t="s">
        <v>765</v>
      </c>
      <c r="AG12" s="45">
        <f>+VALUE(AF12:AF408)</f>
        <v>79083001237</v>
      </c>
      <c r="AH12" s="56" t="s">
        <v>2428</v>
      </c>
      <c r="AI12" s="45" t="s">
        <v>2427</v>
      </c>
      <c r="AJ12" s="45" t="s">
        <v>766</v>
      </c>
      <c r="AK12" s="44" t="s">
        <v>767</v>
      </c>
      <c r="AL12" s="45"/>
      <c r="AM12" s="59" t="s">
        <v>2503</v>
      </c>
      <c r="AN12" s="45"/>
      <c r="AO12" s="45"/>
      <c r="AP12" s="45"/>
      <c r="AQ12" s="45"/>
      <c r="AR12" s="45"/>
      <c r="AS12" s="45"/>
      <c r="AT12" s="45"/>
      <c r="AU12" s="45"/>
      <c r="AV12" s="45"/>
      <c r="AW12" s="55"/>
      <c r="AX12" s="55" t="s">
        <v>2539</v>
      </c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</row>
    <row r="13" spans="1:181" s="58" customFormat="1" x14ac:dyDescent="0.3">
      <c r="A13" s="43">
        <v>12</v>
      </c>
      <c r="B13" s="43">
        <v>12</v>
      </c>
      <c r="C13" s="43" t="s">
        <v>2540</v>
      </c>
      <c r="D13" s="63">
        <v>6</v>
      </c>
      <c r="E13" s="83" t="s">
        <v>108</v>
      </c>
      <c r="F13" s="46" t="s">
        <v>153</v>
      </c>
      <c r="G13" s="47">
        <v>30609</v>
      </c>
      <c r="H13" s="48">
        <f t="shared" si="4"/>
        <v>53255</v>
      </c>
      <c r="I13" s="48">
        <v>49297</v>
      </c>
      <c r="J13" s="48">
        <f>+VLOOKUP(E13,'[1]DATA 06.2023'!$E$2:$J$390,6,0)</f>
        <v>53267</v>
      </c>
      <c r="K13" s="47">
        <v>39264</v>
      </c>
      <c r="L13" s="43" t="s">
        <v>584</v>
      </c>
      <c r="M13" s="49" t="s">
        <v>41</v>
      </c>
      <c r="N13" s="43" t="s">
        <v>33</v>
      </c>
      <c r="O13" s="47">
        <v>43344</v>
      </c>
      <c r="P13" s="84" t="s">
        <v>3239</v>
      </c>
      <c r="Q13" s="60" t="s">
        <v>76</v>
      </c>
      <c r="R13" s="43">
        <v>1.79</v>
      </c>
      <c r="S13" s="51">
        <v>0.25</v>
      </c>
      <c r="T13" s="45"/>
      <c r="U13" s="52">
        <f t="shared" si="3"/>
        <v>9504900</v>
      </c>
      <c r="V13" s="52">
        <f t="shared" si="0"/>
        <v>1240000</v>
      </c>
      <c r="W13" s="52">
        <f t="shared" si="1"/>
        <v>0</v>
      </c>
      <c r="X13" s="52">
        <f t="shared" si="2"/>
        <v>10744900</v>
      </c>
      <c r="Y13" s="52">
        <f>+VLOOKUP(E13,[2]Sheet1!$B$11:$J$400,9,0)</f>
        <v>7909200</v>
      </c>
      <c r="Z13" s="52"/>
      <c r="AA13" s="53" t="s">
        <v>1568</v>
      </c>
      <c r="AB13" s="45" t="s">
        <v>798</v>
      </c>
      <c r="AC13" s="45" t="str">
        <f>+VLOOKUP(E13,[3]Sheet1!$B$11:$I$388,8,0)</f>
        <v>79 - 034</v>
      </c>
      <c r="AD13" s="45" t="s">
        <v>3445</v>
      </c>
      <c r="AE13" s="45" t="s">
        <v>2742</v>
      </c>
      <c r="AF13" s="46" t="s">
        <v>902</v>
      </c>
      <c r="AG13" s="45">
        <f>+VALUE(AF13:AF409)</f>
        <v>12272684</v>
      </c>
      <c r="AH13" s="45" t="s">
        <v>903</v>
      </c>
      <c r="AI13" s="45" t="s">
        <v>904</v>
      </c>
      <c r="AJ13" s="45" t="s">
        <v>905</v>
      </c>
      <c r="AK13" s="44" t="s">
        <v>906</v>
      </c>
      <c r="AL13" s="45"/>
      <c r="AM13" s="45" t="s">
        <v>505</v>
      </c>
      <c r="AN13" s="45"/>
      <c r="AO13" s="45"/>
      <c r="AP13" s="45"/>
      <c r="AQ13" s="45"/>
      <c r="AR13" s="45"/>
      <c r="AS13" s="45"/>
      <c r="AT13" s="45"/>
      <c r="AU13" s="45"/>
      <c r="AV13" s="45"/>
      <c r="AW13" s="55"/>
      <c r="AX13" s="55" t="s">
        <v>2539</v>
      </c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</row>
    <row r="14" spans="1:181" s="58" customFormat="1" ht="24" x14ac:dyDescent="0.3">
      <c r="A14" s="43">
        <v>13</v>
      </c>
      <c r="B14" s="43">
        <v>13</v>
      </c>
      <c r="C14" s="43" t="s">
        <v>2540</v>
      </c>
      <c r="D14" s="44">
        <v>1</v>
      </c>
      <c r="E14" s="64" t="s">
        <v>160</v>
      </c>
      <c r="F14" s="46" t="s">
        <v>367</v>
      </c>
      <c r="G14" s="47">
        <v>24667</v>
      </c>
      <c r="H14" s="48">
        <f t="shared" si="4"/>
        <v>47313</v>
      </c>
      <c r="I14" s="48">
        <f>+EOMONTH(H14,0)+1</f>
        <v>47331</v>
      </c>
      <c r="J14" s="48">
        <f>+VLOOKUP(E14,'[1]DATA 06.2023'!$E$2:$J$390,6,0)</f>
        <v>47331</v>
      </c>
      <c r="K14" s="47">
        <v>34274</v>
      </c>
      <c r="L14" s="43" t="s">
        <v>26</v>
      </c>
      <c r="M14" s="49" t="s">
        <v>41</v>
      </c>
      <c r="N14" s="43" t="s">
        <v>35</v>
      </c>
      <c r="O14" s="47">
        <v>42795</v>
      </c>
      <c r="P14" s="84" t="s">
        <v>1516</v>
      </c>
      <c r="Q14" s="85" t="s">
        <v>75</v>
      </c>
      <c r="R14" s="43">
        <v>2.37</v>
      </c>
      <c r="S14" s="51">
        <v>0.35</v>
      </c>
      <c r="T14" s="45"/>
      <c r="U14" s="52">
        <f t="shared" si="3"/>
        <v>12584700</v>
      </c>
      <c r="V14" s="52">
        <f t="shared" si="0"/>
        <v>1736000</v>
      </c>
      <c r="W14" s="52">
        <f t="shared" si="1"/>
        <v>0</v>
      </c>
      <c r="X14" s="52">
        <f t="shared" si="2"/>
        <v>14320700</v>
      </c>
      <c r="Y14" s="52">
        <f>+VLOOKUP(E14,[2]Sheet1!$B$11:$J$400,9,0)</f>
        <v>12729600</v>
      </c>
      <c r="Z14" s="52"/>
      <c r="AA14" s="53" t="s">
        <v>1638</v>
      </c>
      <c r="AB14" s="45" t="s">
        <v>3279</v>
      </c>
      <c r="AC14" s="45" t="str">
        <f>+VLOOKUP(E14,[3]Sheet1!$B$11:$I$388,8,0)</f>
        <v>79 - 009</v>
      </c>
      <c r="AD14" s="45" t="s">
        <v>35</v>
      </c>
      <c r="AE14" s="45" t="s">
        <v>2834</v>
      </c>
      <c r="AF14" s="46" t="s">
        <v>2434</v>
      </c>
      <c r="AG14" s="45">
        <f>+VALUE(AF14:AF553)</f>
        <v>264160052</v>
      </c>
      <c r="AH14" s="45" t="s">
        <v>1134</v>
      </c>
      <c r="AI14" s="45" t="s">
        <v>503</v>
      </c>
      <c r="AJ14" s="45" t="s">
        <v>1135</v>
      </c>
      <c r="AK14" s="44" t="s">
        <v>1136</v>
      </c>
      <c r="AL14" s="45"/>
      <c r="AM14" s="86" t="s">
        <v>2546</v>
      </c>
      <c r="AN14" s="45"/>
      <c r="AO14" s="45"/>
      <c r="AP14" s="45"/>
      <c r="AQ14" s="45"/>
      <c r="AR14" s="45"/>
      <c r="AS14" s="45"/>
      <c r="AT14" s="45"/>
      <c r="AU14" s="45"/>
      <c r="AV14" s="45"/>
      <c r="AW14" s="58" t="s">
        <v>2238</v>
      </c>
      <c r="AX14" s="58" t="s">
        <v>2539</v>
      </c>
    </row>
    <row r="15" spans="1:181" x14ac:dyDescent="0.3">
      <c r="A15" s="43">
        <v>14</v>
      </c>
      <c r="B15" s="43">
        <v>14</v>
      </c>
      <c r="C15" s="43" t="s">
        <v>2540</v>
      </c>
      <c r="D15" s="44">
        <v>2</v>
      </c>
      <c r="E15" s="59" t="s">
        <v>582</v>
      </c>
      <c r="F15" s="46" t="s">
        <v>63</v>
      </c>
      <c r="G15" s="47">
        <v>28024</v>
      </c>
      <c r="H15" s="48">
        <f t="shared" si="4"/>
        <v>50669</v>
      </c>
      <c r="I15" s="48">
        <f>+EOMONTH(H15,0)+1</f>
        <v>50679</v>
      </c>
      <c r="J15" s="48">
        <f>+VLOOKUP(E15,'[1]DATA 06.2023'!$E$2:$J$390,6,0)</f>
        <v>50679</v>
      </c>
      <c r="K15" s="47">
        <v>36039</v>
      </c>
      <c r="L15" s="43" t="s">
        <v>26</v>
      </c>
      <c r="M15" s="49" t="s">
        <v>41</v>
      </c>
      <c r="N15" s="43" t="s">
        <v>33</v>
      </c>
      <c r="O15" s="47">
        <v>43282</v>
      </c>
      <c r="P15" s="47">
        <v>44378</v>
      </c>
      <c r="Q15" s="85" t="s">
        <v>74</v>
      </c>
      <c r="R15" s="51">
        <v>1.89</v>
      </c>
      <c r="S15" s="51">
        <v>0.25</v>
      </c>
      <c r="T15" s="45"/>
      <c r="U15" s="52">
        <f t="shared" si="3"/>
        <v>10035900</v>
      </c>
      <c r="V15" s="52">
        <f t="shared" si="0"/>
        <v>1240000</v>
      </c>
      <c r="W15" s="52">
        <f t="shared" si="1"/>
        <v>0</v>
      </c>
      <c r="X15" s="52">
        <f t="shared" si="2"/>
        <v>11275900</v>
      </c>
      <c r="Y15" s="52">
        <f>+VLOOKUP(E15,[2]Sheet1!$B$11:$J$400,9,0)</f>
        <v>10015200</v>
      </c>
      <c r="Z15" s="52"/>
      <c r="AA15" s="53" t="s">
        <v>1549</v>
      </c>
      <c r="AB15" s="45" t="s">
        <v>830</v>
      </c>
      <c r="AC15" s="45" t="str">
        <f>+VLOOKUP(E15,[3]Sheet1!$B$11:$I$388,8,0)</f>
        <v>79 - 025</v>
      </c>
      <c r="AD15" s="45" t="s">
        <v>33</v>
      </c>
      <c r="AE15" s="45" t="s">
        <v>2432</v>
      </c>
      <c r="AF15" s="87" t="s">
        <v>2432</v>
      </c>
      <c r="AG15" s="45">
        <f>+VALUE(AF15:AF416)</f>
        <v>79076017344</v>
      </c>
      <c r="AH15" s="54" t="s">
        <v>2433</v>
      </c>
      <c r="AI15" s="45" t="s">
        <v>2427</v>
      </c>
      <c r="AJ15" s="45" t="s">
        <v>831</v>
      </c>
      <c r="AK15" s="44" t="s">
        <v>832</v>
      </c>
      <c r="AL15" s="45"/>
      <c r="AM15" s="45" t="s">
        <v>96</v>
      </c>
      <c r="AN15" s="45"/>
      <c r="AO15" s="45"/>
      <c r="AP15" s="45"/>
      <c r="AQ15" s="45"/>
      <c r="AR15" s="45"/>
      <c r="AS15" s="45"/>
      <c r="AT15" s="45"/>
      <c r="AU15" s="45"/>
      <c r="AV15" s="45"/>
      <c r="AX15" s="55" t="s">
        <v>2539</v>
      </c>
    </row>
    <row r="16" spans="1:181" x14ac:dyDescent="0.3">
      <c r="A16" s="43">
        <v>15</v>
      </c>
      <c r="B16" s="43">
        <v>15</v>
      </c>
      <c r="C16" s="43" t="s">
        <v>2540</v>
      </c>
      <c r="D16" s="44">
        <v>3</v>
      </c>
      <c r="E16" s="59" t="s">
        <v>22</v>
      </c>
      <c r="F16" s="46" t="s">
        <v>66</v>
      </c>
      <c r="G16" s="47">
        <v>27610</v>
      </c>
      <c r="H16" s="48">
        <f t="shared" si="4"/>
        <v>50256</v>
      </c>
      <c r="I16" s="48">
        <f>+EOMONTH(H16,0)+1</f>
        <v>50284</v>
      </c>
      <c r="J16" s="48">
        <f>+VLOOKUP(E16,'[1]DATA 06.2023'!$E$2:$J$390,6,0)</f>
        <v>50284</v>
      </c>
      <c r="K16" s="47">
        <v>34973</v>
      </c>
      <c r="L16" s="43" t="s">
        <v>26</v>
      </c>
      <c r="M16" s="49" t="s">
        <v>41</v>
      </c>
      <c r="N16" s="43" t="s">
        <v>34</v>
      </c>
      <c r="O16" s="47">
        <v>42370</v>
      </c>
      <c r="P16" s="47">
        <v>43466</v>
      </c>
      <c r="Q16" s="50" t="s">
        <v>74</v>
      </c>
      <c r="R16" s="51">
        <v>1.89</v>
      </c>
      <c r="S16" s="51"/>
      <c r="T16" s="45"/>
      <c r="U16" s="52">
        <f t="shared" si="3"/>
        <v>10035900</v>
      </c>
      <c r="V16" s="52">
        <f t="shared" si="0"/>
        <v>0</v>
      </c>
      <c r="W16" s="52">
        <f t="shared" si="1"/>
        <v>0</v>
      </c>
      <c r="X16" s="52">
        <f t="shared" si="2"/>
        <v>10035900</v>
      </c>
      <c r="Y16" s="52">
        <f>+VLOOKUP(E16,[2]Sheet1!$B$11:$J$400,9,0)</f>
        <v>8845200</v>
      </c>
      <c r="Z16" s="52"/>
      <c r="AA16" s="53" t="s">
        <v>1551</v>
      </c>
      <c r="AB16" s="45" t="s">
        <v>738</v>
      </c>
      <c r="AC16" s="45" t="str">
        <f>+VLOOKUP(E16,[3]Sheet1!$B$11:$I$388,8,0)</f>
        <v>79 - 025</v>
      </c>
      <c r="AD16" s="45" t="s">
        <v>34</v>
      </c>
      <c r="AE16" s="45" t="s">
        <v>2755</v>
      </c>
      <c r="AF16" s="46" t="s">
        <v>837</v>
      </c>
      <c r="AG16" s="45">
        <f>+VALUE(AF16:AF440)</f>
        <v>24714003</v>
      </c>
      <c r="AH16" s="45" t="s">
        <v>838</v>
      </c>
      <c r="AI16" s="45" t="s">
        <v>599</v>
      </c>
      <c r="AJ16" s="45" t="s">
        <v>3273</v>
      </c>
      <c r="AK16" s="44" t="s">
        <v>839</v>
      </c>
      <c r="AL16" s="45" t="s">
        <v>1520</v>
      </c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55">
        <v>888665775</v>
      </c>
      <c r="AX16" s="55" t="s">
        <v>2539</v>
      </c>
    </row>
    <row r="17" spans="1:100" s="58" customFormat="1" ht="24" x14ac:dyDescent="0.3">
      <c r="A17" s="43">
        <v>16</v>
      </c>
      <c r="B17" s="43">
        <v>16</v>
      </c>
      <c r="C17" s="43" t="s">
        <v>2540</v>
      </c>
      <c r="D17" s="44">
        <v>4</v>
      </c>
      <c r="E17" s="88" t="s">
        <v>164</v>
      </c>
      <c r="F17" s="62" t="s">
        <v>371</v>
      </c>
      <c r="G17" s="47">
        <v>28976</v>
      </c>
      <c r="H17" s="48">
        <f>+DATE(YEAR(G17)+60,MONTH(G17),DAY(G17))</f>
        <v>50891</v>
      </c>
      <c r="I17" s="48">
        <v>50891</v>
      </c>
      <c r="J17" s="48">
        <f>+EOMONTH(I17,0)+1</f>
        <v>50922</v>
      </c>
      <c r="K17" s="47">
        <v>37500</v>
      </c>
      <c r="L17" s="43" t="s">
        <v>26</v>
      </c>
      <c r="M17" s="49" t="s">
        <v>41</v>
      </c>
      <c r="N17" s="43" t="s">
        <v>33</v>
      </c>
      <c r="O17" s="47">
        <v>42370</v>
      </c>
      <c r="P17" s="84" t="s">
        <v>1514</v>
      </c>
      <c r="Q17" s="85" t="s">
        <v>74</v>
      </c>
      <c r="R17" s="51">
        <v>1.89</v>
      </c>
      <c r="S17" s="51">
        <v>0.25</v>
      </c>
      <c r="T17" s="45"/>
      <c r="U17" s="52">
        <f t="shared" si="3"/>
        <v>10035900</v>
      </c>
      <c r="V17" s="52">
        <f t="shared" si="0"/>
        <v>1240000</v>
      </c>
      <c r="W17" s="52">
        <f t="shared" si="1"/>
        <v>0</v>
      </c>
      <c r="X17" s="52">
        <f t="shared" si="2"/>
        <v>11275900</v>
      </c>
      <c r="Y17" s="52">
        <f>+VLOOKUP(E17,[2]Sheet1!$B$11:$J$400,9,0)</f>
        <v>10015200</v>
      </c>
      <c r="Z17" s="52"/>
      <c r="AA17" s="53" t="s">
        <v>1642</v>
      </c>
      <c r="AB17" s="45" t="s">
        <v>3284</v>
      </c>
      <c r="AC17" s="45" t="str">
        <f>+VLOOKUP(E17,[3]Sheet1!$B$11:$I$388,8,0)</f>
        <v>79 - 030</v>
      </c>
      <c r="AD17" s="45" t="s">
        <v>33</v>
      </c>
      <c r="AE17" s="56" t="s">
        <v>3076</v>
      </c>
      <c r="AF17" s="46" t="s">
        <v>2438</v>
      </c>
      <c r="AG17" s="45">
        <f>+VALUE(AF17:AF557)</f>
        <v>264417401</v>
      </c>
      <c r="AH17" s="45" t="s">
        <v>1142</v>
      </c>
      <c r="AI17" s="45" t="s">
        <v>503</v>
      </c>
      <c r="AJ17" s="45" t="s">
        <v>1143</v>
      </c>
      <c r="AK17" s="44" t="s">
        <v>1144</v>
      </c>
      <c r="AL17" s="45"/>
      <c r="AM17" s="59" t="s">
        <v>2688</v>
      </c>
      <c r="AN17" s="45"/>
      <c r="AO17" s="45"/>
      <c r="AP17" s="45"/>
      <c r="AQ17" s="45"/>
      <c r="AR17" s="45"/>
      <c r="AS17" s="45"/>
      <c r="AT17" s="45"/>
      <c r="AU17" s="45"/>
      <c r="AV17" s="45"/>
      <c r="AW17" s="58" t="s">
        <v>2242</v>
      </c>
      <c r="AX17" s="55" t="s">
        <v>2539</v>
      </c>
    </row>
    <row r="18" spans="1:100" x14ac:dyDescent="0.3">
      <c r="A18" s="43">
        <v>17</v>
      </c>
      <c r="B18" s="43">
        <v>17</v>
      </c>
      <c r="C18" s="43" t="s">
        <v>2540</v>
      </c>
      <c r="D18" s="44">
        <v>5</v>
      </c>
      <c r="E18" s="45" t="s">
        <v>289</v>
      </c>
      <c r="F18" s="46" t="s">
        <v>57</v>
      </c>
      <c r="G18" s="47">
        <v>26870</v>
      </c>
      <c r="H18" s="48">
        <f>+DATE(YEAR(G18)+62,MONTH(G18),DAY(G18))</f>
        <v>49515</v>
      </c>
      <c r="I18" s="48">
        <f>+EOMONTH(H18,0)+1</f>
        <v>49522</v>
      </c>
      <c r="J18" s="48">
        <f>+VLOOKUP(E18,'[1]DATA 06.2023'!$E$2:$J$390,6,0)</f>
        <v>49522</v>
      </c>
      <c r="K18" s="47">
        <v>35916</v>
      </c>
      <c r="L18" s="43" t="s">
        <v>26</v>
      </c>
      <c r="M18" s="49" t="s">
        <v>43</v>
      </c>
      <c r="N18" s="43" t="s">
        <v>36</v>
      </c>
      <c r="O18" s="47">
        <v>42005</v>
      </c>
      <c r="P18" s="47"/>
      <c r="Q18" s="50" t="s">
        <v>77</v>
      </c>
      <c r="R18" s="51">
        <v>1.65</v>
      </c>
      <c r="S18" s="51"/>
      <c r="T18" s="45"/>
      <c r="U18" s="52">
        <f t="shared" si="3"/>
        <v>8761500</v>
      </c>
      <c r="V18" s="52">
        <f t="shared" si="0"/>
        <v>0</v>
      </c>
      <c r="W18" s="52">
        <f t="shared" si="1"/>
        <v>0</v>
      </c>
      <c r="X18" s="52">
        <f t="shared" si="2"/>
        <v>8761500</v>
      </c>
      <c r="Y18" s="52">
        <f>+VLOOKUP(E18,[2]Sheet1!$B$11:$J$400,9,0)</f>
        <v>7722000</v>
      </c>
      <c r="Z18" s="52"/>
      <c r="AA18" s="53" t="s">
        <v>1539</v>
      </c>
      <c r="AB18" s="45" t="s">
        <v>738</v>
      </c>
      <c r="AC18" s="45" t="str">
        <f>+VLOOKUP(E18,[3]Sheet1!$B$11:$I$388,8,0)</f>
        <v>79 - 025</v>
      </c>
      <c r="AD18" s="45" t="s">
        <v>36</v>
      </c>
      <c r="AE18" s="45" t="s">
        <v>2747</v>
      </c>
      <c r="AF18" s="46" t="s">
        <v>781</v>
      </c>
      <c r="AG18" s="45">
        <f>+VALUE(AF18:AF418)</f>
        <v>24859836</v>
      </c>
      <c r="AH18" s="45" t="s">
        <v>782</v>
      </c>
      <c r="AI18" s="45" t="s">
        <v>599</v>
      </c>
      <c r="AJ18" s="45" t="s">
        <v>783</v>
      </c>
      <c r="AK18" s="44" t="s">
        <v>784</v>
      </c>
      <c r="AL18" s="45"/>
      <c r="AM18" s="45"/>
      <c r="AN18" s="45" t="s">
        <v>91</v>
      </c>
      <c r="AO18" s="45"/>
      <c r="AP18" s="45"/>
      <c r="AQ18" s="45"/>
      <c r="AR18" s="45"/>
      <c r="AS18" s="45"/>
      <c r="AT18" s="45"/>
      <c r="AU18" s="45"/>
      <c r="AV18" s="45"/>
      <c r="AX18" s="55" t="s">
        <v>2539</v>
      </c>
    </row>
    <row r="19" spans="1:100" x14ac:dyDescent="0.3">
      <c r="A19" s="43">
        <v>18</v>
      </c>
      <c r="B19" s="43">
        <v>18</v>
      </c>
      <c r="C19" s="43" t="s">
        <v>2540</v>
      </c>
      <c r="D19" s="44">
        <v>6</v>
      </c>
      <c r="E19" s="89" t="s">
        <v>2529</v>
      </c>
      <c r="F19" s="62" t="s">
        <v>2530</v>
      </c>
      <c r="G19" s="47">
        <v>31697</v>
      </c>
      <c r="H19" s="48">
        <f>+DATE(YEAR(G19)+60,MONTH(G19),DAY(G19))</f>
        <v>53612</v>
      </c>
      <c r="I19" s="48">
        <v>53612</v>
      </c>
      <c r="J19" s="48">
        <f>+EOMONTH(I19,0)+1</f>
        <v>53632</v>
      </c>
      <c r="K19" s="47">
        <v>44743</v>
      </c>
      <c r="L19" s="43" t="s">
        <v>26</v>
      </c>
      <c r="M19" s="49" t="s">
        <v>41</v>
      </c>
      <c r="N19" s="43" t="s">
        <v>34</v>
      </c>
      <c r="O19" s="47">
        <v>45505</v>
      </c>
      <c r="P19" s="47">
        <v>46600</v>
      </c>
      <c r="Q19" s="60" t="s">
        <v>71</v>
      </c>
      <c r="R19" s="49">
        <v>1.69</v>
      </c>
      <c r="S19" s="51"/>
      <c r="T19" s="45"/>
      <c r="U19" s="52">
        <f t="shared" si="3"/>
        <v>8973900</v>
      </c>
      <c r="V19" s="52">
        <f t="shared" si="0"/>
        <v>0</v>
      </c>
      <c r="W19" s="52">
        <f t="shared" si="1"/>
        <v>0</v>
      </c>
      <c r="X19" s="52">
        <f t="shared" si="2"/>
        <v>8973900</v>
      </c>
      <c r="Y19" s="52">
        <f>+VLOOKUP(E19,[2]Sheet1!$B$11:$J$400,9,0)</f>
        <v>7020000</v>
      </c>
      <c r="Z19" s="52"/>
      <c r="AA19" s="53" t="s">
        <v>2531</v>
      </c>
      <c r="AB19" s="45" t="s">
        <v>592</v>
      </c>
      <c r="AC19" s="45" t="str">
        <f>+VLOOKUP(E19,[3]Sheet1!$B$11:$I$388,8,0)</f>
        <v>79 - 034</v>
      </c>
      <c r="AD19" s="45" t="s">
        <v>34</v>
      </c>
      <c r="AE19" s="45" t="s">
        <v>2532</v>
      </c>
      <c r="AF19" s="46" t="s">
        <v>2532</v>
      </c>
      <c r="AG19" s="45">
        <f>+VALUE(AF19:AF421)</f>
        <v>75186000869</v>
      </c>
      <c r="AH19" s="54" t="s">
        <v>2533</v>
      </c>
      <c r="AI19" s="45" t="s">
        <v>2427</v>
      </c>
      <c r="AJ19" s="45" t="s">
        <v>841</v>
      </c>
      <c r="AK19" s="44">
        <v>26596</v>
      </c>
      <c r="AL19" s="45"/>
      <c r="AM19" s="45" t="s">
        <v>2534</v>
      </c>
      <c r="AN19" s="45"/>
      <c r="AO19" s="45"/>
      <c r="AP19" s="45"/>
      <c r="AQ19" s="47">
        <v>44743</v>
      </c>
      <c r="AR19" s="45"/>
      <c r="AS19" s="45"/>
      <c r="AT19" s="45"/>
      <c r="AU19" s="45"/>
      <c r="AV19" s="45"/>
      <c r="AW19" s="77" t="s">
        <v>2535</v>
      </c>
      <c r="AX19" s="55" t="s">
        <v>2539</v>
      </c>
    </row>
    <row r="20" spans="1:100" x14ac:dyDescent="0.3">
      <c r="A20" s="43">
        <v>19</v>
      </c>
      <c r="B20" s="43">
        <v>19</v>
      </c>
      <c r="C20" s="43" t="s">
        <v>2540</v>
      </c>
      <c r="D20" s="44">
        <v>7</v>
      </c>
      <c r="E20" s="89" t="s">
        <v>3427</v>
      </c>
      <c r="F20" s="62" t="s">
        <v>3435</v>
      </c>
      <c r="G20" s="47">
        <v>36659</v>
      </c>
      <c r="H20" s="48">
        <f>+DATE(YEAR(G20)+60,MONTH(G20),DAY(G20))</f>
        <v>58574</v>
      </c>
      <c r="I20" s="48">
        <v>58574</v>
      </c>
      <c r="J20" s="48">
        <f>+EOMONTH(I20,0)+1</f>
        <v>58593</v>
      </c>
      <c r="K20" s="47">
        <v>45839</v>
      </c>
      <c r="L20" s="43" t="s">
        <v>26</v>
      </c>
      <c r="M20" s="49" t="s">
        <v>43</v>
      </c>
      <c r="N20" s="43" t="s">
        <v>34</v>
      </c>
      <c r="O20" s="47">
        <v>45839</v>
      </c>
      <c r="P20" s="47">
        <v>46935</v>
      </c>
      <c r="Q20" s="60" t="s">
        <v>73</v>
      </c>
      <c r="R20" s="49">
        <v>1.5</v>
      </c>
      <c r="S20" s="51"/>
      <c r="T20" s="45"/>
      <c r="U20" s="52">
        <f t="shared" si="3"/>
        <v>7965000</v>
      </c>
      <c r="V20" s="52">
        <f>+S20*4960000</f>
        <v>0</v>
      </c>
      <c r="W20" s="52">
        <f>+T20*2340000</f>
        <v>0</v>
      </c>
      <c r="X20" s="52">
        <f t="shared" si="2"/>
        <v>7965000</v>
      </c>
      <c r="Y20" s="52"/>
      <c r="Z20" s="52"/>
      <c r="AA20" s="73">
        <v>7932554679</v>
      </c>
      <c r="AB20" s="45" t="s">
        <v>787</v>
      </c>
      <c r="AC20" s="45" t="e">
        <f>+VLOOKUP(E20,[3]Sheet1!$B$11:$I$388,8,0)</f>
        <v>#N/A</v>
      </c>
      <c r="AD20" s="45" t="s">
        <v>34</v>
      </c>
      <c r="AE20" s="90" t="s">
        <v>3429</v>
      </c>
      <c r="AF20" s="46"/>
      <c r="AG20" s="45"/>
      <c r="AH20" s="54"/>
      <c r="AI20" s="45" t="s">
        <v>2427</v>
      </c>
      <c r="AJ20" s="45" t="s">
        <v>3428</v>
      </c>
      <c r="AK20" s="44"/>
      <c r="AL20" s="45"/>
      <c r="AM20" s="45" t="s">
        <v>3403</v>
      </c>
      <c r="AN20" s="45"/>
      <c r="AO20" s="45"/>
      <c r="AP20" s="45"/>
      <c r="AQ20" s="47"/>
      <c r="AR20" s="45"/>
      <c r="AS20" s="47">
        <v>45839</v>
      </c>
      <c r="AT20" s="45"/>
      <c r="AU20" s="45"/>
      <c r="AV20" s="45"/>
      <c r="AW20" s="77"/>
      <c r="AX20" s="55" t="s">
        <v>2539</v>
      </c>
    </row>
    <row r="21" spans="1:100" x14ac:dyDescent="0.3">
      <c r="A21" s="43">
        <v>20</v>
      </c>
      <c r="B21" s="43">
        <v>20</v>
      </c>
      <c r="C21" s="43" t="s">
        <v>2540</v>
      </c>
      <c r="D21" s="44">
        <v>8</v>
      </c>
      <c r="E21" s="47" t="s">
        <v>15</v>
      </c>
      <c r="F21" s="46" t="s">
        <v>58</v>
      </c>
      <c r="G21" s="47">
        <v>25634</v>
      </c>
      <c r="H21" s="48">
        <f t="shared" ref="H21:H32" si="5">+DATE(YEAR(G21)+62,MONTH(G21),DAY(G21))</f>
        <v>48280</v>
      </c>
      <c r="I21" s="48">
        <f t="shared" ref="I21:I32" si="6">+EOMONTH(H21,0)+1</f>
        <v>48305</v>
      </c>
      <c r="J21" s="48">
        <f>+VLOOKUP(E21,'[1]DATA 06.2023'!$E$2:$J$390,6,0)</f>
        <v>48305</v>
      </c>
      <c r="K21" s="47">
        <v>34366</v>
      </c>
      <c r="L21" s="43" t="s">
        <v>736</v>
      </c>
      <c r="M21" s="49" t="s">
        <v>43</v>
      </c>
      <c r="N21" s="43" t="s">
        <v>3439</v>
      </c>
      <c r="O21" s="47">
        <v>38961</v>
      </c>
      <c r="P21" s="47"/>
      <c r="Q21" s="50" t="s">
        <v>75</v>
      </c>
      <c r="R21" s="51">
        <v>1.62</v>
      </c>
      <c r="S21" s="51">
        <v>0.06</v>
      </c>
      <c r="T21" s="45"/>
      <c r="U21" s="52">
        <f t="shared" si="3"/>
        <v>8602200</v>
      </c>
      <c r="V21" s="52">
        <f t="shared" si="0"/>
        <v>297600</v>
      </c>
      <c r="W21" s="52">
        <f t="shared" si="1"/>
        <v>0</v>
      </c>
      <c r="X21" s="52">
        <f t="shared" si="2"/>
        <v>8899800</v>
      </c>
      <c r="Y21" s="52">
        <f>+VLOOKUP(E21,[2]Sheet1!$B$11:$J$400,9,0)</f>
        <v>7862400</v>
      </c>
      <c r="Z21" s="52"/>
      <c r="AA21" s="53" t="s">
        <v>1540</v>
      </c>
      <c r="AB21" s="45" t="s">
        <v>787</v>
      </c>
      <c r="AC21" s="45" t="str">
        <f>+VLOOKUP(E21,[3]Sheet1!$B$11:$I$388,8,0)</f>
        <v>79 - 024</v>
      </c>
      <c r="AD21" s="45" t="s">
        <v>288</v>
      </c>
      <c r="AE21" s="56" t="s">
        <v>2748</v>
      </c>
      <c r="AF21" s="46" t="s">
        <v>788</v>
      </c>
      <c r="AG21" s="45">
        <f>+VALUE(AF21:AF423)</f>
        <v>22308711</v>
      </c>
      <c r="AH21" s="45" t="s">
        <v>789</v>
      </c>
      <c r="AI21" s="45" t="s">
        <v>599</v>
      </c>
      <c r="AJ21" s="45" t="s">
        <v>790</v>
      </c>
      <c r="AK21" s="44" t="s">
        <v>1848</v>
      </c>
      <c r="AL21" s="45"/>
      <c r="AM21" s="45"/>
      <c r="AN21" s="45"/>
      <c r="AO21" s="45"/>
      <c r="AP21" s="45" t="s">
        <v>78</v>
      </c>
      <c r="AQ21" s="45"/>
      <c r="AR21" s="45"/>
      <c r="AS21" s="45"/>
      <c r="AT21" s="45"/>
      <c r="AU21" s="45"/>
      <c r="AV21" s="45"/>
      <c r="AX21" s="55" t="s">
        <v>2539</v>
      </c>
    </row>
    <row r="22" spans="1:100" s="58" customFormat="1" x14ac:dyDescent="0.3">
      <c r="A22" s="43">
        <v>21</v>
      </c>
      <c r="B22" s="43">
        <v>21</v>
      </c>
      <c r="C22" s="43" t="s">
        <v>2540</v>
      </c>
      <c r="D22" s="44">
        <v>9</v>
      </c>
      <c r="E22" s="59" t="s">
        <v>3011</v>
      </c>
      <c r="F22" s="46" t="s">
        <v>2731</v>
      </c>
      <c r="G22" s="47">
        <v>33449</v>
      </c>
      <c r="H22" s="48">
        <f t="shared" si="5"/>
        <v>56095</v>
      </c>
      <c r="I22" s="48">
        <f t="shared" si="6"/>
        <v>56097</v>
      </c>
      <c r="J22" s="48" t="e">
        <f>+VLOOKUP(E22,'[1]DATA 06.2023'!$E$2:$J$390,6,0)</f>
        <v>#REF!</v>
      </c>
      <c r="K22" s="47">
        <v>44994</v>
      </c>
      <c r="L22" s="43" t="s">
        <v>736</v>
      </c>
      <c r="M22" s="49" t="s">
        <v>43</v>
      </c>
      <c r="N22" s="43" t="s">
        <v>38</v>
      </c>
      <c r="O22" s="47">
        <v>45025</v>
      </c>
      <c r="P22" s="84" t="s">
        <v>3468</v>
      </c>
      <c r="Q22" s="60" t="s">
        <v>3241</v>
      </c>
      <c r="R22" s="43">
        <v>1.44</v>
      </c>
      <c r="S22" s="51"/>
      <c r="T22" s="45"/>
      <c r="U22" s="52">
        <f t="shared" si="3"/>
        <v>7646400</v>
      </c>
      <c r="V22" s="52">
        <f t="shared" si="0"/>
        <v>0</v>
      </c>
      <c r="W22" s="52">
        <f t="shared" si="1"/>
        <v>0</v>
      </c>
      <c r="X22" s="52">
        <f t="shared" si="2"/>
        <v>7646400</v>
      </c>
      <c r="Y22" s="52">
        <f>+VLOOKUP(E22,[2]Sheet1!$B$11:$J$400,9,0)</f>
        <v>6364800</v>
      </c>
      <c r="Z22" s="52"/>
      <c r="AA22" s="53" t="s">
        <v>3018</v>
      </c>
      <c r="AB22" s="45" t="s">
        <v>3281</v>
      </c>
      <c r="AC22" s="45" t="str">
        <f>+VLOOKUP(E22,[3]Sheet1!$B$11:$I$388,8,0)</f>
        <v>79 - 028</v>
      </c>
      <c r="AD22" s="45" t="s">
        <v>288</v>
      </c>
      <c r="AE22" s="56" t="s">
        <v>2732</v>
      </c>
      <c r="AF22" s="46"/>
      <c r="AG22" s="56" t="s">
        <v>2732</v>
      </c>
      <c r="AH22" s="54" t="s">
        <v>2733</v>
      </c>
      <c r="AI22" s="45" t="s">
        <v>2427</v>
      </c>
      <c r="AJ22" s="45" t="s">
        <v>2734</v>
      </c>
      <c r="AK22" s="44">
        <v>27223</v>
      </c>
      <c r="AL22" s="45"/>
      <c r="AM22" s="45"/>
      <c r="AN22" s="45"/>
      <c r="AO22" s="45"/>
      <c r="AP22" s="45" t="s">
        <v>78</v>
      </c>
      <c r="AQ22" s="47">
        <v>44994</v>
      </c>
      <c r="AR22" s="45"/>
      <c r="AS22" s="45"/>
      <c r="AT22" s="47">
        <v>45025</v>
      </c>
      <c r="AU22" s="45"/>
      <c r="AV22" s="47">
        <v>45756</v>
      </c>
      <c r="AW22" s="77" t="s">
        <v>2735</v>
      </c>
      <c r="AX22" s="55" t="s">
        <v>2539</v>
      </c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</row>
    <row r="23" spans="1:100" s="58" customFormat="1" x14ac:dyDescent="0.3">
      <c r="A23" s="43">
        <v>22</v>
      </c>
      <c r="B23" s="43">
        <v>22</v>
      </c>
      <c r="C23" s="43" t="s">
        <v>2540</v>
      </c>
      <c r="D23" s="44">
        <v>10</v>
      </c>
      <c r="E23" s="59" t="s">
        <v>3478</v>
      </c>
      <c r="F23" s="46" t="s">
        <v>3479</v>
      </c>
      <c r="G23" s="47">
        <v>36797</v>
      </c>
      <c r="H23" s="48">
        <f t="shared" si="5"/>
        <v>59442</v>
      </c>
      <c r="I23" s="48">
        <f t="shared" si="6"/>
        <v>59445</v>
      </c>
      <c r="J23" s="48">
        <v>59445</v>
      </c>
      <c r="K23" s="47">
        <v>46023</v>
      </c>
      <c r="L23" s="43" t="s">
        <v>736</v>
      </c>
      <c r="M23" s="49" t="s">
        <v>43</v>
      </c>
      <c r="N23" s="43" t="s">
        <v>38</v>
      </c>
      <c r="O23" s="47">
        <v>46023</v>
      </c>
      <c r="P23" s="84" t="s">
        <v>3480</v>
      </c>
      <c r="Q23" s="85" t="s">
        <v>2527</v>
      </c>
      <c r="R23" s="43">
        <v>1.33</v>
      </c>
      <c r="S23" s="51"/>
      <c r="T23" s="45"/>
      <c r="U23" s="52">
        <f t="shared" si="3"/>
        <v>7062300</v>
      </c>
      <c r="V23" s="52">
        <f>+S23*4960000</f>
        <v>0</v>
      </c>
      <c r="W23" s="52">
        <f>+T23*2340000</f>
        <v>0</v>
      </c>
      <c r="X23" s="52">
        <f>+U23+V23+W23</f>
        <v>7062300</v>
      </c>
      <c r="Y23" s="52"/>
      <c r="Z23" s="52"/>
      <c r="AA23" s="73">
        <v>3420970967</v>
      </c>
      <c r="AB23" s="45"/>
      <c r="AC23" s="45"/>
      <c r="AD23" s="45" t="s">
        <v>288</v>
      </c>
      <c r="AE23" s="87" t="s">
        <v>3481</v>
      </c>
      <c r="AF23" s="46"/>
      <c r="AG23" s="56"/>
      <c r="AH23" s="54"/>
      <c r="AI23" s="45" t="s">
        <v>2427</v>
      </c>
      <c r="AJ23" s="45" t="s">
        <v>3482</v>
      </c>
      <c r="AK23" s="44"/>
      <c r="AL23" s="45"/>
      <c r="AM23" s="45" t="s">
        <v>512</v>
      </c>
      <c r="AN23" s="45"/>
      <c r="AO23" s="45"/>
      <c r="AP23" s="45"/>
      <c r="AQ23" s="47"/>
      <c r="AR23" s="45"/>
      <c r="AS23" s="45"/>
      <c r="AT23" s="47"/>
      <c r="AU23" s="45"/>
      <c r="AV23" s="47"/>
      <c r="AW23" s="77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</row>
    <row r="24" spans="1:100" x14ac:dyDescent="0.3">
      <c r="A24" s="43">
        <v>23</v>
      </c>
      <c r="B24" s="43">
        <v>23</v>
      </c>
      <c r="C24" s="43" t="s">
        <v>2540</v>
      </c>
      <c r="D24" s="44">
        <v>11</v>
      </c>
      <c r="E24" s="45" t="s">
        <v>2674</v>
      </c>
      <c r="F24" s="46" t="s">
        <v>2675</v>
      </c>
      <c r="G24" s="47">
        <v>34501</v>
      </c>
      <c r="H24" s="48">
        <f t="shared" si="5"/>
        <v>57147</v>
      </c>
      <c r="I24" s="48">
        <f t="shared" si="6"/>
        <v>57162</v>
      </c>
      <c r="J24" s="48" t="e">
        <f>+VLOOKUP(E24,'[1]DATA 06.2023'!$E$2:$J$390,6,0)</f>
        <v>#REF!</v>
      </c>
      <c r="K24" s="47">
        <v>44927</v>
      </c>
      <c r="L24" s="43" t="s">
        <v>737</v>
      </c>
      <c r="M24" s="49" t="s">
        <v>43</v>
      </c>
      <c r="N24" s="43" t="s">
        <v>39</v>
      </c>
      <c r="O24" s="47">
        <v>44958</v>
      </c>
      <c r="P24" s="47">
        <v>46054</v>
      </c>
      <c r="Q24" s="50" t="s">
        <v>2527</v>
      </c>
      <c r="R24" s="51">
        <v>1.26</v>
      </c>
      <c r="S24" s="51"/>
      <c r="T24" s="45"/>
      <c r="U24" s="52">
        <f t="shared" si="3"/>
        <v>6690600</v>
      </c>
      <c r="V24" s="52">
        <f t="shared" si="0"/>
        <v>0</v>
      </c>
      <c r="W24" s="52">
        <f t="shared" si="1"/>
        <v>0</v>
      </c>
      <c r="X24" s="52">
        <f t="shared" si="2"/>
        <v>6690600</v>
      </c>
      <c r="Y24" s="52">
        <f>+VLOOKUP(E24,[2]Sheet1!$B$11:$J$400,9,0)</f>
        <v>5896800</v>
      </c>
      <c r="Z24" s="52"/>
      <c r="AA24" s="53" t="s">
        <v>3215</v>
      </c>
      <c r="AB24" s="45" t="s">
        <v>3282</v>
      </c>
      <c r="AC24" s="45" t="str">
        <f>+VLOOKUP(E24,[3]Sheet1!$B$11:$I$388,8,0)</f>
        <v>79 - 009</v>
      </c>
      <c r="AD24" s="45" t="s">
        <v>1791</v>
      </c>
      <c r="AE24" s="45" t="s">
        <v>2676</v>
      </c>
      <c r="AF24" s="46" t="s">
        <v>2676</v>
      </c>
      <c r="AG24" s="45">
        <f>+VALUE(AF24:AF425)</f>
        <v>40094005338</v>
      </c>
      <c r="AH24" s="54" t="s">
        <v>2677</v>
      </c>
      <c r="AI24" s="45" t="s">
        <v>2427</v>
      </c>
      <c r="AJ24" s="45" t="s">
        <v>2678</v>
      </c>
      <c r="AK24" s="44"/>
      <c r="AL24" s="45"/>
      <c r="AM24" s="45"/>
      <c r="AN24" s="45"/>
      <c r="AO24" s="45"/>
      <c r="AP24" s="91" t="s">
        <v>3025</v>
      </c>
      <c r="AQ24" s="47">
        <v>44927</v>
      </c>
      <c r="AR24" s="45"/>
      <c r="AS24" s="45"/>
      <c r="AT24" s="47">
        <v>44958</v>
      </c>
      <c r="AU24" s="45"/>
      <c r="AV24" s="45"/>
      <c r="AW24" s="77" t="s">
        <v>2679</v>
      </c>
      <c r="AX24" s="55" t="s">
        <v>2539</v>
      </c>
    </row>
    <row r="25" spans="1:100" x14ac:dyDescent="0.3">
      <c r="A25" s="43">
        <v>24</v>
      </c>
      <c r="B25" s="43">
        <v>24</v>
      </c>
      <c r="C25" s="43" t="s">
        <v>2540</v>
      </c>
      <c r="D25" s="44">
        <v>12</v>
      </c>
      <c r="E25" s="59" t="s">
        <v>1869</v>
      </c>
      <c r="F25" s="46" t="s">
        <v>59</v>
      </c>
      <c r="G25" s="47">
        <v>28081</v>
      </c>
      <c r="H25" s="48">
        <f t="shared" si="5"/>
        <v>50726</v>
      </c>
      <c r="I25" s="48">
        <f t="shared" si="6"/>
        <v>50740</v>
      </c>
      <c r="J25" s="48">
        <f>+VLOOKUP(E25,'[1]DATA 06.2023'!$E$2:$J$390,6,0)</f>
        <v>50740</v>
      </c>
      <c r="K25" s="47">
        <v>36220</v>
      </c>
      <c r="L25" s="43" t="s">
        <v>737</v>
      </c>
      <c r="M25" s="49" t="s">
        <v>43</v>
      </c>
      <c r="N25" s="43" t="s">
        <v>39</v>
      </c>
      <c r="O25" s="47">
        <v>42217</v>
      </c>
      <c r="P25" s="47"/>
      <c r="Q25" s="50" t="s">
        <v>75</v>
      </c>
      <c r="R25" s="51">
        <v>1.5</v>
      </c>
      <c r="S25" s="51"/>
      <c r="T25" s="45"/>
      <c r="U25" s="52">
        <f t="shared" si="3"/>
        <v>7965000</v>
      </c>
      <c r="V25" s="52">
        <f t="shared" si="0"/>
        <v>0</v>
      </c>
      <c r="W25" s="52">
        <f t="shared" si="1"/>
        <v>0</v>
      </c>
      <c r="X25" s="52">
        <f t="shared" si="2"/>
        <v>7965000</v>
      </c>
      <c r="Y25" s="52">
        <f>+VLOOKUP(E25,[2]Sheet1!$B$11:$J$400,9,0)</f>
        <v>7020000</v>
      </c>
      <c r="Z25" s="52"/>
      <c r="AA25" s="53" t="s">
        <v>1541</v>
      </c>
      <c r="AB25" s="45" t="s">
        <v>756</v>
      </c>
      <c r="AC25" s="45" t="str">
        <f>+VLOOKUP(E25,[3]Sheet1!$B$11:$I$388,8,0)</f>
        <v>79 - 024</v>
      </c>
      <c r="AD25" s="45" t="s">
        <v>1791</v>
      </c>
      <c r="AE25" s="45" t="s">
        <v>2749</v>
      </c>
      <c r="AF25" s="46" t="s">
        <v>792</v>
      </c>
      <c r="AG25" s="45">
        <f>+VALUE(AF25:AF426)</f>
        <v>31067079</v>
      </c>
      <c r="AH25" s="45" t="s">
        <v>793</v>
      </c>
      <c r="AI25" s="45" t="s">
        <v>794</v>
      </c>
      <c r="AJ25" s="45" t="s">
        <v>795</v>
      </c>
      <c r="AK25" s="44" t="s">
        <v>796</v>
      </c>
      <c r="AL25" s="45"/>
      <c r="AM25" s="45"/>
      <c r="AN25" s="45"/>
      <c r="AO25" s="45" t="s">
        <v>93</v>
      </c>
      <c r="AP25" s="45"/>
      <c r="AQ25" s="45"/>
      <c r="AR25" s="45"/>
      <c r="AS25" s="45"/>
      <c r="AT25" s="45"/>
      <c r="AU25" s="45"/>
      <c r="AV25" s="45"/>
      <c r="AX25" s="55" t="s">
        <v>2539</v>
      </c>
    </row>
    <row r="26" spans="1:100" x14ac:dyDescent="0.3">
      <c r="A26" s="43">
        <v>25</v>
      </c>
      <c r="B26" s="43">
        <v>25</v>
      </c>
      <c r="C26" s="43" t="s">
        <v>2540</v>
      </c>
      <c r="D26" s="44">
        <v>13</v>
      </c>
      <c r="E26" s="45" t="s">
        <v>2668</v>
      </c>
      <c r="F26" s="46" t="s">
        <v>2669</v>
      </c>
      <c r="G26" s="47">
        <v>35551</v>
      </c>
      <c r="H26" s="48">
        <f t="shared" si="5"/>
        <v>58196</v>
      </c>
      <c r="I26" s="48">
        <f t="shared" si="6"/>
        <v>58227</v>
      </c>
      <c r="J26" s="48" t="e">
        <f>+VLOOKUP(E26,'[1]DATA 06.2023'!$E$2:$J$390,6,0)</f>
        <v>#REF!</v>
      </c>
      <c r="K26" s="47">
        <v>44927</v>
      </c>
      <c r="L26" s="43" t="s">
        <v>737</v>
      </c>
      <c r="M26" s="49" t="s">
        <v>43</v>
      </c>
      <c r="N26" s="43" t="s">
        <v>39</v>
      </c>
      <c r="O26" s="47">
        <v>44958</v>
      </c>
      <c r="P26" s="47">
        <v>46054</v>
      </c>
      <c r="Q26" s="50" t="s">
        <v>2527</v>
      </c>
      <c r="R26" s="51">
        <v>1.26</v>
      </c>
      <c r="S26" s="51"/>
      <c r="T26" s="45"/>
      <c r="U26" s="52">
        <f t="shared" si="3"/>
        <v>6690600</v>
      </c>
      <c r="V26" s="52">
        <f t="shared" si="0"/>
        <v>0</v>
      </c>
      <c r="W26" s="52">
        <f t="shared" si="1"/>
        <v>0</v>
      </c>
      <c r="X26" s="52">
        <f t="shared" si="2"/>
        <v>6690600</v>
      </c>
      <c r="Y26" s="52">
        <f>+VLOOKUP(E26,[2]Sheet1!$B$11:$J$400,9,0)</f>
        <v>5896800</v>
      </c>
      <c r="Z26" s="52"/>
      <c r="AA26" s="53" t="s">
        <v>2693</v>
      </c>
      <c r="AB26" s="45" t="s">
        <v>592</v>
      </c>
      <c r="AC26" s="45" t="str">
        <f>+VLOOKUP(E26,[3]Sheet1!$B$11:$I$388,8,0)</f>
        <v>79 - 009</v>
      </c>
      <c r="AD26" s="45" t="s">
        <v>1791</v>
      </c>
      <c r="AE26" s="45" t="s">
        <v>2670</v>
      </c>
      <c r="AF26" s="46" t="s">
        <v>2670</v>
      </c>
      <c r="AG26" s="45">
        <f>+VALUE(AF26:AF427)</f>
        <v>54097003158</v>
      </c>
      <c r="AH26" s="54" t="s">
        <v>2671</v>
      </c>
      <c r="AI26" s="45" t="s">
        <v>606</v>
      </c>
      <c r="AJ26" s="45" t="s">
        <v>2672</v>
      </c>
      <c r="AK26" s="44">
        <v>22117</v>
      </c>
      <c r="AL26" s="45"/>
      <c r="AM26" s="45"/>
      <c r="AN26" s="45"/>
      <c r="AO26" s="45"/>
      <c r="AP26" s="91" t="s">
        <v>3025</v>
      </c>
      <c r="AQ26" s="47">
        <v>44927</v>
      </c>
      <c r="AR26" s="45"/>
      <c r="AS26" s="45"/>
      <c r="AT26" s="47">
        <v>44958</v>
      </c>
      <c r="AU26" s="45"/>
      <c r="AV26" s="56"/>
      <c r="AW26" s="77" t="s">
        <v>2673</v>
      </c>
      <c r="AX26" s="55" t="s">
        <v>2539</v>
      </c>
    </row>
    <row r="27" spans="1:100" x14ac:dyDescent="0.3">
      <c r="A27" s="43">
        <v>26</v>
      </c>
      <c r="B27" s="43">
        <v>26</v>
      </c>
      <c r="C27" s="43" t="s">
        <v>2540</v>
      </c>
      <c r="D27" s="44">
        <v>14</v>
      </c>
      <c r="E27" s="45" t="s">
        <v>3161</v>
      </c>
      <c r="F27" s="46" t="s">
        <v>3162</v>
      </c>
      <c r="G27" s="47">
        <v>33514</v>
      </c>
      <c r="H27" s="48">
        <f t="shared" si="5"/>
        <v>56160</v>
      </c>
      <c r="I27" s="48">
        <f t="shared" si="6"/>
        <v>56189</v>
      </c>
      <c r="J27" s="48" t="e">
        <f>+VLOOKUP(E27,'[1]DATA 06.2023'!$E$2:$J$390,6,0)</f>
        <v>#N/A</v>
      </c>
      <c r="K27" s="47">
        <v>45413</v>
      </c>
      <c r="L27" s="43" t="s">
        <v>737</v>
      </c>
      <c r="M27" s="49" t="s">
        <v>43</v>
      </c>
      <c r="N27" s="43" t="s">
        <v>39</v>
      </c>
      <c r="O27" s="47">
        <v>45444</v>
      </c>
      <c r="P27" s="47">
        <v>46539</v>
      </c>
      <c r="Q27" s="50" t="s">
        <v>2527</v>
      </c>
      <c r="R27" s="51">
        <v>1.26</v>
      </c>
      <c r="S27" s="51"/>
      <c r="T27" s="45"/>
      <c r="U27" s="52">
        <f t="shared" si="3"/>
        <v>6690600</v>
      </c>
      <c r="V27" s="52">
        <f t="shared" si="0"/>
        <v>0</v>
      </c>
      <c r="W27" s="52">
        <f t="shared" si="1"/>
        <v>0</v>
      </c>
      <c r="X27" s="52">
        <f t="shared" si="2"/>
        <v>6690600</v>
      </c>
      <c r="Y27" s="52">
        <f>+VLOOKUP(E27,[2]Sheet1!$B$11:$J$400,9,0)</f>
        <v>5896800</v>
      </c>
      <c r="Z27" s="52"/>
      <c r="AA27" s="53" t="s">
        <v>3206</v>
      </c>
      <c r="AB27" s="45" t="s">
        <v>592</v>
      </c>
      <c r="AC27" s="45" t="e">
        <f>+VLOOKUP(E27,[3]Sheet1!$B$11:$I$388,8,0)</f>
        <v>#N/A</v>
      </c>
      <c r="AD27" s="45" t="s">
        <v>1791</v>
      </c>
      <c r="AE27" s="56" t="s">
        <v>3163</v>
      </c>
      <c r="AF27" s="46"/>
      <c r="AG27" s="45"/>
      <c r="AH27" s="56" t="s">
        <v>3164</v>
      </c>
      <c r="AI27" s="45" t="s">
        <v>2427</v>
      </c>
      <c r="AJ27" s="45" t="s">
        <v>3165</v>
      </c>
      <c r="AK27" s="44" t="s">
        <v>3167</v>
      </c>
      <c r="AL27" s="45"/>
      <c r="AM27" s="45"/>
      <c r="AN27" s="45"/>
      <c r="AO27" s="45"/>
      <c r="AP27" s="56" t="s">
        <v>3025</v>
      </c>
      <c r="AQ27" s="47">
        <v>45413</v>
      </c>
      <c r="AR27" s="45"/>
      <c r="AS27" s="47">
        <v>45444</v>
      </c>
      <c r="AT27" s="45"/>
      <c r="AU27" s="45"/>
      <c r="AV27" s="45"/>
      <c r="AW27" s="77" t="s">
        <v>3166</v>
      </c>
      <c r="AX27" s="55" t="s">
        <v>2539</v>
      </c>
    </row>
    <row r="28" spans="1:100" x14ac:dyDescent="0.3">
      <c r="A28" s="43">
        <v>27</v>
      </c>
      <c r="B28" s="43">
        <v>27</v>
      </c>
      <c r="C28" s="43" t="s">
        <v>2540</v>
      </c>
      <c r="D28" s="44">
        <v>15</v>
      </c>
      <c r="E28" s="64" t="s">
        <v>16</v>
      </c>
      <c r="F28" s="46" t="s">
        <v>60</v>
      </c>
      <c r="G28" s="47">
        <v>31330</v>
      </c>
      <c r="H28" s="48">
        <f t="shared" si="5"/>
        <v>53975</v>
      </c>
      <c r="I28" s="48">
        <f t="shared" si="6"/>
        <v>53997</v>
      </c>
      <c r="J28" s="48">
        <f>+VLOOKUP(E28,'[1]DATA 06.2023'!$E$2:$J$390,6,0)</f>
        <v>53997</v>
      </c>
      <c r="K28" s="47">
        <v>41852</v>
      </c>
      <c r="L28" s="43" t="s">
        <v>737</v>
      </c>
      <c r="M28" s="49" t="s">
        <v>43</v>
      </c>
      <c r="N28" s="43" t="s">
        <v>37</v>
      </c>
      <c r="O28" s="47">
        <v>42887</v>
      </c>
      <c r="P28" s="47">
        <v>45261</v>
      </c>
      <c r="Q28" s="50" t="s">
        <v>75</v>
      </c>
      <c r="R28" s="51">
        <v>1.5</v>
      </c>
      <c r="S28" s="51">
        <v>0.06</v>
      </c>
      <c r="T28" s="45"/>
      <c r="U28" s="52">
        <f t="shared" si="3"/>
        <v>7965000</v>
      </c>
      <c r="V28" s="52">
        <f t="shared" si="0"/>
        <v>297600</v>
      </c>
      <c r="W28" s="52">
        <f t="shared" si="1"/>
        <v>0</v>
      </c>
      <c r="X28" s="52">
        <f t="shared" si="2"/>
        <v>8262600</v>
      </c>
      <c r="Y28" s="52">
        <f>+VLOOKUP(E28,[2]Sheet1!$B$11:$J$400,9,0)</f>
        <v>7300800</v>
      </c>
      <c r="Z28" s="52"/>
      <c r="AA28" s="53" t="s">
        <v>1542</v>
      </c>
      <c r="AB28" s="45" t="s">
        <v>799</v>
      </c>
      <c r="AC28" s="45" t="str">
        <f>+VLOOKUP(E28,[3]Sheet1!$B$11:$I$388,8,0)</f>
        <v>79 - 071</v>
      </c>
      <c r="AD28" s="45" t="s">
        <v>1791</v>
      </c>
      <c r="AE28" s="45" t="s">
        <v>2750</v>
      </c>
      <c r="AF28" s="46">
        <v>250742323</v>
      </c>
      <c r="AG28" s="45">
        <f>+VALUE(AF28:AF429)</f>
        <v>250742323</v>
      </c>
      <c r="AH28" s="45" t="s">
        <v>800</v>
      </c>
      <c r="AI28" s="45" t="s">
        <v>801</v>
      </c>
      <c r="AJ28" s="45" t="s">
        <v>802</v>
      </c>
      <c r="AK28" s="44" t="s">
        <v>803</v>
      </c>
      <c r="AL28" s="45"/>
      <c r="AM28" s="45"/>
      <c r="AN28" s="45"/>
      <c r="AO28" s="45"/>
      <c r="AP28" s="45" t="s">
        <v>94</v>
      </c>
      <c r="AQ28" s="45"/>
      <c r="AR28" s="45"/>
      <c r="AS28" s="45"/>
      <c r="AT28" s="45"/>
      <c r="AU28" s="45"/>
      <c r="AV28" s="45"/>
      <c r="AX28" s="55" t="s">
        <v>2539</v>
      </c>
    </row>
    <row r="29" spans="1:100" s="82" customFormat="1" x14ac:dyDescent="0.3">
      <c r="A29" s="43">
        <v>28</v>
      </c>
      <c r="B29" s="43">
        <v>28</v>
      </c>
      <c r="C29" s="70" t="s">
        <v>2541</v>
      </c>
      <c r="D29" s="44">
        <v>16</v>
      </c>
      <c r="E29" s="67" t="s">
        <v>124</v>
      </c>
      <c r="F29" s="66" t="s">
        <v>321</v>
      </c>
      <c r="G29" s="67">
        <v>24547</v>
      </c>
      <c r="H29" s="47">
        <v>47193</v>
      </c>
      <c r="I29" s="48">
        <f>+EOMONTH(H29,0)+1</f>
        <v>47209</v>
      </c>
      <c r="J29" s="48">
        <f>+VLOOKUP(E29,'[1]DATA 06.2023'!$E$2:$J$390,6,0)</f>
        <v>47209</v>
      </c>
      <c r="K29" s="67">
        <v>31837</v>
      </c>
      <c r="L29" s="43" t="s">
        <v>737</v>
      </c>
      <c r="M29" s="49" t="s">
        <v>43</v>
      </c>
      <c r="N29" s="70" t="s">
        <v>34</v>
      </c>
      <c r="O29" s="67">
        <v>41974</v>
      </c>
      <c r="P29" s="92"/>
      <c r="Q29" s="92" t="s">
        <v>74</v>
      </c>
      <c r="R29" s="70">
        <v>1.89</v>
      </c>
      <c r="S29" s="71"/>
      <c r="T29" s="72"/>
      <c r="U29" s="52">
        <f>+R29*5310000</f>
        <v>10035900</v>
      </c>
      <c r="V29" s="52">
        <f>+S29*4960000</f>
        <v>0</v>
      </c>
      <c r="W29" s="52">
        <f>+T29*2340000</f>
        <v>0</v>
      </c>
      <c r="X29" s="52">
        <f>+U29+V29+W29</f>
        <v>10035900</v>
      </c>
      <c r="Y29" s="52">
        <f>+VLOOKUP(E29,[2]Sheet1!$B$11:$J$400,9,0)</f>
        <v>8845200</v>
      </c>
      <c r="Z29" s="52"/>
      <c r="AA29" s="53" t="s">
        <v>1591</v>
      </c>
      <c r="AB29" s="72" t="s">
        <v>743</v>
      </c>
      <c r="AC29" s="45" t="str">
        <f>+VLOOKUP(E29,[3]Sheet1!$B$11:$I$388,8,0)</f>
        <v>79 - 536</v>
      </c>
      <c r="AD29" s="72" t="s">
        <v>34</v>
      </c>
      <c r="AE29" s="72" t="s">
        <v>982</v>
      </c>
      <c r="AF29" s="66" t="s">
        <v>982</v>
      </c>
      <c r="AG29" s="45">
        <f>+VALUE(AF29:AF493)</f>
        <v>36067000964</v>
      </c>
      <c r="AH29" s="72" t="s">
        <v>983</v>
      </c>
      <c r="AI29" s="72" t="s">
        <v>606</v>
      </c>
      <c r="AJ29" s="72" t="s">
        <v>984</v>
      </c>
      <c r="AK29" s="76" t="s">
        <v>856</v>
      </c>
      <c r="AL29" s="72"/>
      <c r="AM29" s="72" t="s">
        <v>81</v>
      </c>
      <c r="AN29" s="72"/>
      <c r="AO29" s="72"/>
      <c r="AP29" s="72"/>
      <c r="AQ29" s="72"/>
      <c r="AR29" s="72"/>
      <c r="AS29" s="72"/>
      <c r="AT29" s="72"/>
      <c r="AU29" s="72"/>
      <c r="AV29" s="72"/>
      <c r="AW29" s="77" t="s">
        <v>2190</v>
      </c>
      <c r="AX29" s="55" t="s">
        <v>2539</v>
      </c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/>
    </row>
    <row r="30" spans="1:100" x14ac:dyDescent="0.3">
      <c r="A30" s="43">
        <v>29</v>
      </c>
      <c r="B30" s="43">
        <v>29</v>
      </c>
      <c r="C30" s="43" t="s">
        <v>2540</v>
      </c>
      <c r="D30" s="45">
        <v>1</v>
      </c>
      <c r="E30" s="59" t="s">
        <v>17</v>
      </c>
      <c r="F30" s="46" t="s">
        <v>61</v>
      </c>
      <c r="G30" s="47">
        <v>27077</v>
      </c>
      <c r="H30" s="48">
        <f t="shared" si="5"/>
        <v>49722</v>
      </c>
      <c r="I30" s="48">
        <f t="shared" si="6"/>
        <v>49735</v>
      </c>
      <c r="J30" s="48">
        <f>+VLOOKUP(E30,'[1]DATA 06.2023'!$E$2:$J$390,6,0)</f>
        <v>49735</v>
      </c>
      <c r="K30" s="47">
        <v>35370</v>
      </c>
      <c r="L30" s="43" t="s">
        <v>27</v>
      </c>
      <c r="M30" s="49" t="s">
        <v>1837</v>
      </c>
      <c r="N30" s="43" t="s">
        <v>35</v>
      </c>
      <c r="O30" s="47">
        <v>42795</v>
      </c>
      <c r="P30" s="47"/>
      <c r="Q30" s="60" t="s">
        <v>74</v>
      </c>
      <c r="R30" s="51">
        <v>1.89</v>
      </c>
      <c r="S30" s="51">
        <v>0.35</v>
      </c>
      <c r="T30" s="45"/>
      <c r="U30" s="52">
        <f t="shared" si="3"/>
        <v>10035900</v>
      </c>
      <c r="V30" s="52">
        <f t="shared" si="0"/>
        <v>1736000</v>
      </c>
      <c r="W30" s="52">
        <f t="shared" si="1"/>
        <v>0</v>
      </c>
      <c r="X30" s="52">
        <f t="shared" si="2"/>
        <v>11771900</v>
      </c>
      <c r="Y30" s="52">
        <f>+VLOOKUP(E30,[2]Sheet1!$B$11:$J$400,9,0)</f>
        <v>10483200</v>
      </c>
      <c r="Z30" s="52"/>
      <c r="AA30" s="53" t="s">
        <v>1543</v>
      </c>
      <c r="AB30" s="45" t="s">
        <v>1853</v>
      </c>
      <c r="AC30" s="45" t="str">
        <f>+VLOOKUP(E30,[3]Sheet1!$B$11:$I$388,8,0)</f>
        <v>79 - 025</v>
      </c>
      <c r="AD30" s="45" t="s">
        <v>35</v>
      </c>
      <c r="AE30" s="45" t="s">
        <v>2751</v>
      </c>
      <c r="AF30" s="46" t="s">
        <v>804</v>
      </c>
      <c r="AG30" s="45">
        <f>+VALUE(AF30:AF430)</f>
        <v>151137404</v>
      </c>
      <c r="AH30" s="45" t="s">
        <v>805</v>
      </c>
      <c r="AI30" s="45" t="s">
        <v>806</v>
      </c>
      <c r="AJ30" s="45" t="s">
        <v>807</v>
      </c>
      <c r="AK30" s="44" t="s">
        <v>808</v>
      </c>
      <c r="AL30" s="45"/>
      <c r="AM30" s="45" t="s">
        <v>95</v>
      </c>
      <c r="AN30" s="45"/>
      <c r="AO30" s="45"/>
      <c r="AP30" s="45"/>
      <c r="AQ30" s="45"/>
      <c r="AR30" s="45"/>
      <c r="AS30" s="45"/>
      <c r="AT30" s="45"/>
      <c r="AU30" s="45"/>
      <c r="AV30" s="45"/>
      <c r="AX30" s="55" t="s">
        <v>2539</v>
      </c>
    </row>
    <row r="31" spans="1:100" s="58" customFormat="1" x14ac:dyDescent="0.3">
      <c r="A31" s="43">
        <v>30</v>
      </c>
      <c r="B31" s="43">
        <v>30</v>
      </c>
      <c r="C31" s="43" t="s">
        <v>2540</v>
      </c>
      <c r="D31" s="63">
        <v>2</v>
      </c>
      <c r="E31" s="59" t="s">
        <v>114</v>
      </c>
      <c r="F31" s="46" t="s">
        <v>311</v>
      </c>
      <c r="G31" s="47">
        <v>32649</v>
      </c>
      <c r="H31" s="48">
        <f t="shared" si="5"/>
        <v>55294</v>
      </c>
      <c r="I31" s="48">
        <f t="shared" si="6"/>
        <v>55305</v>
      </c>
      <c r="J31" s="48">
        <f>+VLOOKUP(E31,'[1]DATA 06.2023'!$E$2:$J$390,6,0)</f>
        <v>55305</v>
      </c>
      <c r="K31" s="47">
        <v>42339</v>
      </c>
      <c r="L31" s="43" t="s">
        <v>27</v>
      </c>
      <c r="M31" s="49" t="s">
        <v>1838</v>
      </c>
      <c r="N31" s="43" t="s">
        <v>34</v>
      </c>
      <c r="O31" s="47">
        <v>45809</v>
      </c>
      <c r="P31" s="60" t="s">
        <v>3469</v>
      </c>
      <c r="Q31" s="60" t="s">
        <v>71</v>
      </c>
      <c r="R31" s="43">
        <v>1.69</v>
      </c>
      <c r="S31" s="51"/>
      <c r="T31" s="45"/>
      <c r="U31" s="52">
        <f t="shared" si="3"/>
        <v>8973900</v>
      </c>
      <c r="V31" s="52">
        <f t="shared" si="0"/>
        <v>0</v>
      </c>
      <c r="W31" s="52">
        <f t="shared" si="1"/>
        <v>0</v>
      </c>
      <c r="X31" s="52">
        <f t="shared" si="2"/>
        <v>8973900</v>
      </c>
      <c r="Y31" s="52">
        <f>+VLOOKUP(E31,[2]Sheet1!$B$11:$J$400,9,0)</f>
        <v>7441200</v>
      </c>
      <c r="Z31" s="52"/>
      <c r="AA31" s="53" t="s">
        <v>1577</v>
      </c>
      <c r="AB31" s="45" t="s">
        <v>820</v>
      </c>
      <c r="AC31" s="45" t="str">
        <f>+VLOOKUP(E31,[3]Sheet1!$B$11:$I$388,8,0)</f>
        <v>79 - 034</v>
      </c>
      <c r="AD31" s="45" t="s">
        <v>34</v>
      </c>
      <c r="AE31" s="45" t="s">
        <v>1844</v>
      </c>
      <c r="AF31" s="62" t="s">
        <v>1844</v>
      </c>
      <c r="AG31" s="45" t="e">
        <f>+VALUE(AF56:AF410)</f>
        <v>#VALUE!</v>
      </c>
      <c r="AH31" s="56" t="s">
        <v>2430</v>
      </c>
      <c r="AI31" s="45" t="s">
        <v>940</v>
      </c>
      <c r="AJ31" s="45" t="s">
        <v>941</v>
      </c>
      <c r="AK31" s="44" t="s">
        <v>941</v>
      </c>
      <c r="AL31" s="45"/>
      <c r="AM31" s="45" t="s">
        <v>556</v>
      </c>
      <c r="AN31" s="45"/>
      <c r="AO31" s="45"/>
      <c r="AP31" s="45"/>
      <c r="AQ31" s="45"/>
      <c r="AR31" s="45"/>
      <c r="AS31" s="45"/>
      <c r="AT31" s="45"/>
      <c r="AU31" s="45"/>
      <c r="AV31" s="45"/>
      <c r="AW31" s="55"/>
      <c r="AX31" s="55" t="s">
        <v>2539</v>
      </c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</row>
    <row r="32" spans="1:100" ht="24" x14ac:dyDescent="0.3">
      <c r="A32" s="43">
        <v>31</v>
      </c>
      <c r="B32" s="43">
        <v>31</v>
      </c>
      <c r="C32" s="43" t="s">
        <v>2540</v>
      </c>
      <c r="D32" s="45">
        <v>3</v>
      </c>
      <c r="E32" s="64" t="s">
        <v>18</v>
      </c>
      <c r="F32" s="46" t="s">
        <v>44</v>
      </c>
      <c r="G32" s="47">
        <v>31707</v>
      </c>
      <c r="H32" s="48">
        <f t="shared" si="5"/>
        <v>54353</v>
      </c>
      <c r="I32" s="48">
        <f t="shared" si="6"/>
        <v>54363</v>
      </c>
      <c r="J32" s="48">
        <f>+VLOOKUP(E32,'[1]DATA 06.2023'!$E$2:$J$390,6,0)</f>
        <v>54363</v>
      </c>
      <c r="K32" s="47">
        <v>40664</v>
      </c>
      <c r="L32" s="43" t="s">
        <v>27</v>
      </c>
      <c r="M32" s="49" t="s">
        <v>1837</v>
      </c>
      <c r="N32" s="43" t="s">
        <v>33</v>
      </c>
      <c r="O32" s="47">
        <v>44378</v>
      </c>
      <c r="P32" s="47">
        <v>45474</v>
      </c>
      <c r="Q32" s="60" t="s">
        <v>76</v>
      </c>
      <c r="R32" s="51">
        <v>1.79</v>
      </c>
      <c r="S32" s="51">
        <v>0.25</v>
      </c>
      <c r="T32" s="45"/>
      <c r="U32" s="52">
        <f t="shared" si="3"/>
        <v>9504900</v>
      </c>
      <c r="V32" s="52">
        <f t="shared" si="0"/>
        <v>1240000</v>
      </c>
      <c r="W32" s="52">
        <f t="shared" si="1"/>
        <v>0</v>
      </c>
      <c r="X32" s="52">
        <f t="shared" si="2"/>
        <v>10744900</v>
      </c>
      <c r="Y32" s="52">
        <f>+VLOOKUP(E32,[2]Sheet1!$B$11:$J$400,9,0)</f>
        <v>9079200</v>
      </c>
      <c r="Z32" s="52"/>
      <c r="AA32" s="53" t="s">
        <v>1545</v>
      </c>
      <c r="AB32" s="45" t="s">
        <v>813</v>
      </c>
      <c r="AC32" s="45" t="str">
        <f>+VLOOKUP(E32,[3]Sheet1!$B$11:$I$388,8,0)</f>
        <v>79 - 034</v>
      </c>
      <c r="AD32" s="45" t="s">
        <v>33</v>
      </c>
      <c r="AE32" s="45" t="s">
        <v>814</v>
      </c>
      <c r="AF32" s="46" t="s">
        <v>814</v>
      </c>
      <c r="AG32" s="45">
        <f>+VALUE(AF32:AF432)</f>
        <v>40086000524</v>
      </c>
      <c r="AH32" s="45" t="s">
        <v>815</v>
      </c>
      <c r="AI32" s="45" t="s">
        <v>606</v>
      </c>
      <c r="AJ32" s="45" t="s">
        <v>2526</v>
      </c>
      <c r="AK32" s="44" t="s">
        <v>816</v>
      </c>
      <c r="AL32" s="45"/>
      <c r="AM32" s="59" t="s">
        <v>2046</v>
      </c>
      <c r="AN32" s="45"/>
      <c r="AO32" s="45"/>
      <c r="AP32" s="45"/>
      <c r="AQ32" s="45"/>
      <c r="AR32" s="45"/>
      <c r="AS32" s="45"/>
      <c r="AT32" s="45"/>
      <c r="AU32" s="45"/>
      <c r="AV32" s="45"/>
      <c r="AX32" s="55" t="s">
        <v>2539</v>
      </c>
    </row>
    <row r="33" spans="1:100" x14ac:dyDescent="0.3">
      <c r="A33" s="43">
        <v>32</v>
      </c>
      <c r="B33" s="43">
        <v>32</v>
      </c>
      <c r="C33" s="43" t="s">
        <v>2540</v>
      </c>
      <c r="D33" s="63">
        <v>4</v>
      </c>
      <c r="E33" s="93" t="s">
        <v>19</v>
      </c>
      <c r="F33" s="62" t="s">
        <v>62</v>
      </c>
      <c r="G33" s="47">
        <v>28505</v>
      </c>
      <c r="H33" s="48">
        <f>+DATE(YEAR(G33)+60,MONTH(G33),DAY(G33))</f>
        <v>50420</v>
      </c>
      <c r="I33" s="48">
        <v>50420</v>
      </c>
      <c r="J33" s="48">
        <f>+EOMONTH(I33,0)+1</f>
        <v>50437</v>
      </c>
      <c r="K33" s="47">
        <v>37377</v>
      </c>
      <c r="L33" s="43" t="s">
        <v>27</v>
      </c>
      <c r="M33" s="49" t="s">
        <v>1838</v>
      </c>
      <c r="N33" s="43" t="s">
        <v>34</v>
      </c>
      <c r="O33" s="47">
        <v>42370</v>
      </c>
      <c r="P33" s="47">
        <v>43466</v>
      </c>
      <c r="Q33" s="50" t="s">
        <v>74</v>
      </c>
      <c r="R33" s="51">
        <v>1.89</v>
      </c>
      <c r="S33" s="51"/>
      <c r="T33" s="45"/>
      <c r="U33" s="52">
        <f t="shared" si="3"/>
        <v>10035900</v>
      </c>
      <c r="V33" s="52">
        <f t="shared" si="0"/>
        <v>0</v>
      </c>
      <c r="W33" s="52">
        <f t="shared" si="1"/>
        <v>0</v>
      </c>
      <c r="X33" s="52">
        <f t="shared" si="2"/>
        <v>10035900</v>
      </c>
      <c r="Y33" s="52">
        <f>+VLOOKUP(E33,[2]Sheet1!$B$11:$J$400,9,0)</f>
        <v>8845200</v>
      </c>
      <c r="Z33" s="52"/>
      <c r="AA33" s="53" t="s">
        <v>1546</v>
      </c>
      <c r="AB33" s="45" t="s">
        <v>817</v>
      </c>
      <c r="AC33" s="45" t="str">
        <f>+VLOOKUP(E33,[3]Sheet1!$B$11:$I$388,8,0)</f>
        <v>79 - 016</v>
      </c>
      <c r="AD33" s="45" t="s">
        <v>34</v>
      </c>
      <c r="AE33" s="45" t="s">
        <v>2680</v>
      </c>
      <c r="AF33" s="46" t="s">
        <v>2680</v>
      </c>
      <c r="AG33" s="45">
        <f>+VALUE(AF33:AF433)</f>
        <v>96178008168</v>
      </c>
      <c r="AH33" s="54" t="s">
        <v>2681</v>
      </c>
      <c r="AI33" s="45" t="s">
        <v>606</v>
      </c>
      <c r="AJ33" s="45" t="s">
        <v>818</v>
      </c>
      <c r="AK33" s="44" t="s">
        <v>819</v>
      </c>
      <c r="AL33" s="45"/>
      <c r="AM33" s="45" t="s">
        <v>96</v>
      </c>
      <c r="AN33" s="45"/>
      <c r="AO33" s="45"/>
      <c r="AP33" s="45"/>
      <c r="AQ33" s="45"/>
      <c r="AR33" s="45"/>
      <c r="AS33" s="45"/>
      <c r="AT33" s="45"/>
      <c r="AU33" s="45"/>
      <c r="AV33" s="45"/>
      <c r="AX33" s="55" t="s">
        <v>2539</v>
      </c>
    </row>
    <row r="34" spans="1:100" x14ac:dyDescent="0.3">
      <c r="A34" s="43">
        <v>33</v>
      </c>
      <c r="B34" s="43">
        <v>33</v>
      </c>
      <c r="C34" s="43" t="s">
        <v>2540</v>
      </c>
      <c r="D34" s="45">
        <v>5</v>
      </c>
      <c r="E34" s="45" t="s">
        <v>20</v>
      </c>
      <c r="F34" s="46" t="s">
        <v>64</v>
      </c>
      <c r="G34" s="47">
        <v>30622</v>
      </c>
      <c r="H34" s="48">
        <f>+DATE(YEAR(G34)+62,MONTH(G34),DAY(G34))</f>
        <v>53268</v>
      </c>
      <c r="I34" s="48">
        <f>+EOMONTH(H34,0)+1</f>
        <v>53297</v>
      </c>
      <c r="J34" s="48">
        <f>+VLOOKUP(E34,'[1]DATA 06.2023'!$E$2:$J$390,6,0)</f>
        <v>53297</v>
      </c>
      <c r="K34" s="47">
        <v>39508</v>
      </c>
      <c r="L34" s="43" t="s">
        <v>27</v>
      </c>
      <c r="M34" s="49" t="s">
        <v>1838</v>
      </c>
      <c r="N34" s="43" t="s">
        <v>34</v>
      </c>
      <c r="O34" s="47">
        <v>44197</v>
      </c>
      <c r="P34" s="47">
        <v>45292</v>
      </c>
      <c r="Q34" s="50" t="s">
        <v>71</v>
      </c>
      <c r="R34" s="51">
        <v>1.69</v>
      </c>
      <c r="S34" s="51"/>
      <c r="T34" s="45"/>
      <c r="U34" s="52">
        <f t="shared" si="3"/>
        <v>8973900</v>
      </c>
      <c r="V34" s="52">
        <f t="shared" si="0"/>
        <v>0</v>
      </c>
      <c r="W34" s="52">
        <f t="shared" si="1"/>
        <v>0</v>
      </c>
      <c r="X34" s="52">
        <f t="shared" si="2"/>
        <v>8973900</v>
      </c>
      <c r="Y34" s="52">
        <f>+VLOOKUP(E34,[2]Sheet1!$B$11:$J$400,9,0)</f>
        <v>7909200</v>
      </c>
      <c r="Z34" s="52"/>
      <c r="AA34" s="53" t="s">
        <v>1547</v>
      </c>
      <c r="AB34" s="45" t="s">
        <v>820</v>
      </c>
      <c r="AC34" s="45" t="str">
        <f>+VLOOKUP(E34,[3]Sheet1!$B$11:$I$388,8,0)</f>
        <v>79 - 016</v>
      </c>
      <c r="AD34" s="45" t="s">
        <v>34</v>
      </c>
      <c r="AE34" s="45" t="s">
        <v>2752</v>
      </c>
      <c r="AF34" s="46" t="s">
        <v>821</v>
      </c>
      <c r="AG34" s="45">
        <f>+VALUE(AF34:AF434)</f>
        <v>25646920</v>
      </c>
      <c r="AH34" s="45" t="s">
        <v>822</v>
      </c>
      <c r="AI34" s="45" t="s">
        <v>599</v>
      </c>
      <c r="AJ34" s="45" t="s">
        <v>823</v>
      </c>
      <c r="AK34" s="44" t="s">
        <v>824</v>
      </c>
      <c r="AL34" s="45"/>
      <c r="AM34" s="45" t="s">
        <v>92</v>
      </c>
      <c r="AN34" s="45"/>
      <c r="AO34" s="45"/>
      <c r="AP34" s="45"/>
      <c r="AQ34" s="45"/>
      <c r="AR34" s="45"/>
      <c r="AS34" s="45"/>
      <c r="AT34" s="45"/>
      <c r="AU34" s="45"/>
      <c r="AV34" s="45"/>
      <c r="AX34" s="55" t="s">
        <v>2539</v>
      </c>
    </row>
    <row r="35" spans="1:100" s="58" customFormat="1" x14ac:dyDescent="0.3">
      <c r="A35" s="43">
        <v>34</v>
      </c>
      <c r="B35" s="43">
        <v>34</v>
      </c>
      <c r="C35" s="43" t="s">
        <v>2540</v>
      </c>
      <c r="D35" s="63">
        <v>6</v>
      </c>
      <c r="E35" s="64" t="s">
        <v>190</v>
      </c>
      <c r="F35" s="46" t="s">
        <v>399</v>
      </c>
      <c r="G35" s="47">
        <v>32932</v>
      </c>
      <c r="H35" s="48">
        <f>+DATE(YEAR(G35)+62,MONTH(G35),DAY(G35))</f>
        <v>55577</v>
      </c>
      <c r="I35" s="47">
        <f>+EOMONTH(H35,0)+1</f>
        <v>55579</v>
      </c>
      <c r="J35" s="47">
        <v>53752</v>
      </c>
      <c r="K35" s="47">
        <v>41671</v>
      </c>
      <c r="L35" s="43" t="s">
        <v>584</v>
      </c>
      <c r="M35" s="49" t="s">
        <v>1838</v>
      </c>
      <c r="N35" s="43" t="s">
        <v>34</v>
      </c>
      <c r="O35" s="47">
        <v>42370</v>
      </c>
      <c r="P35" s="60" t="s">
        <v>3467</v>
      </c>
      <c r="Q35" s="94" t="s">
        <v>73</v>
      </c>
      <c r="R35" s="43">
        <v>1.5</v>
      </c>
      <c r="S35" s="51"/>
      <c r="T35" s="95"/>
      <c r="U35" s="52">
        <f t="shared" si="3"/>
        <v>7965000</v>
      </c>
      <c r="V35" s="52">
        <f>+S35*4960000</f>
        <v>0</v>
      </c>
      <c r="W35" s="52">
        <f>+T35*2340000</f>
        <v>0</v>
      </c>
      <c r="X35" s="52">
        <f>+U35+V35+W35</f>
        <v>7965000</v>
      </c>
      <c r="Y35" s="52">
        <f>+VLOOKUP(E35,[2]Sheet1!$B$11:$J$400,9,0)</f>
        <v>7020000</v>
      </c>
      <c r="Z35" s="52"/>
      <c r="AA35" s="53" t="s">
        <v>1669</v>
      </c>
      <c r="AB35" s="45" t="s">
        <v>3333</v>
      </c>
      <c r="AC35" s="45" t="str">
        <f>+VLOOKUP(E35,[3]Sheet1!$B$11:$I$388,8,0)</f>
        <v>79 - 030</v>
      </c>
      <c r="AD35" s="45" t="s">
        <v>34</v>
      </c>
      <c r="AE35" s="45" t="s">
        <v>2840</v>
      </c>
      <c r="AF35" s="46" t="s">
        <v>2442</v>
      </c>
      <c r="AG35" s="45" t="e">
        <f>+VALUE(AF169:AF562)</f>
        <v>#VALUE!</v>
      </c>
      <c r="AH35" s="45" t="s">
        <v>1208</v>
      </c>
      <c r="AI35" s="45" t="s">
        <v>503</v>
      </c>
      <c r="AJ35" s="45" t="s">
        <v>526</v>
      </c>
      <c r="AK35" s="44" t="s">
        <v>548</v>
      </c>
      <c r="AL35" s="45"/>
      <c r="AM35" s="45" t="s">
        <v>2544</v>
      </c>
      <c r="AN35" s="45"/>
      <c r="AO35" s="45"/>
      <c r="AP35" s="45" t="s">
        <v>511</v>
      </c>
      <c r="AQ35" s="45"/>
      <c r="AR35" s="45"/>
      <c r="AS35" s="45"/>
      <c r="AT35" s="45"/>
      <c r="AU35" s="45"/>
      <c r="AV35" s="45"/>
      <c r="AW35" s="58" t="s">
        <v>2247</v>
      </c>
      <c r="AX35" s="55" t="s">
        <v>2539</v>
      </c>
    </row>
    <row r="36" spans="1:100" x14ac:dyDescent="0.3">
      <c r="A36" s="43">
        <v>35</v>
      </c>
      <c r="B36" s="43">
        <v>35</v>
      </c>
      <c r="C36" s="43" t="s">
        <v>2540</v>
      </c>
      <c r="D36" s="44">
        <v>1</v>
      </c>
      <c r="E36" s="93" t="s">
        <v>8</v>
      </c>
      <c r="F36" s="62" t="s">
        <v>48</v>
      </c>
      <c r="G36" s="47">
        <v>28860</v>
      </c>
      <c r="H36" s="48">
        <f>+DATE(YEAR(G36)+60,MONTH(G36),DAY(G36))</f>
        <v>50775</v>
      </c>
      <c r="I36" s="48">
        <v>50775</v>
      </c>
      <c r="J36" s="48">
        <f>+EOMONTH(I36,0)+1</f>
        <v>50802</v>
      </c>
      <c r="K36" s="47">
        <v>37257</v>
      </c>
      <c r="L36" s="43" t="s">
        <v>28</v>
      </c>
      <c r="M36" s="49" t="s">
        <v>41</v>
      </c>
      <c r="N36" s="43" t="s">
        <v>33</v>
      </c>
      <c r="O36" s="47">
        <v>42370</v>
      </c>
      <c r="P36" s="47">
        <v>43466</v>
      </c>
      <c r="Q36" s="50" t="s">
        <v>74</v>
      </c>
      <c r="R36" s="51">
        <v>1.89</v>
      </c>
      <c r="S36" s="51">
        <v>0.25</v>
      </c>
      <c r="T36" s="45"/>
      <c r="U36" s="52">
        <f t="shared" si="3"/>
        <v>10035900</v>
      </c>
      <c r="V36" s="52">
        <f t="shared" si="0"/>
        <v>1240000</v>
      </c>
      <c r="W36" s="52">
        <f t="shared" ref="W36:W68" si="7">+T36*2340000</f>
        <v>0</v>
      </c>
      <c r="X36" s="52">
        <f t="shared" si="2"/>
        <v>11275900</v>
      </c>
      <c r="Y36" s="52">
        <f>+VLOOKUP(E36,[2]Sheet1!$B$11:$J$400,9,0)</f>
        <v>10015200</v>
      </c>
      <c r="Z36" s="52"/>
      <c r="AA36" s="53" t="s">
        <v>1548</v>
      </c>
      <c r="AB36" s="45" t="s">
        <v>825</v>
      </c>
      <c r="AC36" s="45" t="str">
        <f>+VLOOKUP(E36,[3]Sheet1!$B$11:$I$388,8,0)</f>
        <v>79 - 034</v>
      </c>
      <c r="AD36" s="45" t="s">
        <v>33</v>
      </c>
      <c r="AE36" s="45" t="s">
        <v>826</v>
      </c>
      <c r="AF36" s="46" t="s">
        <v>826</v>
      </c>
      <c r="AG36" s="45">
        <f>+VALUE(AF36:AF437)</f>
        <v>34179002591</v>
      </c>
      <c r="AH36" s="45" t="s">
        <v>827</v>
      </c>
      <c r="AI36" s="45" t="s">
        <v>606</v>
      </c>
      <c r="AJ36" s="45" t="s">
        <v>828</v>
      </c>
      <c r="AK36" s="44" t="s">
        <v>829</v>
      </c>
      <c r="AL36" s="45"/>
      <c r="AM36" s="45" t="s">
        <v>40</v>
      </c>
      <c r="AN36" s="45"/>
      <c r="AO36" s="45"/>
      <c r="AP36" s="45"/>
      <c r="AQ36" s="45"/>
      <c r="AR36" s="45"/>
      <c r="AS36" s="45"/>
      <c r="AT36" s="45"/>
      <c r="AU36" s="45"/>
      <c r="AV36" s="45"/>
      <c r="AX36" s="55" t="s">
        <v>2539</v>
      </c>
    </row>
    <row r="37" spans="1:100" ht="36" x14ac:dyDescent="0.3">
      <c r="A37" s="43">
        <v>36</v>
      </c>
      <c r="B37" s="43">
        <v>36</v>
      </c>
      <c r="C37" s="43" t="s">
        <v>2540</v>
      </c>
      <c r="D37" s="44">
        <v>2</v>
      </c>
      <c r="E37" s="45" t="s">
        <v>13</v>
      </c>
      <c r="F37" s="46" t="s">
        <v>53</v>
      </c>
      <c r="G37" s="47">
        <v>29932</v>
      </c>
      <c r="H37" s="48">
        <f>+DATE(YEAR(G37)+62,MONTH(G37),DAY(G37))</f>
        <v>52577</v>
      </c>
      <c r="I37" s="48">
        <f>+EOMONTH(H37,0)+1</f>
        <v>52597</v>
      </c>
      <c r="J37" s="48">
        <f>+VLOOKUP(E37,'[1]DATA 06.2023'!$E$2:$J$390,6,0)</f>
        <v>52597</v>
      </c>
      <c r="K37" s="47">
        <v>38200</v>
      </c>
      <c r="L37" s="43" t="s">
        <v>28</v>
      </c>
      <c r="M37" s="49" t="s">
        <v>41</v>
      </c>
      <c r="N37" s="43" t="s">
        <v>35</v>
      </c>
      <c r="O37" s="47">
        <v>43101</v>
      </c>
      <c r="P37" s="47">
        <v>44197</v>
      </c>
      <c r="Q37" s="50" t="s">
        <v>74</v>
      </c>
      <c r="R37" s="51">
        <v>1.89</v>
      </c>
      <c r="S37" s="51">
        <v>0.35</v>
      </c>
      <c r="T37" s="45"/>
      <c r="U37" s="52">
        <f t="shared" si="3"/>
        <v>10035900</v>
      </c>
      <c r="V37" s="52">
        <f t="shared" si="0"/>
        <v>1736000</v>
      </c>
      <c r="W37" s="52">
        <f t="shared" si="7"/>
        <v>0</v>
      </c>
      <c r="X37" s="52">
        <f t="shared" si="2"/>
        <v>11771900</v>
      </c>
      <c r="Y37" s="52">
        <f>+VLOOKUP(E37,[2]Sheet1!$B$11:$J$400,9,0)</f>
        <v>10483200</v>
      </c>
      <c r="Z37" s="52"/>
      <c r="AA37" s="53" t="s">
        <v>1531</v>
      </c>
      <c r="AB37" s="45" t="s">
        <v>748</v>
      </c>
      <c r="AC37" s="45" t="str">
        <f>+VLOOKUP(E37,[3]Sheet1!$B$11:$I$388,8,0)</f>
        <v>79 - 034</v>
      </c>
      <c r="AD37" s="45" t="s">
        <v>35</v>
      </c>
      <c r="AE37" s="45" t="s">
        <v>2019</v>
      </c>
      <c r="AF37" s="87" t="s">
        <v>2019</v>
      </c>
      <c r="AG37" s="45">
        <f>+VALUE(AF37:AF438)</f>
        <v>36081006577</v>
      </c>
      <c r="AH37" s="54" t="s">
        <v>2020</v>
      </c>
      <c r="AI37" s="45" t="s">
        <v>606</v>
      </c>
      <c r="AJ37" s="45" t="s">
        <v>749</v>
      </c>
      <c r="AK37" s="44" t="s">
        <v>750</v>
      </c>
      <c r="AL37" s="45"/>
      <c r="AM37" s="59" t="s">
        <v>2528</v>
      </c>
      <c r="AN37" s="45"/>
      <c r="AO37" s="45"/>
      <c r="AP37" s="45"/>
      <c r="AQ37" s="45"/>
      <c r="AR37" s="45"/>
      <c r="AS37" s="45"/>
      <c r="AT37" s="45"/>
      <c r="AU37" s="45"/>
      <c r="AV37" s="45"/>
      <c r="AX37" s="55" t="s">
        <v>2539</v>
      </c>
    </row>
    <row r="38" spans="1:100" x14ac:dyDescent="0.3">
      <c r="A38" s="43">
        <v>37</v>
      </c>
      <c r="B38" s="43">
        <v>37</v>
      </c>
      <c r="C38" s="43" t="s">
        <v>2540</v>
      </c>
      <c r="D38" s="44">
        <v>3</v>
      </c>
      <c r="E38" s="64" t="s">
        <v>580</v>
      </c>
      <c r="F38" s="46" t="s">
        <v>55</v>
      </c>
      <c r="G38" s="47">
        <v>24148</v>
      </c>
      <c r="H38" s="48">
        <f>+DATE(YEAR(G38)+62,MONTH(G38),DAY(G38))</f>
        <v>46793</v>
      </c>
      <c r="I38" s="48">
        <f>+EOMONTH(H38,0)+1</f>
        <v>46813</v>
      </c>
      <c r="J38" s="48">
        <f>+VLOOKUP(E38,'[1]DATA 06.2023'!$E$2:$J$390,6,0)</f>
        <v>46722</v>
      </c>
      <c r="K38" s="47">
        <v>35463</v>
      </c>
      <c r="L38" s="43" t="s">
        <v>28</v>
      </c>
      <c r="M38" s="49" t="s">
        <v>41</v>
      </c>
      <c r="N38" s="43" t="s">
        <v>34</v>
      </c>
      <c r="O38" s="47">
        <v>42795</v>
      </c>
      <c r="P38" s="47">
        <v>43891</v>
      </c>
      <c r="Q38" s="50" t="s">
        <v>74</v>
      </c>
      <c r="R38" s="51">
        <v>1.89</v>
      </c>
      <c r="S38" s="51"/>
      <c r="T38" s="45"/>
      <c r="U38" s="52">
        <f t="shared" si="3"/>
        <v>10035900</v>
      </c>
      <c r="V38" s="52">
        <f t="shared" si="0"/>
        <v>0</v>
      </c>
      <c r="W38" s="52">
        <f t="shared" si="7"/>
        <v>0</v>
      </c>
      <c r="X38" s="52">
        <f t="shared" si="2"/>
        <v>10035900</v>
      </c>
      <c r="Y38" s="52">
        <f>+VLOOKUP(E38,[2]Sheet1!$B$11:$J$400,9,0)</f>
        <v>8845200</v>
      </c>
      <c r="Z38" s="52"/>
      <c r="AA38" s="53" t="s">
        <v>1537</v>
      </c>
      <c r="AB38" s="45" t="s">
        <v>774</v>
      </c>
      <c r="AC38" s="45" t="str">
        <f>+VLOOKUP(E38,[3]Sheet1!$B$11:$I$388,8,0)</f>
        <v>79 - 024</v>
      </c>
      <c r="AD38" s="45" t="s">
        <v>34</v>
      </c>
      <c r="AE38" s="45" t="s">
        <v>775</v>
      </c>
      <c r="AF38" s="46" t="s">
        <v>775</v>
      </c>
      <c r="AG38" s="45">
        <f>+VALUE(AF18:AF417)</f>
        <v>37066001028</v>
      </c>
      <c r="AH38" s="45" t="s">
        <v>776</v>
      </c>
      <c r="AI38" s="45" t="s">
        <v>606</v>
      </c>
      <c r="AJ38" s="45" t="s">
        <v>777</v>
      </c>
      <c r="AK38" s="44" t="s">
        <v>778</v>
      </c>
      <c r="AL38" s="45"/>
      <c r="AM38" s="45" t="s">
        <v>90</v>
      </c>
      <c r="AN38" s="45"/>
      <c r="AO38" s="45"/>
      <c r="AP38" s="45"/>
      <c r="AQ38" s="45"/>
      <c r="AR38" s="45"/>
      <c r="AS38" s="45"/>
      <c r="AT38" s="45"/>
      <c r="AU38" s="45"/>
      <c r="AV38" s="45"/>
      <c r="AX38" s="55" t="s">
        <v>2539</v>
      </c>
    </row>
    <row r="39" spans="1:100" s="58" customFormat="1" x14ac:dyDescent="0.3">
      <c r="A39" s="43">
        <v>38</v>
      </c>
      <c r="B39" s="43">
        <v>38</v>
      </c>
      <c r="C39" s="43" t="s">
        <v>2540</v>
      </c>
      <c r="D39" s="44">
        <v>4</v>
      </c>
      <c r="E39" s="88" t="s">
        <v>99</v>
      </c>
      <c r="F39" s="62" t="s">
        <v>157</v>
      </c>
      <c r="G39" s="47">
        <v>31953</v>
      </c>
      <c r="H39" s="48">
        <f>+DATE(YEAR(G39)+60,MONTH(G39),DAY(G39))</f>
        <v>53868</v>
      </c>
      <c r="I39" s="48">
        <v>53868</v>
      </c>
      <c r="J39" s="48">
        <f>+EOMONTH(I39,0)+1</f>
        <v>53874</v>
      </c>
      <c r="K39" s="47">
        <v>42795</v>
      </c>
      <c r="L39" s="43" t="s">
        <v>28</v>
      </c>
      <c r="M39" s="49" t="s">
        <v>41</v>
      </c>
      <c r="N39" s="43" t="s">
        <v>34</v>
      </c>
      <c r="O39" s="47">
        <v>42795</v>
      </c>
      <c r="P39" s="60" t="s">
        <v>1516</v>
      </c>
      <c r="Q39" s="60" t="s">
        <v>71</v>
      </c>
      <c r="R39" s="43">
        <v>1.69</v>
      </c>
      <c r="S39" s="51"/>
      <c r="T39" s="45"/>
      <c r="U39" s="52">
        <f t="shared" si="3"/>
        <v>8973900</v>
      </c>
      <c r="V39" s="52">
        <f t="shared" si="0"/>
        <v>0</v>
      </c>
      <c r="W39" s="52">
        <f t="shared" si="7"/>
        <v>0</v>
      </c>
      <c r="X39" s="52">
        <f t="shared" si="2"/>
        <v>8973900</v>
      </c>
      <c r="Y39" s="52">
        <f>+VLOOKUP(E39,[2]Sheet1!$B$11:$J$400,9,0)</f>
        <v>7909200</v>
      </c>
      <c r="Z39" s="52"/>
      <c r="AA39" s="53" t="s">
        <v>1559</v>
      </c>
      <c r="AB39" s="45" t="s">
        <v>592</v>
      </c>
      <c r="AC39" s="45" t="str">
        <f>+VLOOKUP(E39,[3]Sheet1!$B$11:$I$388,8,0)</f>
        <v>79 - 034</v>
      </c>
      <c r="AD39" s="45" t="s">
        <v>36</v>
      </c>
      <c r="AE39" s="45" t="s">
        <v>869</v>
      </c>
      <c r="AF39" s="46" t="s">
        <v>869</v>
      </c>
      <c r="AG39" s="45">
        <f>+VALUE(AF21:AF421)</f>
        <v>79187006269</v>
      </c>
      <c r="AH39" s="45" t="s">
        <v>870</v>
      </c>
      <c r="AI39" s="45" t="s">
        <v>606</v>
      </c>
      <c r="AJ39" s="45" t="s">
        <v>768</v>
      </c>
      <c r="AK39" s="44" t="s">
        <v>871</v>
      </c>
      <c r="AL39" s="45"/>
      <c r="AM39" s="45" t="s">
        <v>551</v>
      </c>
      <c r="AN39" s="45"/>
      <c r="AO39" s="45"/>
      <c r="AP39" s="45"/>
      <c r="AQ39" s="45"/>
      <c r="AR39" s="45"/>
      <c r="AS39" s="45"/>
      <c r="AT39" s="45"/>
      <c r="AU39" s="45"/>
      <c r="AV39" s="45"/>
      <c r="AW39" s="55"/>
      <c r="AX39" s="55" t="s">
        <v>2539</v>
      </c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/>
    </row>
    <row r="40" spans="1:100" x14ac:dyDescent="0.3">
      <c r="A40" s="43">
        <v>39</v>
      </c>
      <c r="B40" s="43">
        <v>39</v>
      </c>
      <c r="C40" s="43" t="s">
        <v>2540</v>
      </c>
      <c r="D40" s="44">
        <v>5</v>
      </c>
      <c r="E40" s="61" t="s">
        <v>21</v>
      </c>
      <c r="F40" s="62" t="s">
        <v>65</v>
      </c>
      <c r="G40" s="47">
        <v>27503</v>
      </c>
      <c r="H40" s="48">
        <f>+DATE(YEAR(G40)+60,MONTH(G40),DAY(G40))</f>
        <v>49418</v>
      </c>
      <c r="I40" s="48">
        <v>49297</v>
      </c>
      <c r="J40" s="48">
        <f>+EOMONTH(I40,0)+1</f>
        <v>49310</v>
      </c>
      <c r="K40" s="47">
        <v>37196</v>
      </c>
      <c r="L40" s="43" t="s">
        <v>28</v>
      </c>
      <c r="M40" s="49" t="s">
        <v>41</v>
      </c>
      <c r="N40" s="43" t="s">
        <v>34</v>
      </c>
      <c r="O40" s="47">
        <v>42370</v>
      </c>
      <c r="P40" s="47">
        <v>43466</v>
      </c>
      <c r="Q40" s="50" t="s">
        <v>74</v>
      </c>
      <c r="R40" s="51">
        <v>1.89</v>
      </c>
      <c r="S40" s="51"/>
      <c r="T40" s="45"/>
      <c r="U40" s="52">
        <f t="shared" si="3"/>
        <v>10035900</v>
      </c>
      <c r="V40" s="52">
        <f t="shared" si="0"/>
        <v>0</v>
      </c>
      <c r="W40" s="52">
        <f t="shared" si="7"/>
        <v>0</v>
      </c>
      <c r="X40" s="52">
        <f t="shared" si="2"/>
        <v>10035900</v>
      </c>
      <c r="Y40" s="52">
        <f>+VLOOKUP(E40,[2]Sheet1!$B$11:$J$400,9,0)</f>
        <v>8845200</v>
      </c>
      <c r="Z40" s="52"/>
      <c r="AA40" s="53" t="s">
        <v>1550</v>
      </c>
      <c r="AB40" s="45" t="s">
        <v>738</v>
      </c>
      <c r="AC40" s="45" t="str">
        <f>+VLOOKUP(E40,[3]Sheet1!$B$11:$I$388,8,0)</f>
        <v>79 - 034</v>
      </c>
      <c r="AD40" s="45" t="s">
        <v>34</v>
      </c>
      <c r="AE40" s="45" t="s">
        <v>2754</v>
      </c>
      <c r="AF40" s="46" t="s">
        <v>833</v>
      </c>
      <c r="AG40" s="45">
        <f>+VALUE(AF40:AF439)</f>
        <v>22933754</v>
      </c>
      <c r="AH40" s="45" t="s">
        <v>834</v>
      </c>
      <c r="AI40" s="45" t="s">
        <v>599</v>
      </c>
      <c r="AJ40" s="45" t="s">
        <v>835</v>
      </c>
      <c r="AK40" s="44" t="s">
        <v>836</v>
      </c>
      <c r="AL40" s="45"/>
      <c r="AM40" s="45" t="s">
        <v>80</v>
      </c>
      <c r="AN40" s="45"/>
      <c r="AO40" s="45"/>
      <c r="AP40" s="45"/>
      <c r="AQ40" s="45"/>
      <c r="AR40" s="45"/>
      <c r="AS40" s="45"/>
      <c r="AT40" s="45"/>
      <c r="AU40" s="45"/>
      <c r="AV40" s="45"/>
      <c r="AX40" s="55" t="s">
        <v>2539</v>
      </c>
    </row>
    <row r="41" spans="1:100" ht="24" x14ac:dyDescent="0.3">
      <c r="A41" s="43">
        <v>40</v>
      </c>
      <c r="B41" s="43">
        <v>40</v>
      </c>
      <c r="C41" s="43" t="s">
        <v>2540</v>
      </c>
      <c r="D41" s="44">
        <v>6</v>
      </c>
      <c r="E41" s="89" t="s">
        <v>3124</v>
      </c>
      <c r="F41" s="62" t="s">
        <v>3125</v>
      </c>
      <c r="G41" s="54">
        <v>30540</v>
      </c>
      <c r="H41" s="48">
        <f>+DATE(YEAR(G41)+60,MONTH(G41),DAY(G41))</f>
        <v>52455</v>
      </c>
      <c r="I41" s="48">
        <v>49298</v>
      </c>
      <c r="J41" s="48">
        <f>+EOMONTH(I41,0)+1</f>
        <v>49310</v>
      </c>
      <c r="K41" s="47">
        <v>45383</v>
      </c>
      <c r="L41" s="43" t="s">
        <v>28</v>
      </c>
      <c r="M41" s="49" t="s">
        <v>41</v>
      </c>
      <c r="N41" s="43" t="s">
        <v>34</v>
      </c>
      <c r="O41" s="47"/>
      <c r="P41" s="47"/>
      <c r="Q41" s="85" t="s">
        <v>71</v>
      </c>
      <c r="R41" s="43">
        <v>1.69</v>
      </c>
      <c r="S41" s="51"/>
      <c r="T41" s="45"/>
      <c r="U41" s="52">
        <f t="shared" si="3"/>
        <v>8973900</v>
      </c>
      <c r="V41" s="52">
        <f t="shared" si="0"/>
        <v>0</v>
      </c>
      <c r="W41" s="52">
        <f t="shared" si="7"/>
        <v>0</v>
      </c>
      <c r="X41" s="52">
        <f t="shared" si="2"/>
        <v>8973900</v>
      </c>
      <c r="Y41" s="52">
        <f>+VLOOKUP(E41,[2]Sheet1!$B$11:$J$400,9,0)</f>
        <v>7909200</v>
      </c>
      <c r="Z41" s="52"/>
      <c r="AA41" s="53" t="s">
        <v>3216</v>
      </c>
      <c r="AB41" s="45" t="s">
        <v>3280</v>
      </c>
      <c r="AC41" s="45" t="e">
        <f>+VLOOKUP(E41,[3]Sheet1!$B$11:$I$388,8,0)</f>
        <v>#N/A</v>
      </c>
      <c r="AD41" s="45" t="s">
        <v>34</v>
      </c>
      <c r="AE41" s="56" t="s">
        <v>3126</v>
      </c>
      <c r="AF41" s="46"/>
      <c r="AG41" s="45"/>
      <c r="AH41" s="54" t="s">
        <v>3127</v>
      </c>
      <c r="AI41" s="45" t="s">
        <v>2427</v>
      </c>
      <c r="AJ41" s="45" t="s">
        <v>3160</v>
      </c>
      <c r="AK41" s="44">
        <v>17782</v>
      </c>
      <c r="AL41" s="45"/>
      <c r="AM41" s="59" t="s">
        <v>3128</v>
      </c>
      <c r="AN41" s="45"/>
      <c r="AO41" s="45"/>
      <c r="AP41" s="45"/>
      <c r="AQ41" s="47">
        <v>45383</v>
      </c>
      <c r="AR41" s="45"/>
      <c r="AS41" s="45"/>
      <c r="AT41" s="47">
        <v>45413</v>
      </c>
      <c r="AU41" s="45"/>
      <c r="AV41" s="47">
        <v>46143</v>
      </c>
      <c r="AW41" s="77" t="s">
        <v>3129</v>
      </c>
      <c r="AX41" s="55" t="s">
        <v>2539</v>
      </c>
    </row>
    <row r="42" spans="1:100" x14ac:dyDescent="0.3">
      <c r="A42" s="43">
        <v>41</v>
      </c>
      <c r="B42" s="43">
        <v>41</v>
      </c>
      <c r="C42" s="43" t="s">
        <v>2540</v>
      </c>
      <c r="D42" s="43">
        <v>1</v>
      </c>
      <c r="E42" s="45" t="s">
        <v>14</v>
      </c>
      <c r="F42" s="46" t="s">
        <v>54</v>
      </c>
      <c r="G42" s="47">
        <v>30002</v>
      </c>
      <c r="H42" s="48">
        <f>+DATE(YEAR(G42)+62,MONTH(G42),DAY(G42))</f>
        <v>52647</v>
      </c>
      <c r="I42" s="48">
        <v>53612</v>
      </c>
      <c r="J42" s="48">
        <f>+VLOOKUP(E42,'[1]DATA 06.2023'!$E$2:$J$390,6,0)</f>
        <v>52657</v>
      </c>
      <c r="K42" s="47">
        <v>39052</v>
      </c>
      <c r="L42" s="43" t="s">
        <v>29</v>
      </c>
      <c r="M42" s="49" t="s">
        <v>41</v>
      </c>
      <c r="N42" s="43" t="s">
        <v>33</v>
      </c>
      <c r="O42" s="47">
        <v>42370</v>
      </c>
      <c r="P42" s="47">
        <v>43466</v>
      </c>
      <c r="Q42" s="60" t="s">
        <v>74</v>
      </c>
      <c r="R42" s="43">
        <v>1.89</v>
      </c>
      <c r="S42" s="51">
        <v>0.25</v>
      </c>
      <c r="T42" s="45"/>
      <c r="U42" s="52">
        <f t="shared" si="3"/>
        <v>10035900</v>
      </c>
      <c r="V42" s="52">
        <f t="shared" si="0"/>
        <v>1240000</v>
      </c>
      <c r="W42" s="52">
        <f t="shared" si="7"/>
        <v>0</v>
      </c>
      <c r="X42" s="52">
        <f t="shared" si="2"/>
        <v>11275900</v>
      </c>
      <c r="Y42" s="52">
        <f>+VLOOKUP(E42,[2]Sheet1!$B$11:$J$400,9,0)</f>
        <v>9547200</v>
      </c>
      <c r="Z42" s="52"/>
      <c r="AA42" s="53" t="s">
        <v>1544</v>
      </c>
      <c r="AB42" s="45" t="s">
        <v>1801</v>
      </c>
      <c r="AC42" s="45" t="str">
        <f>+VLOOKUP(E42,[3]Sheet1!$B$11:$I$388,8,0)</f>
        <v>79 - 034</v>
      </c>
      <c r="AD42" s="45" t="s">
        <v>33</v>
      </c>
      <c r="AE42" s="45" t="s">
        <v>809</v>
      </c>
      <c r="AF42" s="46" t="s">
        <v>809</v>
      </c>
      <c r="AG42" s="45">
        <f>+VALUE(AF11:AF406)</f>
        <v>37082002899</v>
      </c>
      <c r="AH42" s="45" t="s">
        <v>810</v>
      </c>
      <c r="AI42" s="45" t="s">
        <v>606</v>
      </c>
      <c r="AJ42" s="45" t="s">
        <v>811</v>
      </c>
      <c r="AK42" s="44" t="s">
        <v>812</v>
      </c>
      <c r="AL42" s="45"/>
      <c r="AM42" s="45" t="s">
        <v>88</v>
      </c>
      <c r="AN42" s="45"/>
      <c r="AO42" s="45"/>
      <c r="AP42" s="45"/>
      <c r="AQ42" s="45"/>
      <c r="AR42" s="45"/>
      <c r="AS42" s="45"/>
      <c r="AT42" s="45"/>
      <c r="AU42" s="45"/>
      <c r="AV42" s="45"/>
      <c r="AX42" s="55" t="s">
        <v>2539</v>
      </c>
    </row>
    <row r="43" spans="1:100" x14ac:dyDescent="0.3">
      <c r="A43" s="43">
        <v>42</v>
      </c>
      <c r="B43" s="43">
        <v>42</v>
      </c>
      <c r="C43" s="43" t="s">
        <v>2540</v>
      </c>
      <c r="D43" s="43">
        <v>2</v>
      </c>
      <c r="E43" s="64" t="s">
        <v>24</v>
      </c>
      <c r="F43" s="46" t="s">
        <v>67</v>
      </c>
      <c r="G43" s="47">
        <v>28885</v>
      </c>
      <c r="H43" s="48">
        <f>+DATE(YEAR(G43)+62,MONTH(G43),DAY(G43))</f>
        <v>51531</v>
      </c>
      <c r="I43" s="48">
        <f>+EOMONTH(H43,0)+1</f>
        <v>51533</v>
      </c>
      <c r="J43" s="48">
        <f>+VLOOKUP(E43,'[1]DATA 06.2023'!$E$2:$J$390,6,0)</f>
        <v>51533</v>
      </c>
      <c r="K43" s="47">
        <v>36220</v>
      </c>
      <c r="L43" s="43" t="s">
        <v>29</v>
      </c>
      <c r="M43" s="49" t="s">
        <v>41</v>
      </c>
      <c r="N43" s="43" t="s">
        <v>35</v>
      </c>
      <c r="O43" s="47">
        <v>42370</v>
      </c>
      <c r="P43" s="47">
        <v>43466</v>
      </c>
      <c r="Q43" s="50" t="s">
        <v>74</v>
      </c>
      <c r="R43" s="51">
        <v>1.89</v>
      </c>
      <c r="S43" s="51">
        <v>0.35</v>
      </c>
      <c r="T43" s="45"/>
      <c r="U43" s="52">
        <f t="shared" si="3"/>
        <v>10035900</v>
      </c>
      <c r="V43" s="52">
        <f t="shared" si="0"/>
        <v>1736000</v>
      </c>
      <c r="W43" s="52">
        <f t="shared" si="7"/>
        <v>0</v>
      </c>
      <c r="X43" s="52">
        <f t="shared" si="2"/>
        <v>11771900</v>
      </c>
      <c r="Y43" s="52">
        <f>+VLOOKUP(E43,[2]Sheet1!$B$11:$J$400,9,0)</f>
        <v>10015200</v>
      </c>
      <c r="Z43" s="52"/>
      <c r="AA43" s="53" t="s">
        <v>1553</v>
      </c>
      <c r="AB43" s="45" t="s">
        <v>813</v>
      </c>
      <c r="AC43" s="45" t="str">
        <f>+VLOOKUP(E43,[3]Sheet1!$B$11:$I$388,8,0)</f>
        <v>79 - 025</v>
      </c>
      <c r="AD43" s="45" t="s">
        <v>35</v>
      </c>
      <c r="AE43" s="45" t="s">
        <v>2757</v>
      </c>
      <c r="AF43" s="46" t="s">
        <v>846</v>
      </c>
      <c r="AG43" s="45">
        <f>+VALUE(AF43:AF443)</f>
        <v>264122137</v>
      </c>
      <c r="AH43" s="45" t="s">
        <v>847</v>
      </c>
      <c r="AI43" s="45" t="s">
        <v>503</v>
      </c>
      <c r="AJ43" s="45" t="s">
        <v>848</v>
      </c>
      <c r="AK43" s="44" t="s">
        <v>548</v>
      </c>
      <c r="AL43" s="45"/>
      <c r="AM43" s="45" t="s">
        <v>96</v>
      </c>
      <c r="AN43" s="45"/>
      <c r="AO43" s="45"/>
      <c r="AP43" s="45"/>
      <c r="AQ43" s="45"/>
      <c r="AR43" s="45"/>
      <c r="AS43" s="45"/>
      <c r="AT43" s="45"/>
      <c r="AU43" s="45"/>
      <c r="AV43" s="45"/>
      <c r="AX43" s="55" t="s">
        <v>2539</v>
      </c>
    </row>
    <row r="44" spans="1:100" x14ac:dyDescent="0.3">
      <c r="A44" s="43">
        <v>43</v>
      </c>
      <c r="B44" s="43">
        <v>43</v>
      </c>
      <c r="C44" s="43" t="s">
        <v>2540</v>
      </c>
      <c r="D44" s="43">
        <v>3</v>
      </c>
      <c r="E44" s="88" t="s">
        <v>290</v>
      </c>
      <c r="F44" s="62" t="s">
        <v>68</v>
      </c>
      <c r="G44" s="47">
        <v>29855</v>
      </c>
      <c r="H44" s="48">
        <f>+DATE(YEAR(G44)+60,MONTH(G44),DAY(G44))</f>
        <v>51770</v>
      </c>
      <c r="I44" s="48">
        <v>51770</v>
      </c>
      <c r="J44" s="48">
        <f>+EOMONTH(I44,0)+1</f>
        <v>51775</v>
      </c>
      <c r="K44" s="47">
        <v>38473</v>
      </c>
      <c r="L44" s="43" t="s">
        <v>29</v>
      </c>
      <c r="M44" s="49" t="s">
        <v>41</v>
      </c>
      <c r="N44" s="43" t="s">
        <v>34</v>
      </c>
      <c r="O44" s="47">
        <v>44378</v>
      </c>
      <c r="P44" s="47">
        <v>45474</v>
      </c>
      <c r="Q44" s="50" t="s">
        <v>74</v>
      </c>
      <c r="R44" s="51">
        <v>1.89</v>
      </c>
      <c r="S44" s="51"/>
      <c r="T44" s="45"/>
      <c r="U44" s="52">
        <f t="shared" si="3"/>
        <v>10035900</v>
      </c>
      <c r="V44" s="52">
        <f t="shared" si="0"/>
        <v>0</v>
      </c>
      <c r="W44" s="52">
        <f t="shared" si="7"/>
        <v>0</v>
      </c>
      <c r="X44" s="52">
        <f t="shared" si="2"/>
        <v>10035900</v>
      </c>
      <c r="Y44" s="52">
        <f>+VLOOKUP(E44,[2]Sheet1!$B$11:$J$400,9,0)</f>
        <v>8377200</v>
      </c>
      <c r="Z44" s="52"/>
      <c r="AA44" s="53" t="s">
        <v>1554</v>
      </c>
      <c r="AB44" s="45" t="s">
        <v>786</v>
      </c>
      <c r="AC44" s="45" t="str">
        <f>+VLOOKUP(E44,[3]Sheet1!$B$11:$I$388,8,0)</f>
        <v>79 - 028</v>
      </c>
      <c r="AD44" s="45" t="s">
        <v>34</v>
      </c>
      <c r="AE44" s="45" t="s">
        <v>2758</v>
      </c>
      <c r="AF44" s="46">
        <v>260889317</v>
      </c>
      <c r="AG44" s="45">
        <f>+VALUE(AF44:AF445)</f>
        <v>260889317</v>
      </c>
      <c r="AH44" s="45" t="s">
        <v>851</v>
      </c>
      <c r="AI44" s="45" t="s">
        <v>515</v>
      </c>
      <c r="AJ44" s="45" t="s">
        <v>852</v>
      </c>
      <c r="AK44" s="44" t="s">
        <v>853</v>
      </c>
      <c r="AL44" s="45"/>
      <c r="AM44" s="45" t="s">
        <v>97</v>
      </c>
      <c r="AN44" s="45"/>
      <c r="AO44" s="45"/>
      <c r="AP44" s="45"/>
      <c r="AQ44" s="45"/>
      <c r="AR44" s="45"/>
      <c r="AS44" s="45"/>
      <c r="AT44" s="45"/>
      <c r="AU44" s="45"/>
      <c r="AV44" s="45"/>
      <c r="AX44" s="55" t="s">
        <v>2539</v>
      </c>
    </row>
    <row r="45" spans="1:100" s="82" customFormat="1" x14ac:dyDescent="0.3">
      <c r="A45" s="43">
        <v>44</v>
      </c>
      <c r="B45" s="43">
        <v>44</v>
      </c>
      <c r="C45" s="43" t="s">
        <v>2540</v>
      </c>
      <c r="D45" s="43">
        <v>4</v>
      </c>
      <c r="E45" s="64" t="s">
        <v>172</v>
      </c>
      <c r="F45" s="46" t="s">
        <v>380</v>
      </c>
      <c r="G45" s="47">
        <v>26648</v>
      </c>
      <c r="H45" s="48">
        <f>+DATE(YEAR(G45)+62,MONTH(G45),DAY(G45))</f>
        <v>49293</v>
      </c>
      <c r="I45" s="48">
        <f t="shared" ref="I45:I58" si="8">+EOMONTH(H45,0)+1</f>
        <v>49310</v>
      </c>
      <c r="J45" s="48">
        <f>+VLOOKUP(E45,'[1]DATA 06.2023'!$E$2:$J$390,6,0)</f>
        <v>49310</v>
      </c>
      <c r="K45" s="47">
        <v>35186</v>
      </c>
      <c r="L45" s="43" t="s">
        <v>29</v>
      </c>
      <c r="M45" s="49" t="s">
        <v>41</v>
      </c>
      <c r="N45" s="43" t="s">
        <v>34</v>
      </c>
      <c r="O45" s="47">
        <v>42309</v>
      </c>
      <c r="P45" s="60"/>
      <c r="Q45" s="50" t="s">
        <v>74</v>
      </c>
      <c r="R45" s="43">
        <v>1.89</v>
      </c>
      <c r="S45" s="51"/>
      <c r="T45" s="45"/>
      <c r="U45" s="52">
        <f t="shared" si="3"/>
        <v>10035900</v>
      </c>
      <c r="V45" s="52">
        <f t="shared" si="0"/>
        <v>0</v>
      </c>
      <c r="W45" s="52">
        <f t="shared" si="7"/>
        <v>0</v>
      </c>
      <c r="X45" s="52">
        <f t="shared" si="2"/>
        <v>10035900</v>
      </c>
      <c r="Y45" s="52">
        <f>+VLOOKUP(E45,[2]Sheet1!$B$11:$J$400,9,0)</f>
        <v>8377200</v>
      </c>
      <c r="Z45" s="52"/>
      <c r="AA45" s="96" t="s">
        <v>1651</v>
      </c>
      <c r="AB45" s="45" t="s">
        <v>592</v>
      </c>
      <c r="AC45" s="45" t="str">
        <f>+VLOOKUP(E45,[3]Sheet1!$B$11:$I$388,8,0)</f>
        <v>79 - 034</v>
      </c>
      <c r="AD45" s="45" t="s">
        <v>34</v>
      </c>
      <c r="AE45" s="45" t="s">
        <v>2760</v>
      </c>
      <c r="AF45" s="46">
        <v>264286991</v>
      </c>
      <c r="AG45" s="45">
        <f>+VALUE(AF45:AF451)</f>
        <v>264286991</v>
      </c>
      <c r="AH45" s="45" t="s">
        <v>1165</v>
      </c>
      <c r="AI45" s="45" t="s">
        <v>1166</v>
      </c>
      <c r="AJ45" s="45" t="s">
        <v>1151</v>
      </c>
      <c r="AK45" s="44" t="s">
        <v>1167</v>
      </c>
      <c r="AL45" s="45"/>
      <c r="AM45" s="45" t="s">
        <v>502</v>
      </c>
      <c r="AN45" s="45"/>
      <c r="AO45" s="45"/>
      <c r="AP45" s="45"/>
      <c r="AQ45" s="45"/>
      <c r="AR45" s="45"/>
      <c r="AS45" s="45"/>
      <c r="AT45" s="45"/>
      <c r="AU45" s="45"/>
      <c r="AV45" s="45"/>
      <c r="AW45" s="77" t="s">
        <v>2155</v>
      </c>
      <c r="AX45" s="55" t="s">
        <v>2539</v>
      </c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55"/>
    </row>
    <row r="46" spans="1:100" x14ac:dyDescent="0.3">
      <c r="A46" s="43">
        <v>45</v>
      </c>
      <c r="B46" s="43">
        <v>45</v>
      </c>
      <c r="C46" s="43" t="s">
        <v>2540</v>
      </c>
      <c r="D46" s="43">
        <v>5</v>
      </c>
      <c r="E46" s="45" t="s">
        <v>25</v>
      </c>
      <c r="F46" s="46" t="s">
        <v>69</v>
      </c>
      <c r="G46" s="47">
        <v>25030</v>
      </c>
      <c r="H46" s="48">
        <f>+DATE(YEAR(G46)+62,MONTH(G46),DAY(G46))</f>
        <v>47675</v>
      </c>
      <c r="I46" s="48">
        <f t="shared" si="8"/>
        <v>47696</v>
      </c>
      <c r="J46" s="48">
        <f>+VLOOKUP(E46,'[1]DATA 06.2023'!$E$2:$J$390,6,0)</f>
        <v>47696</v>
      </c>
      <c r="K46" s="47">
        <v>37742</v>
      </c>
      <c r="L46" s="43" t="s">
        <v>29</v>
      </c>
      <c r="M46" s="49" t="s">
        <v>43</v>
      </c>
      <c r="N46" s="43" t="s">
        <v>34</v>
      </c>
      <c r="O46" s="47">
        <v>42795</v>
      </c>
      <c r="P46" s="47">
        <v>43891</v>
      </c>
      <c r="Q46" s="50" t="s">
        <v>74</v>
      </c>
      <c r="R46" s="51">
        <v>1.89</v>
      </c>
      <c r="S46" s="51"/>
      <c r="T46" s="45"/>
      <c r="U46" s="52">
        <f t="shared" si="3"/>
        <v>10035900</v>
      </c>
      <c r="V46" s="52">
        <f t="shared" si="0"/>
        <v>0</v>
      </c>
      <c r="W46" s="52">
        <f t="shared" si="7"/>
        <v>0</v>
      </c>
      <c r="X46" s="52">
        <f t="shared" si="2"/>
        <v>10035900</v>
      </c>
      <c r="Y46" s="52">
        <f>+VLOOKUP(E46,[2]Sheet1!$B$11:$J$400,9,0)</f>
        <v>8845200</v>
      </c>
      <c r="Z46" s="52"/>
      <c r="AA46" s="53" t="s">
        <v>1555</v>
      </c>
      <c r="AB46" s="45" t="s">
        <v>696</v>
      </c>
      <c r="AC46" s="45" t="str">
        <f>+VLOOKUP(E46,[3]Sheet1!$B$11:$I$388,8,0)</f>
        <v>79 - 025</v>
      </c>
      <c r="AD46" s="45" t="s">
        <v>34</v>
      </c>
      <c r="AE46" s="45" t="s">
        <v>854</v>
      </c>
      <c r="AF46" s="46" t="s">
        <v>854</v>
      </c>
      <c r="AG46" s="45">
        <f>+VALUE(AF46:AF446)</f>
        <v>36068002785</v>
      </c>
      <c r="AH46" s="54" t="s">
        <v>2144</v>
      </c>
      <c r="AI46" s="45" t="s">
        <v>599</v>
      </c>
      <c r="AJ46" s="45" t="s">
        <v>855</v>
      </c>
      <c r="AK46" s="44" t="s">
        <v>856</v>
      </c>
      <c r="AL46" s="45"/>
      <c r="AM46" s="45" t="s">
        <v>80</v>
      </c>
      <c r="AN46" s="45"/>
      <c r="AO46" s="45"/>
      <c r="AP46" s="45"/>
      <c r="AQ46" s="45"/>
      <c r="AR46" s="45"/>
      <c r="AS46" s="45"/>
      <c r="AT46" s="45"/>
      <c r="AU46" s="45"/>
      <c r="AV46" s="45"/>
      <c r="AX46" s="55" t="s">
        <v>2539</v>
      </c>
    </row>
    <row r="47" spans="1:100" x14ac:dyDescent="0.3">
      <c r="A47" s="43">
        <v>46</v>
      </c>
      <c r="B47" s="43">
        <v>46</v>
      </c>
      <c r="C47" s="43" t="s">
        <v>2540</v>
      </c>
      <c r="D47" s="43">
        <v>6</v>
      </c>
      <c r="E47" s="45" t="s">
        <v>688</v>
      </c>
      <c r="F47" s="46" t="s">
        <v>488</v>
      </c>
      <c r="G47" s="47">
        <v>28387</v>
      </c>
      <c r="H47" s="48">
        <f>+DATE(YEAR(G47)+62,MONTH(G47),DAY(G47))</f>
        <v>51032</v>
      </c>
      <c r="I47" s="48">
        <f t="shared" si="8"/>
        <v>51044</v>
      </c>
      <c r="J47" s="48">
        <f>+VLOOKUP(E47,'[1]DATA 06.2023'!$E$2:$J$390,6,0)</f>
        <v>51044</v>
      </c>
      <c r="K47" s="97">
        <v>36220</v>
      </c>
      <c r="L47" s="43" t="s">
        <v>29</v>
      </c>
      <c r="M47" s="49" t="s">
        <v>41</v>
      </c>
      <c r="N47" s="43" t="s">
        <v>34</v>
      </c>
      <c r="O47" s="47">
        <v>42309</v>
      </c>
      <c r="P47" s="98" t="s">
        <v>3178</v>
      </c>
      <c r="Q47" s="50" t="s">
        <v>76</v>
      </c>
      <c r="R47" s="51">
        <v>1.79</v>
      </c>
      <c r="S47" s="51"/>
      <c r="T47" s="45"/>
      <c r="U47" s="52">
        <f t="shared" si="3"/>
        <v>9504900</v>
      </c>
      <c r="V47" s="52">
        <f>+S47*4410000</f>
        <v>0</v>
      </c>
      <c r="W47" s="52">
        <f t="shared" si="7"/>
        <v>0</v>
      </c>
      <c r="X47" s="52">
        <f t="shared" si="2"/>
        <v>9504900</v>
      </c>
      <c r="Y47" s="52">
        <f>+VLOOKUP(E47,[2]Sheet1!$B$11:$J$400,9,0)</f>
        <v>7030400</v>
      </c>
      <c r="Z47" s="52"/>
      <c r="AA47" s="53" t="s">
        <v>1770</v>
      </c>
      <c r="AB47" s="99" t="s">
        <v>1282</v>
      </c>
      <c r="AC47" s="45" t="str">
        <f>+VLOOKUP(E47,[3]Sheet1!$B$11:$I$388,8,0)</f>
        <v>54 - 016</v>
      </c>
      <c r="AD47" s="45" t="s">
        <v>34</v>
      </c>
      <c r="AE47" s="99" t="s">
        <v>2903</v>
      </c>
      <c r="AF47" s="100" t="s">
        <v>2149</v>
      </c>
      <c r="AG47" s="99">
        <f>+VALUE(AF47:AF746)</f>
        <v>220935299</v>
      </c>
      <c r="AH47" s="99" t="s">
        <v>1482</v>
      </c>
      <c r="AI47" s="99" t="s">
        <v>1297</v>
      </c>
      <c r="AJ47" s="99" t="s">
        <v>1483</v>
      </c>
      <c r="AK47" s="101" t="s">
        <v>1344</v>
      </c>
      <c r="AL47" s="99"/>
      <c r="AM47" s="99" t="s">
        <v>502</v>
      </c>
      <c r="AN47" s="99"/>
      <c r="AO47" s="99"/>
      <c r="AP47" s="99"/>
      <c r="AQ47" s="99"/>
      <c r="AR47" s="99"/>
      <c r="AS47" s="99"/>
      <c r="AT47" s="99"/>
      <c r="AU47" s="99"/>
      <c r="AV47" s="99"/>
      <c r="AW47" s="55" t="s">
        <v>2314</v>
      </c>
      <c r="AX47" s="55" t="s">
        <v>2539</v>
      </c>
    </row>
    <row r="48" spans="1:100" s="58" customFormat="1" ht="24" x14ac:dyDescent="0.3">
      <c r="A48" s="43">
        <v>47</v>
      </c>
      <c r="B48" s="43">
        <v>47</v>
      </c>
      <c r="C48" s="43" t="s">
        <v>2540</v>
      </c>
      <c r="D48" s="43">
        <v>7</v>
      </c>
      <c r="E48" s="45" t="s">
        <v>106</v>
      </c>
      <c r="F48" s="46" t="s">
        <v>301</v>
      </c>
      <c r="G48" s="47">
        <v>30802</v>
      </c>
      <c r="H48" s="48">
        <f>+DATE(YEAR(G48)+62,MONTH(G48),DAY(G48))</f>
        <v>53447</v>
      </c>
      <c r="I48" s="48">
        <f t="shared" si="8"/>
        <v>53448</v>
      </c>
      <c r="J48" s="48">
        <f>+VLOOKUP(E48,'[1]DATA 06.2023'!$E$2:$J$390,6,0)</f>
        <v>53448</v>
      </c>
      <c r="K48" s="47">
        <v>38657</v>
      </c>
      <c r="L48" s="43" t="s">
        <v>29</v>
      </c>
      <c r="M48" s="49" t="s">
        <v>41</v>
      </c>
      <c r="N48" s="43" t="s">
        <v>34</v>
      </c>
      <c r="O48" s="47">
        <v>43344</v>
      </c>
      <c r="P48" s="84" t="s">
        <v>3239</v>
      </c>
      <c r="Q48" s="60" t="s">
        <v>76</v>
      </c>
      <c r="R48" s="43">
        <v>1.79</v>
      </c>
      <c r="S48" s="51"/>
      <c r="T48" s="45"/>
      <c r="U48" s="52">
        <f t="shared" si="3"/>
        <v>9504900</v>
      </c>
      <c r="V48" s="52">
        <f>+S48*4960000</f>
        <v>0</v>
      </c>
      <c r="W48" s="52">
        <f t="shared" si="7"/>
        <v>0</v>
      </c>
      <c r="X48" s="52">
        <f t="shared" si="2"/>
        <v>9504900</v>
      </c>
      <c r="Y48" s="52">
        <f>+VLOOKUP(E48,[2]Sheet1!$B$11:$J$400,9,0)</f>
        <v>7909200</v>
      </c>
      <c r="Z48" s="52"/>
      <c r="AA48" s="53" t="s">
        <v>1566</v>
      </c>
      <c r="AB48" s="45" t="s">
        <v>981</v>
      </c>
      <c r="AC48" s="45" t="str">
        <f>+VLOOKUP(E48,[3]Sheet1!$B$11:$I$388,8,0)</f>
        <v>79 - 016</v>
      </c>
      <c r="AD48" s="45" t="s">
        <v>34</v>
      </c>
      <c r="AE48" s="45" t="s">
        <v>2753</v>
      </c>
      <c r="AF48" s="46" t="s">
        <v>895</v>
      </c>
      <c r="AG48" s="45">
        <f>+VALUE(AF36:AF436)</f>
        <v>321159542</v>
      </c>
      <c r="AH48" s="45" t="s">
        <v>896</v>
      </c>
      <c r="AI48" s="45" t="s">
        <v>897</v>
      </c>
      <c r="AJ48" s="45" t="s">
        <v>3118</v>
      </c>
      <c r="AK48" s="44" t="s">
        <v>898</v>
      </c>
      <c r="AL48" s="45"/>
      <c r="AM48" s="59" t="s">
        <v>2046</v>
      </c>
      <c r="AN48" s="45"/>
      <c r="AO48" s="45"/>
      <c r="AP48" s="45"/>
      <c r="AQ48" s="45"/>
      <c r="AR48" s="45"/>
      <c r="AS48" s="45"/>
      <c r="AT48" s="45"/>
      <c r="AU48" s="45"/>
      <c r="AV48" s="45"/>
      <c r="AW48" s="55"/>
      <c r="AX48" s="55" t="s">
        <v>2539</v>
      </c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5"/>
      <c r="CK48" s="55"/>
      <c r="CL48" s="55"/>
      <c r="CM48" s="55"/>
      <c r="CN48" s="55"/>
      <c r="CO48" s="55"/>
      <c r="CP48" s="55"/>
      <c r="CQ48" s="55"/>
      <c r="CR48" s="55"/>
      <c r="CS48" s="55"/>
      <c r="CT48" s="55"/>
      <c r="CU48" s="55"/>
      <c r="CV48" s="55"/>
    </row>
    <row r="49" spans="1:100" x14ac:dyDescent="0.3">
      <c r="A49" s="43">
        <v>48</v>
      </c>
      <c r="B49" s="43">
        <v>48</v>
      </c>
      <c r="C49" s="102" t="s">
        <v>3244</v>
      </c>
      <c r="D49" s="103">
        <v>1</v>
      </c>
      <c r="E49" s="64" t="s">
        <v>127</v>
      </c>
      <c r="F49" s="46" t="s">
        <v>327</v>
      </c>
      <c r="G49" s="47">
        <v>31343</v>
      </c>
      <c r="H49" s="47">
        <f t="shared" ref="H49:H58" si="9">+DATE(YEAR(G49)+57,MONTH(G49),DAY(G49))</f>
        <v>52162</v>
      </c>
      <c r="I49" s="48">
        <f t="shared" si="8"/>
        <v>52171</v>
      </c>
      <c r="J49" s="48">
        <v>52171</v>
      </c>
      <c r="K49" s="67">
        <v>40026</v>
      </c>
      <c r="L49" s="104" t="s">
        <v>3243</v>
      </c>
      <c r="M49" s="105" t="s">
        <v>287</v>
      </c>
      <c r="N49" s="106" t="s">
        <v>281</v>
      </c>
      <c r="O49" s="67">
        <v>42309</v>
      </c>
      <c r="P49" s="68"/>
      <c r="Q49" s="68" t="s">
        <v>71</v>
      </c>
      <c r="R49" s="70">
        <v>1.49</v>
      </c>
      <c r="S49" s="71"/>
      <c r="T49" s="72"/>
      <c r="U49" s="52">
        <f t="shared" si="3"/>
        <v>7911900</v>
      </c>
      <c r="V49" s="52">
        <f>+S49*4960000</f>
        <v>0</v>
      </c>
      <c r="W49" s="52">
        <f t="shared" si="7"/>
        <v>0</v>
      </c>
      <c r="X49" s="52">
        <f t="shared" si="2"/>
        <v>7911900</v>
      </c>
      <c r="Y49" s="52">
        <f>+VLOOKUP(E49,[2]Sheet1!$B$11:$J$400,9,0)</f>
        <v>6973200</v>
      </c>
      <c r="Z49" s="52"/>
      <c r="AA49" s="53" t="s">
        <v>1597</v>
      </c>
      <c r="AB49" s="72" t="s">
        <v>756</v>
      </c>
      <c r="AC49" s="45" t="str">
        <f>+VLOOKUP(E49,[3]Sheet1!$B$11:$I$388,8,0)</f>
        <v>79 - 014</v>
      </c>
      <c r="AD49" s="72" t="s">
        <v>1787</v>
      </c>
      <c r="AE49" s="72" t="s">
        <v>2790</v>
      </c>
      <c r="AF49" s="66" t="s">
        <v>1004</v>
      </c>
      <c r="AG49" s="45">
        <f>+VALUE(AF49:AF499)</f>
        <v>24080198</v>
      </c>
      <c r="AH49" s="72" t="s">
        <v>1005</v>
      </c>
      <c r="AI49" s="72" t="s">
        <v>599</v>
      </c>
      <c r="AJ49" s="72" t="s">
        <v>1006</v>
      </c>
      <c r="AK49" s="76" t="s">
        <v>894</v>
      </c>
      <c r="AL49" s="72"/>
      <c r="AM49" s="72" t="s">
        <v>502</v>
      </c>
      <c r="AN49" s="72"/>
      <c r="AO49" s="72"/>
      <c r="AP49" s="72"/>
      <c r="AQ49" s="72"/>
      <c r="AR49" s="72"/>
      <c r="AS49" s="72"/>
      <c r="AT49" s="72"/>
      <c r="AU49" s="72"/>
      <c r="AV49" s="72"/>
      <c r="AW49" s="77" t="s">
        <v>2195</v>
      </c>
      <c r="AX49" s="55" t="s">
        <v>2539</v>
      </c>
    </row>
    <row r="50" spans="1:100" x14ac:dyDescent="0.3">
      <c r="A50" s="43">
        <v>49</v>
      </c>
      <c r="B50" s="43">
        <v>49</v>
      </c>
      <c r="C50" s="102" t="s">
        <v>3244</v>
      </c>
      <c r="D50" s="107">
        <v>2</v>
      </c>
      <c r="E50" s="64" t="s">
        <v>1810</v>
      </c>
      <c r="F50" s="46" t="s">
        <v>330</v>
      </c>
      <c r="G50" s="47">
        <v>26893</v>
      </c>
      <c r="H50" s="47">
        <f t="shared" si="9"/>
        <v>47712</v>
      </c>
      <c r="I50" s="48">
        <f t="shared" si="8"/>
        <v>47727</v>
      </c>
      <c r="J50" s="48">
        <v>47727</v>
      </c>
      <c r="K50" s="67">
        <v>34274</v>
      </c>
      <c r="L50" s="104" t="s">
        <v>3243</v>
      </c>
      <c r="M50" s="105" t="s">
        <v>287</v>
      </c>
      <c r="N50" s="106" t="s">
        <v>3312</v>
      </c>
      <c r="O50" s="67">
        <v>39995</v>
      </c>
      <c r="P50" s="68"/>
      <c r="Q50" s="108" t="s">
        <v>74</v>
      </c>
      <c r="R50" s="70">
        <v>1.68</v>
      </c>
      <c r="S50" s="71">
        <v>0.06</v>
      </c>
      <c r="T50" s="72"/>
      <c r="U50" s="52">
        <f t="shared" si="3"/>
        <v>8920800</v>
      </c>
      <c r="V50" s="52">
        <f>+S50*4960000</f>
        <v>297600</v>
      </c>
      <c r="W50" s="52">
        <f t="shared" si="7"/>
        <v>0</v>
      </c>
      <c r="X50" s="52">
        <f t="shared" si="2"/>
        <v>9218400</v>
      </c>
      <c r="Y50" s="52">
        <f>+VLOOKUP(E50,[2]Sheet1!$B$11:$J$400,9,0)</f>
        <v>8143200</v>
      </c>
      <c r="Z50" s="52"/>
      <c r="AA50" s="53" t="s">
        <v>1600</v>
      </c>
      <c r="AB50" s="72" t="s">
        <v>738</v>
      </c>
      <c r="AC50" s="45" t="str">
        <f>+VLOOKUP(E50,[3]Sheet1!$B$11:$I$388,8,0)</f>
        <v>79 - 025</v>
      </c>
      <c r="AD50" s="72" t="s">
        <v>1787</v>
      </c>
      <c r="AE50" s="72" t="s">
        <v>1015</v>
      </c>
      <c r="AF50" s="66" t="s">
        <v>1015</v>
      </c>
      <c r="AG50" s="45">
        <f>+VALUE(AF50:AF502)</f>
        <v>15073000059</v>
      </c>
      <c r="AH50" s="72" t="s">
        <v>1016</v>
      </c>
      <c r="AI50" s="72" t="s">
        <v>599</v>
      </c>
      <c r="AJ50" s="72" t="s">
        <v>1017</v>
      </c>
      <c r="AK50" s="76" t="s">
        <v>1018</v>
      </c>
      <c r="AL50" s="72"/>
      <c r="AM50" s="72" t="s">
        <v>502</v>
      </c>
      <c r="AN50" s="72"/>
      <c r="AO50" s="72"/>
      <c r="AP50" s="72"/>
      <c r="AQ50" s="72"/>
      <c r="AR50" s="72"/>
      <c r="AS50" s="72"/>
      <c r="AT50" s="72"/>
      <c r="AU50" s="72"/>
      <c r="AV50" s="72"/>
      <c r="AW50" s="77" t="s">
        <v>2198</v>
      </c>
      <c r="AX50" s="55" t="s">
        <v>2539</v>
      </c>
    </row>
    <row r="51" spans="1:100" x14ac:dyDescent="0.3">
      <c r="A51" s="43">
        <v>50</v>
      </c>
      <c r="B51" s="43">
        <v>50</v>
      </c>
      <c r="C51" s="102" t="s">
        <v>3244</v>
      </c>
      <c r="D51" s="103">
        <v>3</v>
      </c>
      <c r="E51" s="64" t="s">
        <v>195</v>
      </c>
      <c r="F51" s="46" t="s">
        <v>404</v>
      </c>
      <c r="G51" s="47">
        <v>26212</v>
      </c>
      <c r="H51" s="47">
        <f t="shared" si="9"/>
        <v>47032</v>
      </c>
      <c r="I51" s="48">
        <f t="shared" si="8"/>
        <v>47058</v>
      </c>
      <c r="J51" s="48">
        <v>47058</v>
      </c>
      <c r="K51" s="109">
        <v>33117</v>
      </c>
      <c r="L51" s="104" t="s">
        <v>3243</v>
      </c>
      <c r="M51" s="105" t="s">
        <v>287</v>
      </c>
      <c r="N51" s="70" t="s">
        <v>281</v>
      </c>
      <c r="O51" s="109">
        <v>40725</v>
      </c>
      <c r="P51" s="110"/>
      <c r="Q51" s="111" t="s">
        <v>74</v>
      </c>
      <c r="R51" s="112">
        <v>1.68</v>
      </c>
      <c r="S51" s="113"/>
      <c r="T51" s="114"/>
      <c r="U51" s="52">
        <f t="shared" si="3"/>
        <v>8920800</v>
      </c>
      <c r="V51" s="52">
        <f>+S51*4410000</f>
        <v>0</v>
      </c>
      <c r="W51" s="52">
        <f t="shared" si="7"/>
        <v>0</v>
      </c>
      <c r="X51" s="52">
        <f t="shared" si="2"/>
        <v>8920800</v>
      </c>
      <c r="Y51" s="52">
        <f>+VLOOKUP(E51,[2]Sheet1!$B$11:$J$400,9,0)</f>
        <v>7598400</v>
      </c>
      <c r="Z51" s="52"/>
      <c r="AA51" s="53" t="s">
        <v>1675</v>
      </c>
      <c r="AB51" s="114" t="s">
        <v>1220</v>
      </c>
      <c r="AC51" s="45" t="str">
        <f>+VLOOKUP(E51,[3]Sheet1!$B$11:$I$388,8,0)</f>
        <v>60 - 171</v>
      </c>
      <c r="AD51" s="114" t="s">
        <v>1787</v>
      </c>
      <c r="AE51" s="114" t="s">
        <v>2871</v>
      </c>
      <c r="AF51" s="115" t="s">
        <v>2468</v>
      </c>
      <c r="AG51" s="45">
        <f>+VALUE(AF51:AF602)</f>
        <v>261153437</v>
      </c>
      <c r="AH51" s="114" t="s">
        <v>1221</v>
      </c>
      <c r="AI51" s="114" t="s">
        <v>515</v>
      </c>
      <c r="AJ51" s="114" t="s">
        <v>1222</v>
      </c>
      <c r="AK51" s="116" t="s">
        <v>1223</v>
      </c>
      <c r="AL51" s="114"/>
      <c r="AM51" s="114" t="s">
        <v>88</v>
      </c>
      <c r="AN51" s="114"/>
      <c r="AO51" s="114"/>
      <c r="AP51" s="114"/>
      <c r="AQ51" s="114"/>
      <c r="AR51" s="114"/>
      <c r="AS51" s="114"/>
      <c r="AT51" s="114"/>
      <c r="AU51" s="114"/>
      <c r="AV51" s="114"/>
      <c r="AW51" s="55" t="s">
        <v>2277</v>
      </c>
      <c r="AX51" s="55" t="s">
        <v>2539</v>
      </c>
    </row>
    <row r="52" spans="1:100" x14ac:dyDescent="0.3">
      <c r="A52" s="43">
        <v>51</v>
      </c>
      <c r="B52" s="43">
        <v>51</v>
      </c>
      <c r="C52" s="102" t="s">
        <v>3244</v>
      </c>
      <c r="D52" s="107">
        <v>4</v>
      </c>
      <c r="E52" s="45" t="s">
        <v>134</v>
      </c>
      <c r="F52" s="46" t="s">
        <v>344</v>
      </c>
      <c r="G52" s="47">
        <v>34222</v>
      </c>
      <c r="H52" s="47">
        <f t="shared" si="9"/>
        <v>55041</v>
      </c>
      <c r="I52" s="48">
        <f t="shared" si="8"/>
        <v>55062</v>
      </c>
      <c r="J52" s="48">
        <v>55062</v>
      </c>
      <c r="K52" s="67">
        <v>41671</v>
      </c>
      <c r="L52" s="104" t="s">
        <v>3243</v>
      </c>
      <c r="M52" s="105" t="s">
        <v>287</v>
      </c>
      <c r="N52" s="70" t="s">
        <v>281</v>
      </c>
      <c r="O52" s="67">
        <v>42370</v>
      </c>
      <c r="P52" s="68" t="s">
        <v>3238</v>
      </c>
      <c r="Q52" s="68" t="s">
        <v>76</v>
      </c>
      <c r="R52" s="70">
        <v>1.58</v>
      </c>
      <c r="S52" s="71"/>
      <c r="T52" s="72"/>
      <c r="U52" s="52">
        <f t="shared" si="3"/>
        <v>8389800</v>
      </c>
      <c r="V52" s="52">
        <f>+S52*4960000</f>
        <v>0</v>
      </c>
      <c r="W52" s="52">
        <f t="shared" si="7"/>
        <v>0</v>
      </c>
      <c r="X52" s="52">
        <f t="shared" si="2"/>
        <v>8389800</v>
      </c>
      <c r="Y52" s="52">
        <f>+VLOOKUP(E52,[2]Sheet1!$B$11:$J$400,9,0)</f>
        <v>6973200</v>
      </c>
      <c r="Z52" s="52"/>
      <c r="AA52" s="53" t="s">
        <v>1614</v>
      </c>
      <c r="AB52" s="72" t="s">
        <v>942</v>
      </c>
      <c r="AC52" s="45" t="str">
        <f>+VLOOKUP(E52,[3]Sheet1!$B$11:$I$388,8,0)</f>
        <v>79 - 034</v>
      </c>
      <c r="AD52" s="72" t="s">
        <v>1787</v>
      </c>
      <c r="AE52" s="72" t="s">
        <v>2805</v>
      </c>
      <c r="AF52" s="66" t="s">
        <v>1065</v>
      </c>
      <c r="AG52" s="45">
        <f>+VALUE(AF52:AF517)</f>
        <v>173796145</v>
      </c>
      <c r="AH52" s="72" t="s">
        <v>1066</v>
      </c>
      <c r="AI52" s="72" t="s">
        <v>1028</v>
      </c>
      <c r="AJ52" s="72" t="s">
        <v>1067</v>
      </c>
      <c r="AK52" s="76" t="s">
        <v>1064</v>
      </c>
      <c r="AL52" s="72"/>
      <c r="AM52" s="72"/>
      <c r="AN52" s="72"/>
      <c r="AO52" s="72"/>
      <c r="AP52" s="72" t="s">
        <v>511</v>
      </c>
      <c r="AQ52" s="72"/>
      <c r="AR52" s="72"/>
      <c r="AS52" s="72"/>
      <c r="AT52" s="72"/>
      <c r="AU52" s="72"/>
      <c r="AV52" s="72"/>
      <c r="AW52" s="77" t="s">
        <v>2212</v>
      </c>
      <c r="AX52" s="55" t="s">
        <v>2539</v>
      </c>
    </row>
    <row r="53" spans="1:100" x14ac:dyDescent="0.3">
      <c r="A53" s="43">
        <v>52</v>
      </c>
      <c r="B53" s="43">
        <v>52</v>
      </c>
      <c r="C53" s="102" t="s">
        <v>3244</v>
      </c>
      <c r="D53" s="103">
        <v>5</v>
      </c>
      <c r="E53" s="65" t="s">
        <v>129</v>
      </c>
      <c r="F53" s="46" t="s">
        <v>331</v>
      </c>
      <c r="G53" s="47">
        <v>31757</v>
      </c>
      <c r="H53" s="47">
        <f t="shared" si="9"/>
        <v>52576</v>
      </c>
      <c r="I53" s="48">
        <f t="shared" si="8"/>
        <v>52597</v>
      </c>
      <c r="J53" s="48">
        <v>52597</v>
      </c>
      <c r="K53" s="67">
        <v>41671</v>
      </c>
      <c r="L53" s="104" t="s">
        <v>3243</v>
      </c>
      <c r="M53" s="105" t="s">
        <v>287</v>
      </c>
      <c r="N53" s="70" t="s">
        <v>281</v>
      </c>
      <c r="O53" s="67">
        <v>42370</v>
      </c>
      <c r="P53" s="68" t="s">
        <v>3238</v>
      </c>
      <c r="Q53" s="68" t="s">
        <v>76</v>
      </c>
      <c r="R53" s="70">
        <v>1.58</v>
      </c>
      <c r="S53" s="71"/>
      <c r="T53" s="72"/>
      <c r="U53" s="52">
        <f t="shared" si="3"/>
        <v>8389800</v>
      </c>
      <c r="V53" s="52">
        <f>+S53*4960000</f>
        <v>0</v>
      </c>
      <c r="W53" s="52">
        <f t="shared" si="7"/>
        <v>0</v>
      </c>
      <c r="X53" s="52">
        <f t="shared" si="2"/>
        <v>8389800</v>
      </c>
      <c r="Y53" s="52">
        <f>+VLOOKUP(E53,[2]Sheet1!$B$11:$J$400,9,0)</f>
        <v>6973200</v>
      </c>
      <c r="Z53" s="52"/>
      <c r="AA53" s="53" t="s">
        <v>1601</v>
      </c>
      <c r="AB53" s="72" t="s">
        <v>1019</v>
      </c>
      <c r="AC53" s="45" t="str">
        <f>+VLOOKUP(E53,[3]Sheet1!$B$11:$I$388,8,0)</f>
        <v>79 - 033</v>
      </c>
      <c r="AD53" s="72" t="s">
        <v>1787</v>
      </c>
      <c r="AE53" s="72" t="s">
        <v>2766</v>
      </c>
      <c r="AF53" s="66" t="s">
        <v>2097</v>
      </c>
      <c r="AG53" s="45">
        <f>+VALUE(AF53:AF462)</f>
        <v>197163710</v>
      </c>
      <c r="AH53" s="72" t="s">
        <v>1020</v>
      </c>
      <c r="AI53" s="72" t="s">
        <v>1021</v>
      </c>
      <c r="AJ53" s="72" t="s">
        <v>1022</v>
      </c>
      <c r="AK53" s="76" t="s">
        <v>1023</v>
      </c>
      <c r="AL53" s="72"/>
      <c r="AM53" s="72"/>
      <c r="AN53" s="72"/>
      <c r="AO53" s="72"/>
      <c r="AP53" s="72" t="s">
        <v>511</v>
      </c>
      <c r="AQ53" s="72"/>
      <c r="AR53" s="72"/>
      <c r="AS53" s="72"/>
      <c r="AT53" s="72"/>
      <c r="AU53" s="72"/>
      <c r="AV53" s="72"/>
      <c r="AW53" s="77" t="s">
        <v>2165</v>
      </c>
      <c r="AX53" s="55" t="s">
        <v>2539</v>
      </c>
    </row>
    <row r="54" spans="1:100" s="82" customFormat="1" x14ac:dyDescent="0.3">
      <c r="A54" s="43">
        <v>53</v>
      </c>
      <c r="B54" s="43">
        <v>53</v>
      </c>
      <c r="C54" s="102" t="s">
        <v>3244</v>
      </c>
      <c r="D54" s="107">
        <v>6</v>
      </c>
      <c r="E54" s="78" t="s">
        <v>122</v>
      </c>
      <c r="F54" s="46" t="s">
        <v>319</v>
      </c>
      <c r="G54" s="47">
        <v>31676</v>
      </c>
      <c r="H54" s="47">
        <f t="shared" si="9"/>
        <v>52495</v>
      </c>
      <c r="I54" s="48">
        <f t="shared" si="8"/>
        <v>52505</v>
      </c>
      <c r="J54" s="48">
        <v>49249</v>
      </c>
      <c r="K54" s="67">
        <v>39479</v>
      </c>
      <c r="L54" s="104" t="s">
        <v>3243</v>
      </c>
      <c r="M54" s="105" t="s">
        <v>287</v>
      </c>
      <c r="N54" s="70" t="s">
        <v>281</v>
      </c>
      <c r="O54" s="67">
        <v>43405</v>
      </c>
      <c r="P54" s="68"/>
      <c r="Q54" s="68" t="s">
        <v>76</v>
      </c>
      <c r="R54" s="70">
        <v>1.58</v>
      </c>
      <c r="S54" s="71"/>
      <c r="T54" s="72"/>
      <c r="U54" s="52">
        <f t="shared" si="3"/>
        <v>8389800</v>
      </c>
      <c r="V54" s="52">
        <f>+S54*4960000</f>
        <v>0</v>
      </c>
      <c r="W54" s="52">
        <f t="shared" si="7"/>
        <v>0</v>
      </c>
      <c r="X54" s="52">
        <f t="shared" si="2"/>
        <v>8389800</v>
      </c>
      <c r="Y54" s="52">
        <f>+VLOOKUP(E54,[2]Sheet1!$B$11:$J$400,9,0)</f>
        <v>7394400</v>
      </c>
      <c r="Z54" s="52"/>
      <c r="AA54" s="53" t="s">
        <v>1589</v>
      </c>
      <c r="AB54" s="72" t="s">
        <v>942</v>
      </c>
      <c r="AC54" s="45" t="str">
        <f>+VLOOKUP(E54,[3]Sheet1!$B$11:$I$388,8,0)</f>
        <v>79 - 031</v>
      </c>
      <c r="AD54" s="72" t="s">
        <v>1787</v>
      </c>
      <c r="AE54" s="72" t="s">
        <v>2784</v>
      </c>
      <c r="AF54" s="66" t="s">
        <v>975</v>
      </c>
      <c r="AG54" s="45">
        <f>+VALUE(AF54:AF490)</f>
        <v>186280677</v>
      </c>
      <c r="AH54" s="72" t="s">
        <v>628</v>
      </c>
      <c r="AI54" s="72" t="s">
        <v>754</v>
      </c>
      <c r="AJ54" s="72" t="s">
        <v>976</v>
      </c>
      <c r="AK54" s="76" t="s">
        <v>746</v>
      </c>
      <c r="AL54" s="72"/>
      <c r="AM54" s="72" t="s">
        <v>3059</v>
      </c>
      <c r="AN54" s="72"/>
      <c r="AO54" s="72" t="s">
        <v>504</v>
      </c>
      <c r="AP54" s="72"/>
      <c r="AQ54" s="72"/>
      <c r="AR54" s="72"/>
      <c r="AS54" s="72"/>
      <c r="AT54" s="72"/>
      <c r="AU54" s="72"/>
      <c r="AV54" s="72"/>
      <c r="AW54" s="77" t="s">
        <v>2188</v>
      </c>
      <c r="AX54" s="55" t="s">
        <v>2539</v>
      </c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  <c r="CM54" s="55"/>
      <c r="CN54" s="55"/>
      <c r="CO54" s="55"/>
      <c r="CP54" s="55"/>
      <c r="CQ54" s="55"/>
      <c r="CR54" s="55"/>
      <c r="CS54" s="55"/>
      <c r="CT54" s="55"/>
      <c r="CU54" s="55"/>
      <c r="CV54" s="55"/>
    </row>
    <row r="55" spans="1:100" x14ac:dyDescent="0.3">
      <c r="A55" s="43">
        <v>54</v>
      </c>
      <c r="B55" s="43">
        <v>54</v>
      </c>
      <c r="C55" s="102" t="s">
        <v>3244</v>
      </c>
      <c r="D55" s="103">
        <v>7</v>
      </c>
      <c r="E55" s="78" t="s">
        <v>689</v>
      </c>
      <c r="F55" s="46" t="s">
        <v>489</v>
      </c>
      <c r="G55" s="47">
        <v>26573</v>
      </c>
      <c r="H55" s="47">
        <f t="shared" si="9"/>
        <v>47392</v>
      </c>
      <c r="I55" s="48">
        <f t="shared" si="8"/>
        <v>47423</v>
      </c>
      <c r="J55" s="48">
        <v>47423</v>
      </c>
      <c r="K55" s="97">
        <v>34851</v>
      </c>
      <c r="L55" s="104" t="s">
        <v>3243</v>
      </c>
      <c r="M55" s="105" t="s">
        <v>287</v>
      </c>
      <c r="N55" s="70" t="s">
        <v>281</v>
      </c>
      <c r="O55" s="97">
        <v>40725</v>
      </c>
      <c r="P55" s="117"/>
      <c r="Q55" s="118" t="s">
        <v>74</v>
      </c>
      <c r="R55" s="119">
        <v>1.68</v>
      </c>
      <c r="S55" s="119"/>
      <c r="T55" s="99"/>
      <c r="U55" s="52">
        <f t="shared" si="3"/>
        <v>8920800</v>
      </c>
      <c r="V55" s="52">
        <f>+S55*4410000</f>
        <v>0</v>
      </c>
      <c r="W55" s="52">
        <f t="shared" si="7"/>
        <v>0</v>
      </c>
      <c r="X55" s="52">
        <f t="shared" si="2"/>
        <v>8920800</v>
      </c>
      <c r="Y55" s="52">
        <f>+VLOOKUP(E55,[2]Sheet1!$B$11:$J$400,9,0)</f>
        <v>6988800</v>
      </c>
      <c r="Z55" s="52"/>
      <c r="AA55" s="53" t="s">
        <v>1771</v>
      </c>
      <c r="AB55" s="99" t="s">
        <v>798</v>
      </c>
      <c r="AC55" s="45" t="str">
        <f>+VLOOKUP(E55,[3]Sheet1!$B$11:$I$388,8,0)</f>
        <v>54 - 016</v>
      </c>
      <c r="AD55" s="99" t="s">
        <v>1787</v>
      </c>
      <c r="AE55" s="99" t="s">
        <v>2984</v>
      </c>
      <c r="AF55" s="100">
        <v>221126263</v>
      </c>
      <c r="AG55" s="99">
        <f>+VALUE(AF55:AF396)</f>
        <v>221126263</v>
      </c>
      <c r="AH55" s="99" t="s">
        <v>1484</v>
      </c>
      <c r="AI55" s="99" t="s">
        <v>1297</v>
      </c>
      <c r="AJ55" s="99" t="s">
        <v>1481</v>
      </c>
      <c r="AK55" s="101" t="s">
        <v>889</v>
      </c>
      <c r="AL55" s="99"/>
      <c r="AM55" s="99"/>
      <c r="AN55" s="99"/>
      <c r="AO55" s="99" t="s">
        <v>575</v>
      </c>
      <c r="AP55" s="99"/>
      <c r="AQ55" s="99"/>
      <c r="AR55" s="99"/>
      <c r="AS55" s="99"/>
      <c r="AT55" s="99"/>
      <c r="AU55" s="99"/>
      <c r="AV55" s="99"/>
      <c r="AW55" s="55" t="s">
        <v>2394</v>
      </c>
      <c r="AX55" s="55" t="s">
        <v>2539</v>
      </c>
    </row>
    <row r="56" spans="1:100" s="58" customFormat="1" x14ac:dyDescent="0.3">
      <c r="A56" s="43">
        <v>55</v>
      </c>
      <c r="B56" s="43">
        <v>55</v>
      </c>
      <c r="C56" s="102" t="s">
        <v>3244</v>
      </c>
      <c r="D56" s="107">
        <v>8</v>
      </c>
      <c r="E56" s="83" t="s">
        <v>115</v>
      </c>
      <c r="F56" s="46" t="s">
        <v>312</v>
      </c>
      <c r="G56" s="47">
        <v>30891</v>
      </c>
      <c r="H56" s="47">
        <f t="shared" si="9"/>
        <v>51710</v>
      </c>
      <c r="I56" s="48">
        <f t="shared" si="8"/>
        <v>51714</v>
      </c>
      <c r="J56" s="48">
        <v>51714</v>
      </c>
      <c r="K56" s="47">
        <v>39479</v>
      </c>
      <c r="L56" s="104" t="s">
        <v>3243</v>
      </c>
      <c r="M56" s="105" t="s">
        <v>287</v>
      </c>
      <c r="N56" s="70" t="s">
        <v>3313</v>
      </c>
      <c r="O56" s="47">
        <v>43344</v>
      </c>
      <c r="P56" s="60" t="s">
        <v>3239</v>
      </c>
      <c r="Q56" s="60" t="s">
        <v>71</v>
      </c>
      <c r="R56" s="43">
        <v>1.68</v>
      </c>
      <c r="S56" s="51">
        <v>0.04</v>
      </c>
      <c r="T56" s="45"/>
      <c r="U56" s="52">
        <f t="shared" si="3"/>
        <v>8920800</v>
      </c>
      <c r="V56" s="52">
        <f t="shared" ref="V56:V101" si="10">+S56*4960000</f>
        <v>198400</v>
      </c>
      <c r="W56" s="52">
        <f t="shared" si="7"/>
        <v>0</v>
      </c>
      <c r="X56" s="52">
        <f t="shared" si="2"/>
        <v>9119200</v>
      </c>
      <c r="Y56" s="52">
        <f>+VLOOKUP(E56,[2]Sheet1!$B$11:$J$400,9,0)</f>
        <v>7441200</v>
      </c>
      <c r="Z56" s="52"/>
      <c r="AA56" s="53" t="s">
        <v>1578</v>
      </c>
      <c r="AB56" s="45" t="s">
        <v>942</v>
      </c>
      <c r="AC56" s="45" t="str">
        <f>+VLOOKUP(E56,[3]Sheet1!$B$11:$I$388,8,0)</f>
        <v>79 - 034</v>
      </c>
      <c r="AD56" s="99" t="s">
        <v>1787</v>
      </c>
      <c r="AE56" s="45" t="s">
        <v>2743</v>
      </c>
      <c r="AF56" s="46">
        <v>281295218</v>
      </c>
      <c r="AG56" s="45">
        <f>+VALUE(AF56:AF412)</f>
        <v>281295218</v>
      </c>
      <c r="AH56" s="45" t="s">
        <v>943</v>
      </c>
      <c r="AI56" s="45" t="s">
        <v>579</v>
      </c>
      <c r="AJ56" s="45" t="s">
        <v>944</v>
      </c>
      <c r="AK56" s="44" t="s">
        <v>945</v>
      </c>
      <c r="AL56" s="45"/>
      <c r="AM56" s="45" t="s">
        <v>1805</v>
      </c>
      <c r="AN56" s="45"/>
      <c r="AO56" s="45"/>
      <c r="AP56" s="45"/>
      <c r="AQ56" s="45"/>
      <c r="AR56" s="45"/>
      <c r="AS56" s="45"/>
      <c r="AT56" s="45"/>
      <c r="AU56" s="45"/>
      <c r="AV56" s="45"/>
      <c r="AW56" s="55"/>
      <c r="AX56" s="55" t="s">
        <v>2539</v>
      </c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  <c r="CP56" s="55"/>
      <c r="CQ56" s="55"/>
      <c r="CR56" s="55"/>
      <c r="CS56" s="55"/>
      <c r="CT56" s="55"/>
      <c r="CU56" s="55"/>
      <c r="CV56" s="55"/>
    </row>
    <row r="57" spans="1:100" s="58" customFormat="1" x14ac:dyDescent="0.3">
      <c r="A57" s="43">
        <v>56</v>
      </c>
      <c r="B57" s="43">
        <v>56</v>
      </c>
      <c r="C57" s="102" t="s">
        <v>3244</v>
      </c>
      <c r="D57" s="103">
        <v>9</v>
      </c>
      <c r="E57" s="83" t="s">
        <v>1813</v>
      </c>
      <c r="F57" s="46" t="s">
        <v>335</v>
      </c>
      <c r="G57" s="47">
        <v>26679</v>
      </c>
      <c r="H57" s="47">
        <f t="shared" si="9"/>
        <v>47498</v>
      </c>
      <c r="I57" s="48">
        <f t="shared" si="8"/>
        <v>47515</v>
      </c>
      <c r="J57" s="48">
        <v>47515</v>
      </c>
      <c r="K57" s="47">
        <v>36220</v>
      </c>
      <c r="L57" s="104" t="s">
        <v>3243</v>
      </c>
      <c r="M57" s="105" t="s">
        <v>287</v>
      </c>
      <c r="N57" s="70" t="s">
        <v>281</v>
      </c>
      <c r="O57" s="47">
        <v>43344</v>
      </c>
      <c r="P57" s="60" t="s">
        <v>3239</v>
      </c>
      <c r="Q57" s="60" t="s">
        <v>74</v>
      </c>
      <c r="R57" s="43">
        <v>1.68</v>
      </c>
      <c r="S57" s="51"/>
      <c r="T57" s="45"/>
      <c r="U57" s="52">
        <f t="shared" si="3"/>
        <v>8920800</v>
      </c>
      <c r="V57" s="52">
        <f t="shared" si="10"/>
        <v>0</v>
      </c>
      <c r="W57" s="52">
        <f t="shared" si="7"/>
        <v>0</v>
      </c>
      <c r="X57" s="52">
        <f t="shared" si="2"/>
        <v>8920800</v>
      </c>
      <c r="Y57" s="52">
        <f>+VLOOKUP(E57,[2]Sheet1!$B$11:$J$400,9,0)</f>
        <v>8377200</v>
      </c>
      <c r="Z57" s="52"/>
      <c r="AA57" s="53" t="s">
        <v>1605</v>
      </c>
      <c r="AB57" s="45" t="s">
        <v>859</v>
      </c>
      <c r="AC57" s="45" t="str">
        <f>+VLOOKUP(E57,[3]Sheet1!$B$11:$I$388,8,0)</f>
        <v>79 - 037</v>
      </c>
      <c r="AD57" s="99" t="s">
        <v>1787</v>
      </c>
      <c r="AE57" s="45" t="s">
        <v>2744</v>
      </c>
      <c r="AF57" s="46">
        <v>280944158</v>
      </c>
      <c r="AG57" s="45">
        <f>+VALUE(AF57:AF413)</f>
        <v>280944158</v>
      </c>
      <c r="AH57" s="45" t="s">
        <v>1033</v>
      </c>
      <c r="AI57" s="45" t="s">
        <v>579</v>
      </c>
      <c r="AJ57" s="45" t="s">
        <v>1034</v>
      </c>
      <c r="AK57" s="44" t="s">
        <v>1035</v>
      </c>
      <c r="AL57" s="45"/>
      <c r="AM57" s="45" t="s">
        <v>502</v>
      </c>
      <c r="AN57" s="45"/>
      <c r="AO57" s="45"/>
      <c r="AP57" s="45"/>
      <c r="AQ57" s="45"/>
      <c r="AR57" s="45"/>
      <c r="AS57" s="45"/>
      <c r="AT57" s="45"/>
      <c r="AU57" s="45"/>
      <c r="AV57" s="45"/>
      <c r="AW57" s="55"/>
      <c r="AX57" s="55" t="s">
        <v>2539</v>
      </c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5"/>
      <c r="BZ57" s="55"/>
      <c r="CA57" s="55"/>
      <c r="CB57" s="55"/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5"/>
      <c r="CP57" s="55"/>
      <c r="CQ57" s="55"/>
      <c r="CR57" s="55"/>
      <c r="CS57" s="55"/>
      <c r="CT57" s="55"/>
      <c r="CU57" s="55"/>
      <c r="CV57" s="55"/>
    </row>
    <row r="58" spans="1:100" s="58" customFormat="1" x14ac:dyDescent="0.3">
      <c r="A58" s="43">
        <v>57</v>
      </c>
      <c r="B58" s="43">
        <v>57</v>
      </c>
      <c r="C58" s="102" t="s">
        <v>3244</v>
      </c>
      <c r="D58" s="107">
        <v>10</v>
      </c>
      <c r="E58" s="59" t="s">
        <v>1816</v>
      </c>
      <c r="F58" s="46" t="s">
        <v>338</v>
      </c>
      <c r="G58" s="47">
        <v>25974</v>
      </c>
      <c r="H58" s="47">
        <f t="shared" si="9"/>
        <v>46793</v>
      </c>
      <c r="I58" s="48">
        <f t="shared" si="8"/>
        <v>46813</v>
      </c>
      <c r="J58" s="48">
        <v>46813</v>
      </c>
      <c r="K58" s="47">
        <v>34973</v>
      </c>
      <c r="L58" s="104" t="s">
        <v>3243</v>
      </c>
      <c r="M58" s="105" t="s">
        <v>287</v>
      </c>
      <c r="N58" s="70" t="s">
        <v>281</v>
      </c>
      <c r="O58" s="47">
        <v>42979</v>
      </c>
      <c r="P58" s="60"/>
      <c r="Q58" s="60" t="s">
        <v>74</v>
      </c>
      <c r="R58" s="43">
        <v>1.68</v>
      </c>
      <c r="S58" s="51"/>
      <c r="T58" s="45"/>
      <c r="U58" s="52">
        <f t="shared" si="3"/>
        <v>8920800</v>
      </c>
      <c r="V58" s="52">
        <f t="shared" si="10"/>
        <v>0</v>
      </c>
      <c r="W58" s="52">
        <f t="shared" si="7"/>
        <v>0</v>
      </c>
      <c r="X58" s="52">
        <f t="shared" si="2"/>
        <v>8920800</v>
      </c>
      <c r="Y58" s="52">
        <f>+VLOOKUP(E58,[2]Sheet1!$B$11:$J$400,9,0)</f>
        <v>7909200</v>
      </c>
      <c r="Z58" s="52"/>
      <c r="AA58" s="53" t="s">
        <v>1608</v>
      </c>
      <c r="AB58" s="45" t="s">
        <v>1044</v>
      </c>
      <c r="AC58" s="45" t="str">
        <f>+VLOOKUP(E58,[3]Sheet1!$B$11:$I$388,8,0)</f>
        <v>75 - 003</v>
      </c>
      <c r="AD58" s="99" t="s">
        <v>1787</v>
      </c>
      <c r="AE58" s="45" t="s">
        <v>2745</v>
      </c>
      <c r="AF58" s="46">
        <v>271789859</v>
      </c>
      <c r="AG58" s="45">
        <f>+VALUE(AF58:AF414)</f>
        <v>271789859</v>
      </c>
      <c r="AH58" s="45" t="s">
        <v>1045</v>
      </c>
      <c r="AI58" s="45" t="s">
        <v>519</v>
      </c>
      <c r="AJ58" s="45" t="s">
        <v>2104</v>
      </c>
      <c r="AK58" s="44" t="s">
        <v>1046</v>
      </c>
      <c r="AL58" s="45"/>
      <c r="AM58" s="45" t="s">
        <v>561</v>
      </c>
      <c r="AN58" s="45"/>
      <c r="AO58" s="45"/>
      <c r="AP58" s="45"/>
      <c r="AQ58" s="45"/>
      <c r="AR58" s="45"/>
      <c r="AS58" s="45"/>
      <c r="AT58" s="45"/>
      <c r="AU58" s="45"/>
      <c r="AV58" s="45"/>
      <c r="AW58" s="55"/>
      <c r="AX58" s="55" t="s">
        <v>2539</v>
      </c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55"/>
      <c r="CV58" s="55"/>
    </row>
    <row r="59" spans="1:100" x14ac:dyDescent="0.3">
      <c r="A59" s="43">
        <v>58</v>
      </c>
      <c r="B59" s="43">
        <v>1</v>
      </c>
      <c r="C59" s="70" t="s">
        <v>2541</v>
      </c>
      <c r="D59" s="120">
        <v>1</v>
      </c>
      <c r="E59" s="65" t="s">
        <v>98</v>
      </c>
      <c r="F59" s="66" t="s">
        <v>155</v>
      </c>
      <c r="G59" s="67">
        <v>27921</v>
      </c>
      <c r="H59" s="48">
        <f>+DATE(YEAR(G59)+62,MONTH(G59),DAY(G59))</f>
        <v>50566</v>
      </c>
      <c r="I59" s="48">
        <f t="shared" ref="I59:I84" si="11">+EOMONTH(H59,0)+1</f>
        <v>50587</v>
      </c>
      <c r="J59" s="48">
        <f>+VLOOKUP(E59,'[1]DATA 06.2023'!$E$2:$J$390,6,0)</f>
        <v>50587</v>
      </c>
      <c r="K59" s="67">
        <v>34851</v>
      </c>
      <c r="L59" s="121" t="s">
        <v>715</v>
      </c>
      <c r="M59" s="122" t="s">
        <v>41</v>
      </c>
      <c r="N59" s="70" t="s">
        <v>278</v>
      </c>
      <c r="O59" s="67">
        <v>42370</v>
      </c>
      <c r="P59" s="68" t="s">
        <v>1514</v>
      </c>
      <c r="Q59" s="69" t="s">
        <v>74</v>
      </c>
      <c r="R59" s="71">
        <v>1.89</v>
      </c>
      <c r="S59" s="71">
        <v>0.25</v>
      </c>
      <c r="T59" s="72"/>
      <c r="U59" s="52">
        <f t="shared" si="3"/>
        <v>10035900</v>
      </c>
      <c r="V59" s="52">
        <f t="shared" si="10"/>
        <v>1240000</v>
      </c>
      <c r="W59" s="52">
        <f t="shared" si="7"/>
        <v>0</v>
      </c>
      <c r="X59" s="52">
        <f t="shared" si="2"/>
        <v>11275900</v>
      </c>
      <c r="Y59" s="52">
        <f>+VLOOKUP(E59,[2]Sheet1!$B$11:$J$400,9,0)</f>
        <v>10015200</v>
      </c>
      <c r="Z59" s="52"/>
      <c r="AA59" s="53" t="s">
        <v>1557</v>
      </c>
      <c r="AB59" s="72" t="s">
        <v>859</v>
      </c>
      <c r="AC59" s="45" t="str">
        <f>+VLOOKUP(E59,[3]Sheet1!$B$11:$I$388,8,0)</f>
        <v>79 - 034</v>
      </c>
      <c r="AD59" s="72" t="s">
        <v>1792</v>
      </c>
      <c r="AE59" s="72" t="s">
        <v>2759</v>
      </c>
      <c r="AF59" s="66" t="s">
        <v>860</v>
      </c>
      <c r="AG59" s="45">
        <f>+VALUE(AF59:AF450)</f>
        <v>264418886</v>
      </c>
      <c r="AH59" s="72" t="s">
        <v>861</v>
      </c>
      <c r="AI59" s="72" t="s">
        <v>503</v>
      </c>
      <c r="AJ59" s="72" t="s">
        <v>862</v>
      </c>
      <c r="AK59" s="76" t="s">
        <v>863</v>
      </c>
      <c r="AL59" s="72"/>
      <c r="AM59" s="72" t="s">
        <v>88</v>
      </c>
      <c r="AN59" s="72"/>
      <c r="AO59" s="72"/>
      <c r="AP59" s="72"/>
      <c r="AQ59" s="72"/>
      <c r="AR59" s="72"/>
      <c r="AS59" s="72"/>
      <c r="AT59" s="72"/>
      <c r="AU59" s="72"/>
      <c r="AV59" s="72"/>
      <c r="AW59" s="77" t="s">
        <v>2154</v>
      </c>
      <c r="AX59" s="55" t="s">
        <v>1517</v>
      </c>
    </row>
    <row r="60" spans="1:100" x14ac:dyDescent="0.3">
      <c r="A60" s="43">
        <v>59</v>
      </c>
      <c r="B60" s="43">
        <v>2</v>
      </c>
      <c r="C60" s="70" t="s">
        <v>2541</v>
      </c>
      <c r="D60" s="63">
        <v>2</v>
      </c>
      <c r="E60" s="64" t="s">
        <v>162</v>
      </c>
      <c r="F60" s="46" t="s">
        <v>369</v>
      </c>
      <c r="G60" s="47">
        <v>27693</v>
      </c>
      <c r="H60" s="48">
        <f>+DATE(YEAR(G60)+62,MONTH(G60),DAY(G60))</f>
        <v>50339</v>
      </c>
      <c r="I60" s="48">
        <f>+EOMONTH(H60,0)+1</f>
        <v>50345</v>
      </c>
      <c r="J60" s="48">
        <f>+VLOOKUP(E60,'[1]DATA 06.2023'!$E$2:$J$390,6,0)</f>
        <v>50345</v>
      </c>
      <c r="K60" s="47">
        <v>34973</v>
      </c>
      <c r="L60" s="121" t="s">
        <v>715</v>
      </c>
      <c r="M60" s="49" t="s">
        <v>41</v>
      </c>
      <c r="N60" s="43" t="s">
        <v>33</v>
      </c>
      <c r="O60" s="47">
        <v>41821</v>
      </c>
      <c r="P60" s="98" t="s">
        <v>1514</v>
      </c>
      <c r="Q60" s="50" t="s">
        <v>74</v>
      </c>
      <c r="R60" s="51">
        <v>1.89</v>
      </c>
      <c r="S60" s="51">
        <v>0.25</v>
      </c>
      <c r="T60" s="45"/>
      <c r="U60" s="52">
        <f>+R60*5310000</f>
        <v>10035900</v>
      </c>
      <c r="V60" s="52">
        <f t="shared" si="10"/>
        <v>1240000</v>
      </c>
      <c r="W60" s="52">
        <f t="shared" si="7"/>
        <v>0</v>
      </c>
      <c r="X60" s="52">
        <f>+U60+V60+W60</f>
        <v>11275900</v>
      </c>
      <c r="Y60" s="52">
        <f>+VLOOKUP(E60,[2]Sheet1!$B$11:$J$400,9,0)</f>
        <v>7862400</v>
      </c>
      <c r="Z60" s="52"/>
      <c r="AA60" s="53" t="s">
        <v>1640</v>
      </c>
      <c r="AB60" s="45" t="s">
        <v>820</v>
      </c>
      <c r="AC60" s="45" t="str">
        <f>+VLOOKUP(E60,[3]Sheet1!$B$11:$I$388,8,0)</f>
        <v>58 - 114</v>
      </c>
      <c r="AD60" s="45" t="s">
        <v>33</v>
      </c>
      <c r="AE60" s="123" t="s">
        <v>3082</v>
      </c>
      <c r="AF60" s="115" t="s">
        <v>2436</v>
      </c>
      <c r="AG60" s="45">
        <f>+VALUE(AF10:AF606)</f>
        <v>264050795</v>
      </c>
      <c r="AH60" s="114" t="s">
        <v>1139</v>
      </c>
      <c r="AI60" s="114" t="s">
        <v>503</v>
      </c>
      <c r="AJ60" s="114" t="s">
        <v>1140</v>
      </c>
      <c r="AK60" s="116" t="s">
        <v>548</v>
      </c>
      <c r="AL60" s="114"/>
      <c r="AM60" s="114" t="s">
        <v>502</v>
      </c>
      <c r="AN60" s="114"/>
      <c r="AO60" s="114"/>
      <c r="AP60" s="114"/>
      <c r="AQ60" s="114"/>
      <c r="AR60" s="114"/>
      <c r="AS60" s="114"/>
      <c r="AT60" s="114"/>
      <c r="AU60" s="114"/>
      <c r="AV60" s="114"/>
      <c r="AW60" s="55" t="s">
        <v>2240</v>
      </c>
      <c r="AX60" s="55" t="s">
        <v>1517</v>
      </c>
    </row>
    <row r="61" spans="1:100" s="82" customFormat="1" x14ac:dyDescent="0.3">
      <c r="A61" s="43">
        <v>60</v>
      </c>
      <c r="B61" s="43">
        <v>3</v>
      </c>
      <c r="C61" s="70" t="s">
        <v>2541</v>
      </c>
      <c r="D61" s="120">
        <v>3</v>
      </c>
      <c r="E61" s="78" t="s">
        <v>166</v>
      </c>
      <c r="F61" s="66" t="s">
        <v>373</v>
      </c>
      <c r="G61" s="67">
        <v>27182</v>
      </c>
      <c r="H61" s="48">
        <f>+DATE(YEAR(G61)+62,MONTH(G61),DAY(G61))</f>
        <v>49828</v>
      </c>
      <c r="I61" s="48">
        <f t="shared" si="11"/>
        <v>49857</v>
      </c>
      <c r="J61" s="48">
        <f>+VLOOKUP(E61,'[1]DATA 06.2023'!$E$2:$J$390,6,0)</f>
        <v>48030</v>
      </c>
      <c r="K61" s="67">
        <v>34639</v>
      </c>
      <c r="L61" s="121" t="s">
        <v>715</v>
      </c>
      <c r="M61" s="122" t="s">
        <v>43</v>
      </c>
      <c r="N61" s="70" t="s">
        <v>279</v>
      </c>
      <c r="O61" s="67">
        <v>41091</v>
      </c>
      <c r="P61" s="68"/>
      <c r="Q61" s="108" t="s">
        <v>71</v>
      </c>
      <c r="R61" s="70">
        <v>1.69</v>
      </c>
      <c r="S61" s="71"/>
      <c r="T61" s="72"/>
      <c r="U61" s="52">
        <f t="shared" si="3"/>
        <v>8973900</v>
      </c>
      <c r="V61" s="52">
        <f t="shared" si="10"/>
        <v>0</v>
      </c>
      <c r="W61" s="52">
        <f t="shared" si="7"/>
        <v>0</v>
      </c>
      <c r="X61" s="52">
        <f t="shared" si="2"/>
        <v>8973900</v>
      </c>
      <c r="Y61" s="52">
        <f>+VLOOKUP(E61,[2]Sheet1!$B$11:$J$400,9,0)</f>
        <v>7909200</v>
      </c>
      <c r="Z61" s="52"/>
      <c r="AA61" s="53" t="s">
        <v>1644</v>
      </c>
      <c r="AB61" s="72" t="s">
        <v>899</v>
      </c>
      <c r="AC61" s="45" t="str">
        <f>+VLOOKUP(E61,[3]Sheet1!$B$11:$I$388,8,0)</f>
        <v>79 - 034</v>
      </c>
      <c r="AD61" s="72" t="s">
        <v>1793</v>
      </c>
      <c r="AE61" s="72" t="s">
        <v>2778</v>
      </c>
      <c r="AF61" s="66" t="s">
        <v>2431</v>
      </c>
      <c r="AG61" s="45" t="e">
        <f>+VALUE(AF78:AF466)</f>
        <v>#VALUE!</v>
      </c>
      <c r="AH61" s="72" t="s">
        <v>1147</v>
      </c>
      <c r="AI61" s="72" t="s">
        <v>503</v>
      </c>
      <c r="AJ61" s="72" t="s">
        <v>1148</v>
      </c>
      <c r="AK61" s="76" t="s">
        <v>548</v>
      </c>
      <c r="AL61" s="72"/>
      <c r="AM61" s="72" t="s">
        <v>81</v>
      </c>
      <c r="AN61" s="72"/>
      <c r="AO61" s="72"/>
      <c r="AP61" s="72"/>
      <c r="AQ61" s="72"/>
      <c r="AR61" s="72"/>
      <c r="AS61" s="72"/>
      <c r="AT61" s="72"/>
      <c r="AU61" s="72"/>
      <c r="AV61" s="72"/>
      <c r="AW61" s="77" t="s">
        <v>2168</v>
      </c>
      <c r="AX61" s="55" t="s">
        <v>1517</v>
      </c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5"/>
      <c r="CJ61" s="55"/>
      <c r="CK61" s="55"/>
      <c r="CL61" s="55"/>
      <c r="CM61" s="55"/>
      <c r="CN61" s="55"/>
      <c r="CO61" s="55"/>
      <c r="CP61" s="55"/>
      <c r="CQ61" s="55"/>
      <c r="CR61" s="55"/>
      <c r="CS61" s="55"/>
      <c r="CT61" s="55"/>
      <c r="CU61" s="55"/>
      <c r="CV61" s="55"/>
    </row>
    <row r="62" spans="1:100" s="58" customFormat="1" x14ac:dyDescent="0.3">
      <c r="A62" s="43">
        <v>61</v>
      </c>
      <c r="B62" s="43">
        <v>4</v>
      </c>
      <c r="C62" s="70" t="s">
        <v>2541</v>
      </c>
      <c r="D62" s="63">
        <v>4</v>
      </c>
      <c r="E62" s="72" t="s">
        <v>133</v>
      </c>
      <c r="F62" s="66" t="s">
        <v>343</v>
      </c>
      <c r="G62" s="67">
        <v>34090</v>
      </c>
      <c r="H62" s="47">
        <f>+DATE(YEAR(G62)+57,MONTH(G62),DAY(G62))</f>
        <v>54909</v>
      </c>
      <c r="I62" s="48">
        <f t="shared" si="11"/>
        <v>54940</v>
      </c>
      <c r="J62" s="48">
        <v>54940</v>
      </c>
      <c r="K62" s="67">
        <v>41671</v>
      </c>
      <c r="L62" s="121" t="s">
        <v>715</v>
      </c>
      <c r="M62" s="122" t="s">
        <v>43</v>
      </c>
      <c r="N62" s="70" t="s">
        <v>279</v>
      </c>
      <c r="O62" s="67">
        <v>42370</v>
      </c>
      <c r="P62" s="68"/>
      <c r="Q62" s="124" t="s">
        <v>71</v>
      </c>
      <c r="R62" s="70">
        <v>1.5</v>
      </c>
      <c r="S62" s="71"/>
      <c r="T62" s="72"/>
      <c r="U62" s="52">
        <f t="shared" si="3"/>
        <v>7965000</v>
      </c>
      <c r="V62" s="52">
        <f t="shared" si="10"/>
        <v>0</v>
      </c>
      <c r="W62" s="52">
        <f t="shared" si="7"/>
        <v>0</v>
      </c>
      <c r="X62" s="52">
        <f t="shared" si="2"/>
        <v>7965000</v>
      </c>
      <c r="Y62" s="52">
        <f>+VLOOKUP(E62,[2]Sheet1!$B$11:$J$400,9,0)</f>
        <v>6973200</v>
      </c>
      <c r="Z62" s="52"/>
      <c r="AA62" s="53" t="s">
        <v>1613</v>
      </c>
      <c r="AB62" s="72" t="s">
        <v>934</v>
      </c>
      <c r="AC62" s="45" t="str">
        <f>+VLOOKUP(E62,[3]Sheet1!$B$11:$I$388,8,0)</f>
        <v>79 - 025</v>
      </c>
      <c r="AD62" s="72" t="s">
        <v>1793</v>
      </c>
      <c r="AE62" s="72" t="s">
        <v>2799</v>
      </c>
      <c r="AF62" s="66">
        <v>173793269</v>
      </c>
      <c r="AG62" s="72">
        <f>+VALUE(AF36:AF516)</f>
        <v>173793269</v>
      </c>
      <c r="AH62" s="72" t="s">
        <v>1061</v>
      </c>
      <c r="AI62" s="72" t="s">
        <v>1062</v>
      </c>
      <c r="AJ62" s="72" t="s">
        <v>1063</v>
      </c>
      <c r="AK62" s="76" t="s">
        <v>1064</v>
      </c>
      <c r="AL62" s="72"/>
      <c r="AM62" s="72"/>
      <c r="AN62" s="72"/>
      <c r="AO62" s="72"/>
      <c r="AP62" s="72" t="s">
        <v>511</v>
      </c>
      <c r="AQ62" s="72"/>
      <c r="AR62" s="72"/>
      <c r="AS62" s="72"/>
      <c r="AT62" s="72"/>
      <c r="AU62" s="72"/>
      <c r="AV62" s="72"/>
      <c r="AW62" s="125" t="s">
        <v>2424</v>
      </c>
      <c r="AX62" s="55" t="s">
        <v>1517</v>
      </c>
    </row>
    <row r="63" spans="1:100" ht="24" x14ac:dyDescent="0.3">
      <c r="A63" s="43">
        <v>62</v>
      </c>
      <c r="B63" s="43">
        <v>5</v>
      </c>
      <c r="C63" s="70" t="s">
        <v>2541</v>
      </c>
      <c r="D63" s="120">
        <v>5</v>
      </c>
      <c r="E63" s="78" t="s">
        <v>1870</v>
      </c>
      <c r="F63" s="66" t="s">
        <v>156</v>
      </c>
      <c r="G63" s="67">
        <v>29794</v>
      </c>
      <c r="H63" s="48">
        <f>+DATE(YEAR(G63)+62,MONTH(G63),DAY(G63))</f>
        <v>52439</v>
      </c>
      <c r="I63" s="48">
        <f t="shared" si="11"/>
        <v>52444</v>
      </c>
      <c r="J63" s="48">
        <f>+VLOOKUP(E63,'[1]DATA 06.2023'!$E$2:$J$390,6,0)</f>
        <v>52444</v>
      </c>
      <c r="K63" s="67">
        <v>36861</v>
      </c>
      <c r="L63" s="121" t="s">
        <v>715</v>
      </c>
      <c r="M63" s="122" t="s">
        <v>43</v>
      </c>
      <c r="N63" s="70" t="s">
        <v>280</v>
      </c>
      <c r="O63" s="67">
        <v>44378</v>
      </c>
      <c r="P63" s="68" t="s">
        <v>2412</v>
      </c>
      <c r="Q63" s="68" t="s">
        <v>74</v>
      </c>
      <c r="R63" s="71">
        <v>1.89</v>
      </c>
      <c r="S63" s="71"/>
      <c r="T63" s="72"/>
      <c r="U63" s="52">
        <f t="shared" si="3"/>
        <v>10035900</v>
      </c>
      <c r="V63" s="52">
        <f t="shared" si="10"/>
        <v>0</v>
      </c>
      <c r="W63" s="52">
        <f t="shared" si="7"/>
        <v>0</v>
      </c>
      <c r="X63" s="52">
        <f t="shared" si="2"/>
        <v>10035900</v>
      </c>
      <c r="Y63" s="52">
        <f>+VLOOKUP(E63,[2]Sheet1!$B$11:$J$400,9,0)</f>
        <v>8377200</v>
      </c>
      <c r="Z63" s="52"/>
      <c r="AA63" s="53" t="s">
        <v>1558</v>
      </c>
      <c r="AB63" s="72" t="s">
        <v>864</v>
      </c>
      <c r="AC63" s="45" t="str">
        <f>+VLOOKUP(E63,[3]Sheet1!$B$11:$I$388,8,0)</f>
        <v>79 - 034</v>
      </c>
      <c r="AD63" s="72" t="s">
        <v>40</v>
      </c>
      <c r="AE63" s="72" t="s">
        <v>2761</v>
      </c>
      <c r="AF63" s="66" t="s">
        <v>865</v>
      </c>
      <c r="AG63" s="45">
        <f>+VALUE(AF63:AF452)</f>
        <v>162414035</v>
      </c>
      <c r="AH63" s="72" t="s">
        <v>866</v>
      </c>
      <c r="AI63" s="72" t="s">
        <v>867</v>
      </c>
      <c r="AJ63" s="72" t="s">
        <v>868</v>
      </c>
      <c r="AK63" s="76" t="s">
        <v>747</v>
      </c>
      <c r="AL63" s="72"/>
      <c r="AM63" s="65" t="s">
        <v>2525</v>
      </c>
      <c r="AN63" s="72"/>
      <c r="AO63" s="72"/>
      <c r="AP63" s="72"/>
      <c r="AQ63" s="72"/>
      <c r="AR63" s="72"/>
      <c r="AS63" s="72"/>
      <c r="AT63" s="72"/>
      <c r="AU63" s="72"/>
      <c r="AV63" s="72"/>
      <c r="AW63" s="77" t="s">
        <v>2156</v>
      </c>
      <c r="AX63" s="55" t="s">
        <v>1517</v>
      </c>
    </row>
    <row r="64" spans="1:100" x14ac:dyDescent="0.3">
      <c r="A64" s="43">
        <v>63</v>
      </c>
      <c r="B64" s="43">
        <v>6</v>
      </c>
      <c r="C64" s="70" t="s">
        <v>2541</v>
      </c>
      <c r="D64" s="63">
        <v>6</v>
      </c>
      <c r="E64" s="65" t="s">
        <v>100</v>
      </c>
      <c r="F64" s="66" t="s">
        <v>158</v>
      </c>
      <c r="G64" s="67">
        <v>26938</v>
      </c>
      <c r="H64" s="48">
        <f>+DATE(YEAR(G64)+62,MONTH(G64),DAY(G64))</f>
        <v>49583</v>
      </c>
      <c r="I64" s="48">
        <f t="shared" si="11"/>
        <v>49614</v>
      </c>
      <c r="J64" s="48">
        <f>+VLOOKUP(E64,'[1]DATA 06.2023'!$E$2:$J$390,6,0)</f>
        <v>49614</v>
      </c>
      <c r="K64" s="67">
        <v>42248</v>
      </c>
      <c r="L64" s="121" t="s">
        <v>715</v>
      </c>
      <c r="M64" s="122" t="s">
        <v>43</v>
      </c>
      <c r="N64" s="70" t="s">
        <v>36</v>
      </c>
      <c r="O64" s="67">
        <v>43101</v>
      </c>
      <c r="P64" s="68" t="s">
        <v>3255</v>
      </c>
      <c r="Q64" s="68" t="s">
        <v>71</v>
      </c>
      <c r="R64" s="70">
        <v>1.69</v>
      </c>
      <c r="S64" s="71"/>
      <c r="T64" s="72"/>
      <c r="U64" s="52">
        <f t="shared" si="3"/>
        <v>8973900</v>
      </c>
      <c r="V64" s="52">
        <f t="shared" si="10"/>
        <v>0</v>
      </c>
      <c r="W64" s="52">
        <f t="shared" si="7"/>
        <v>0</v>
      </c>
      <c r="X64" s="52">
        <f t="shared" si="2"/>
        <v>8973900</v>
      </c>
      <c r="Y64" s="52">
        <f>+VLOOKUP(E64,[2]Sheet1!$B$11:$J$400,9,0)</f>
        <v>7909200</v>
      </c>
      <c r="Z64" s="52"/>
      <c r="AA64" s="53" t="s">
        <v>1560</v>
      </c>
      <c r="AB64" s="72" t="s">
        <v>872</v>
      </c>
      <c r="AC64" s="45" t="str">
        <f>+VLOOKUP(E64,[3]Sheet1!$B$11:$I$388,8,0)</f>
        <v>79 - 037</v>
      </c>
      <c r="AD64" s="72" t="s">
        <v>36</v>
      </c>
      <c r="AE64" s="72" t="s">
        <v>873</v>
      </c>
      <c r="AF64" s="66" t="s">
        <v>873</v>
      </c>
      <c r="AG64" s="45">
        <f>+VALUE(AF64:AF454)</f>
        <v>25073000269</v>
      </c>
      <c r="AH64" s="72" t="s">
        <v>874</v>
      </c>
      <c r="AI64" s="72" t="s">
        <v>606</v>
      </c>
      <c r="AJ64" s="72" t="s">
        <v>875</v>
      </c>
      <c r="AK64" s="76" t="s">
        <v>876</v>
      </c>
      <c r="AL64" s="72"/>
      <c r="AM64" s="72" t="s">
        <v>96</v>
      </c>
      <c r="AN64" s="72"/>
      <c r="AO64" s="72"/>
      <c r="AP64" s="72"/>
      <c r="AQ64" s="72"/>
      <c r="AR64" s="72"/>
      <c r="AS64" s="72"/>
      <c r="AT64" s="72"/>
      <c r="AU64" s="72"/>
      <c r="AV64" s="72"/>
      <c r="AW64" s="77" t="s">
        <v>2158</v>
      </c>
      <c r="AX64" s="55" t="s">
        <v>1517</v>
      </c>
    </row>
    <row r="65" spans="1:100" x14ac:dyDescent="0.3">
      <c r="A65" s="43">
        <v>64</v>
      </c>
      <c r="B65" s="43">
        <v>7</v>
      </c>
      <c r="C65" s="70" t="s">
        <v>2541</v>
      </c>
      <c r="D65" s="126">
        <v>7</v>
      </c>
      <c r="E65" s="78" t="s">
        <v>3372</v>
      </c>
      <c r="F65" s="66" t="s">
        <v>3380</v>
      </c>
      <c r="G65" s="67">
        <v>37576</v>
      </c>
      <c r="H65" s="47">
        <f>+DATE(YEAR(G65)+57,MONTH(G65),DAY(G65))</f>
        <v>58395</v>
      </c>
      <c r="I65" s="48">
        <f>+EOMONTH(H65,0)+1</f>
        <v>58410</v>
      </c>
      <c r="J65" s="48">
        <v>58107</v>
      </c>
      <c r="K65" s="67">
        <v>45748</v>
      </c>
      <c r="L65" s="121" t="s">
        <v>715</v>
      </c>
      <c r="M65" s="122" t="s">
        <v>43</v>
      </c>
      <c r="N65" s="70" t="s">
        <v>36</v>
      </c>
      <c r="O65" s="67">
        <v>45748</v>
      </c>
      <c r="P65" s="68"/>
      <c r="Q65" s="68" t="s">
        <v>73</v>
      </c>
      <c r="R65" s="70">
        <v>1.5</v>
      </c>
      <c r="S65" s="71"/>
      <c r="T65" s="72"/>
      <c r="U65" s="52">
        <f>+R65*5310000</f>
        <v>7965000</v>
      </c>
      <c r="V65" s="52">
        <f>+S65*4960000</f>
        <v>0</v>
      </c>
      <c r="W65" s="52">
        <f>+T65*2340000</f>
        <v>0</v>
      </c>
      <c r="X65" s="52">
        <f>+U65+V65+W65</f>
        <v>7965000</v>
      </c>
      <c r="Y65" s="52"/>
      <c r="Z65" s="52"/>
      <c r="AA65" s="73">
        <v>5221634921</v>
      </c>
      <c r="AB65" s="72" t="s">
        <v>3385</v>
      </c>
      <c r="AC65" s="45"/>
      <c r="AD65" s="72" t="s">
        <v>36</v>
      </c>
      <c r="AE65" s="79" t="s">
        <v>3381</v>
      </c>
      <c r="AF65" s="66"/>
      <c r="AG65" s="72"/>
      <c r="AH65" s="80"/>
      <c r="AI65" s="72" t="s">
        <v>2427</v>
      </c>
      <c r="AJ65" s="72" t="s">
        <v>3382</v>
      </c>
      <c r="AK65" s="72"/>
      <c r="AL65" s="72"/>
      <c r="AM65" s="72" t="s">
        <v>3383</v>
      </c>
      <c r="AN65" s="72"/>
      <c r="AO65" s="72"/>
      <c r="AP65" s="72"/>
      <c r="AQ65" s="67">
        <v>45717</v>
      </c>
      <c r="AR65" s="72"/>
      <c r="AS65" s="67">
        <v>45748</v>
      </c>
      <c r="AT65" s="72"/>
      <c r="AU65" s="72"/>
      <c r="AV65" s="67"/>
      <c r="AW65" s="127"/>
      <c r="AX65" s="82" t="s">
        <v>1517</v>
      </c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</row>
    <row r="66" spans="1:100" ht="24" x14ac:dyDescent="0.3">
      <c r="A66" s="43">
        <v>65</v>
      </c>
      <c r="B66" s="43">
        <v>8</v>
      </c>
      <c r="C66" s="70" t="s">
        <v>2541</v>
      </c>
      <c r="D66" s="76">
        <v>1</v>
      </c>
      <c r="E66" s="65" t="s">
        <v>101</v>
      </c>
      <c r="F66" s="66" t="s">
        <v>159</v>
      </c>
      <c r="G66" s="67">
        <v>27785</v>
      </c>
      <c r="H66" s="47">
        <f t="shared" ref="H66:H71" si="12">+DATE(YEAR(G66)+57,MONTH(G66),DAY(G66))</f>
        <v>48605</v>
      </c>
      <c r="I66" s="48">
        <f t="shared" si="11"/>
        <v>48611</v>
      </c>
      <c r="J66" s="48">
        <v>48611</v>
      </c>
      <c r="K66" s="67">
        <v>36982</v>
      </c>
      <c r="L66" s="121" t="s">
        <v>3299</v>
      </c>
      <c r="M66" s="105" t="s">
        <v>287</v>
      </c>
      <c r="N66" s="70" t="s">
        <v>37</v>
      </c>
      <c r="O66" s="67">
        <v>41091</v>
      </c>
      <c r="P66" s="68"/>
      <c r="Q66" s="68" t="s">
        <v>74</v>
      </c>
      <c r="R66" s="70">
        <v>1.68</v>
      </c>
      <c r="S66" s="71">
        <v>0.06</v>
      </c>
      <c r="T66" s="72"/>
      <c r="U66" s="52">
        <f t="shared" si="3"/>
        <v>8920800</v>
      </c>
      <c r="V66" s="52">
        <f t="shared" si="10"/>
        <v>297600</v>
      </c>
      <c r="W66" s="52">
        <f t="shared" si="7"/>
        <v>0</v>
      </c>
      <c r="X66" s="52">
        <f t="shared" si="2"/>
        <v>9218400</v>
      </c>
      <c r="Y66" s="52">
        <f>+VLOOKUP(E66,[2]Sheet1!$B$11:$J$400,9,0)</f>
        <v>8143200</v>
      </c>
      <c r="Z66" s="52"/>
      <c r="AA66" s="53" t="s">
        <v>1561</v>
      </c>
      <c r="AB66" s="72" t="s">
        <v>859</v>
      </c>
      <c r="AC66" s="45" t="str">
        <f>+VLOOKUP(E66,[3]Sheet1!$B$11:$I$388,8,0)</f>
        <v>79 - 036</v>
      </c>
      <c r="AD66" s="72" t="s">
        <v>1787</v>
      </c>
      <c r="AE66" s="72" t="s">
        <v>2762</v>
      </c>
      <c r="AF66" s="66" t="s">
        <v>877</v>
      </c>
      <c r="AG66" s="45">
        <f>+VALUE(AF66:AF455)</f>
        <v>271693610</v>
      </c>
      <c r="AH66" s="72" t="s">
        <v>878</v>
      </c>
      <c r="AI66" s="72" t="s">
        <v>519</v>
      </c>
      <c r="AJ66" s="72" t="s">
        <v>879</v>
      </c>
      <c r="AK66" s="76" t="s">
        <v>760</v>
      </c>
      <c r="AL66" s="72"/>
      <c r="AM66" s="72"/>
      <c r="AN66" s="72"/>
      <c r="AO66" s="72" t="s">
        <v>504</v>
      </c>
      <c r="AP66" s="72"/>
      <c r="AQ66" s="72"/>
      <c r="AR66" s="72"/>
      <c r="AS66" s="72"/>
      <c r="AT66" s="72"/>
      <c r="AU66" s="72"/>
      <c r="AV66" s="72"/>
      <c r="AW66" s="77" t="s">
        <v>2159</v>
      </c>
      <c r="AX66" s="55" t="s">
        <v>1517</v>
      </c>
    </row>
    <row r="67" spans="1:100" ht="24" x14ac:dyDescent="0.3">
      <c r="A67" s="43">
        <v>66</v>
      </c>
      <c r="B67" s="43">
        <v>9</v>
      </c>
      <c r="C67" s="70" t="s">
        <v>2541</v>
      </c>
      <c r="D67" s="76">
        <v>2</v>
      </c>
      <c r="E67" s="65" t="s">
        <v>102</v>
      </c>
      <c r="F67" s="66" t="s">
        <v>297</v>
      </c>
      <c r="G67" s="67">
        <v>32259</v>
      </c>
      <c r="H67" s="47">
        <f t="shared" si="12"/>
        <v>53078</v>
      </c>
      <c r="I67" s="48">
        <f t="shared" si="11"/>
        <v>53083</v>
      </c>
      <c r="J67" s="48">
        <v>53083</v>
      </c>
      <c r="K67" s="67">
        <v>41671</v>
      </c>
      <c r="L67" s="121" t="s">
        <v>3299</v>
      </c>
      <c r="M67" s="105" t="s">
        <v>287</v>
      </c>
      <c r="N67" s="106" t="s">
        <v>281</v>
      </c>
      <c r="O67" s="68" t="s">
        <v>3238</v>
      </c>
      <c r="P67" s="68"/>
      <c r="Q67" s="68" t="s">
        <v>76</v>
      </c>
      <c r="R67" s="70">
        <v>1.58</v>
      </c>
      <c r="S67" s="71"/>
      <c r="T67" s="72"/>
      <c r="U67" s="52">
        <f t="shared" si="3"/>
        <v>8389800</v>
      </c>
      <c r="V67" s="52">
        <f t="shared" si="10"/>
        <v>0</v>
      </c>
      <c r="W67" s="52">
        <f t="shared" si="7"/>
        <v>0</v>
      </c>
      <c r="X67" s="52">
        <f t="shared" si="2"/>
        <v>8389800</v>
      </c>
      <c r="Y67" s="52">
        <f>+VLOOKUP(E67,[2]Sheet1!$B$11:$J$400,9,0)</f>
        <v>6973200</v>
      </c>
      <c r="Z67" s="52"/>
      <c r="AA67" s="53" t="s">
        <v>1562</v>
      </c>
      <c r="AB67" s="72" t="s">
        <v>880</v>
      </c>
      <c r="AC67" s="45" t="str">
        <f>+VLOOKUP(E67,[3]Sheet1!$B$11:$I$388,8,0)</f>
        <v>79 - 034</v>
      </c>
      <c r="AD67" s="72" t="s">
        <v>1787</v>
      </c>
      <c r="AE67" s="72" t="s">
        <v>2098</v>
      </c>
      <c r="AF67" s="66" t="s">
        <v>2098</v>
      </c>
      <c r="AG67" s="45">
        <f>+VALUE(AF67:AF457)</f>
        <v>1088025295</v>
      </c>
      <c r="AH67" s="128" t="s">
        <v>2099</v>
      </c>
      <c r="AI67" s="72" t="s">
        <v>606</v>
      </c>
      <c r="AJ67" s="72" t="s">
        <v>881</v>
      </c>
      <c r="AK67" s="76" t="s">
        <v>1839</v>
      </c>
      <c r="AL67" s="72"/>
      <c r="AM67" s="72"/>
      <c r="AN67" s="72" t="s">
        <v>552</v>
      </c>
      <c r="AO67" s="72"/>
      <c r="AP67" s="72"/>
      <c r="AQ67" s="72"/>
      <c r="AR67" s="72"/>
      <c r="AS67" s="72"/>
      <c r="AT67" s="72"/>
      <c r="AU67" s="72"/>
      <c r="AV67" s="72"/>
      <c r="AW67" s="77" t="s">
        <v>2160</v>
      </c>
      <c r="AX67" s="55" t="s">
        <v>1517</v>
      </c>
    </row>
    <row r="68" spans="1:100" ht="24" x14ac:dyDescent="0.3">
      <c r="A68" s="43">
        <v>67</v>
      </c>
      <c r="B68" s="43">
        <v>10</v>
      </c>
      <c r="C68" s="70" t="s">
        <v>2541</v>
      </c>
      <c r="D68" s="76">
        <v>3</v>
      </c>
      <c r="E68" s="65" t="s">
        <v>113</v>
      </c>
      <c r="F68" s="66" t="s">
        <v>310</v>
      </c>
      <c r="G68" s="67">
        <v>30442</v>
      </c>
      <c r="H68" s="47">
        <f t="shared" si="12"/>
        <v>51262</v>
      </c>
      <c r="I68" s="48">
        <f t="shared" si="11"/>
        <v>51288</v>
      </c>
      <c r="J68" s="48">
        <v>51288</v>
      </c>
      <c r="K68" s="67">
        <v>41671</v>
      </c>
      <c r="L68" s="121" t="s">
        <v>3299</v>
      </c>
      <c r="M68" s="105" t="s">
        <v>287</v>
      </c>
      <c r="N68" s="70" t="s">
        <v>281</v>
      </c>
      <c r="O68" s="68" t="s">
        <v>3238</v>
      </c>
      <c r="P68" s="68"/>
      <c r="Q68" s="68" t="s">
        <v>76</v>
      </c>
      <c r="R68" s="70">
        <v>1.58</v>
      </c>
      <c r="S68" s="71"/>
      <c r="T68" s="72"/>
      <c r="U68" s="52">
        <f t="shared" si="3"/>
        <v>8389800</v>
      </c>
      <c r="V68" s="52">
        <f t="shared" si="10"/>
        <v>0</v>
      </c>
      <c r="W68" s="52">
        <f t="shared" si="7"/>
        <v>0</v>
      </c>
      <c r="X68" s="52">
        <f t="shared" si="2"/>
        <v>8389800</v>
      </c>
      <c r="Y68" s="52">
        <f>+VLOOKUP(E68,[2]Sheet1!$B$11:$J$400,9,0)</f>
        <v>6973200</v>
      </c>
      <c r="Z68" s="52"/>
      <c r="AA68" s="53" t="s">
        <v>1576</v>
      </c>
      <c r="AB68" s="72" t="s">
        <v>934</v>
      </c>
      <c r="AC68" s="45" t="str">
        <f>+VLOOKUP(E68,[3]Sheet1!$B$11:$I$388,8,0)</f>
        <v>79 - 037</v>
      </c>
      <c r="AD68" s="72" t="s">
        <v>1787</v>
      </c>
      <c r="AE68" s="72" t="s">
        <v>2763</v>
      </c>
      <c r="AF68" s="66" t="s">
        <v>935</v>
      </c>
      <c r="AG68" s="45">
        <f>+VALUE(AF68:AF458)</f>
        <v>164124491</v>
      </c>
      <c r="AH68" s="72" t="s">
        <v>936</v>
      </c>
      <c r="AI68" s="72" t="s">
        <v>937</v>
      </c>
      <c r="AJ68" s="72" t="s">
        <v>938</v>
      </c>
      <c r="AK68" s="76" t="s">
        <v>939</v>
      </c>
      <c r="AL68" s="72"/>
      <c r="AM68" s="72"/>
      <c r="AN68" s="72"/>
      <c r="AO68" s="72"/>
      <c r="AP68" s="72" t="s">
        <v>524</v>
      </c>
      <c r="AQ68" s="72"/>
      <c r="AR68" s="72"/>
      <c r="AS68" s="72"/>
      <c r="AT68" s="72"/>
      <c r="AU68" s="72"/>
      <c r="AV68" s="72"/>
      <c r="AW68" s="77" t="s">
        <v>2161</v>
      </c>
      <c r="AX68" s="55" t="s">
        <v>1517</v>
      </c>
    </row>
    <row r="69" spans="1:100" ht="24" x14ac:dyDescent="0.3">
      <c r="A69" s="43">
        <v>68</v>
      </c>
      <c r="B69" s="43">
        <v>11</v>
      </c>
      <c r="C69" s="70" t="s">
        <v>2541</v>
      </c>
      <c r="D69" s="76">
        <v>4</v>
      </c>
      <c r="E69" s="65" t="s">
        <v>103</v>
      </c>
      <c r="F69" s="66" t="s">
        <v>298</v>
      </c>
      <c r="G69" s="67">
        <v>28002</v>
      </c>
      <c r="H69" s="47">
        <f t="shared" si="12"/>
        <v>48821</v>
      </c>
      <c r="I69" s="48">
        <f t="shared" si="11"/>
        <v>48823</v>
      </c>
      <c r="J69" s="48">
        <v>48823</v>
      </c>
      <c r="K69" s="67">
        <v>37926</v>
      </c>
      <c r="L69" s="121" t="s">
        <v>3299</v>
      </c>
      <c r="M69" s="105" t="s">
        <v>287</v>
      </c>
      <c r="N69" s="70" t="s">
        <v>281</v>
      </c>
      <c r="O69" s="67">
        <v>42979</v>
      </c>
      <c r="P69" s="68"/>
      <c r="Q69" s="68" t="s">
        <v>74</v>
      </c>
      <c r="R69" s="70">
        <v>1.68</v>
      </c>
      <c r="S69" s="71"/>
      <c r="T69" s="72"/>
      <c r="U69" s="52">
        <f t="shared" si="3"/>
        <v>8920800</v>
      </c>
      <c r="V69" s="52">
        <f t="shared" si="10"/>
        <v>0</v>
      </c>
      <c r="W69" s="52">
        <f t="shared" ref="W69:W99" si="13">+T69*2340000</f>
        <v>0</v>
      </c>
      <c r="X69" s="52">
        <f t="shared" ref="X69:X129" si="14">+U69+V69+W69</f>
        <v>8920800</v>
      </c>
      <c r="Y69" s="52">
        <f>+VLOOKUP(E69,[2]Sheet1!$B$11:$J$400,9,0)</f>
        <v>8049600</v>
      </c>
      <c r="Z69" s="52"/>
      <c r="AA69" s="53" t="s">
        <v>1563</v>
      </c>
      <c r="AB69" s="72" t="s">
        <v>872</v>
      </c>
      <c r="AC69" s="45" t="str">
        <f>+VLOOKUP(E69,[3]Sheet1!$B$11:$I$388,8,0)</f>
        <v>79 - 037</v>
      </c>
      <c r="AD69" s="72" t="s">
        <v>1794</v>
      </c>
      <c r="AE69" s="72" t="s">
        <v>2764</v>
      </c>
      <c r="AF69" s="66" t="s">
        <v>882</v>
      </c>
      <c r="AG69" s="45">
        <f>+VALUE(AF69:AF459)</f>
        <v>25836080</v>
      </c>
      <c r="AH69" s="72" t="s">
        <v>883</v>
      </c>
      <c r="AI69" s="72" t="s">
        <v>599</v>
      </c>
      <c r="AJ69" s="72" t="s">
        <v>884</v>
      </c>
      <c r="AK69" s="76" t="s">
        <v>885</v>
      </c>
      <c r="AL69" s="72"/>
      <c r="AM69" s="72"/>
      <c r="AN69" s="72"/>
      <c r="AO69" s="72" t="s">
        <v>504</v>
      </c>
      <c r="AP69" s="72"/>
      <c r="AQ69" s="72"/>
      <c r="AR69" s="72"/>
      <c r="AS69" s="72"/>
      <c r="AT69" s="72"/>
      <c r="AU69" s="72"/>
      <c r="AV69" s="72"/>
      <c r="AW69" s="77" t="s">
        <v>2162</v>
      </c>
      <c r="AX69" s="55" t="s">
        <v>1517</v>
      </c>
    </row>
    <row r="70" spans="1:100" ht="24" x14ac:dyDescent="0.3">
      <c r="A70" s="43">
        <v>69</v>
      </c>
      <c r="B70" s="43">
        <v>12</v>
      </c>
      <c r="C70" s="70" t="s">
        <v>2541</v>
      </c>
      <c r="D70" s="76">
        <v>5</v>
      </c>
      <c r="E70" s="65" t="s">
        <v>104</v>
      </c>
      <c r="F70" s="67" t="s">
        <v>299</v>
      </c>
      <c r="G70" s="67">
        <v>31571</v>
      </c>
      <c r="H70" s="47">
        <f t="shared" si="12"/>
        <v>52390</v>
      </c>
      <c r="I70" s="48">
        <f t="shared" si="11"/>
        <v>52413</v>
      </c>
      <c r="J70" s="48">
        <v>52413</v>
      </c>
      <c r="K70" s="67">
        <v>41247</v>
      </c>
      <c r="L70" s="121" t="s">
        <v>3299</v>
      </c>
      <c r="M70" s="105" t="s">
        <v>287</v>
      </c>
      <c r="N70" s="70" t="s">
        <v>281</v>
      </c>
      <c r="O70" s="67">
        <v>43405</v>
      </c>
      <c r="P70" s="68"/>
      <c r="Q70" s="68" t="s">
        <v>76</v>
      </c>
      <c r="R70" s="70">
        <v>1.58</v>
      </c>
      <c r="S70" s="71"/>
      <c r="T70" s="72"/>
      <c r="U70" s="52">
        <f t="shared" si="3"/>
        <v>8389800</v>
      </c>
      <c r="V70" s="52">
        <f t="shared" si="10"/>
        <v>0</v>
      </c>
      <c r="W70" s="52">
        <f t="shared" si="13"/>
        <v>0</v>
      </c>
      <c r="X70" s="52">
        <f t="shared" si="14"/>
        <v>8389800</v>
      </c>
      <c r="Y70" s="52">
        <f>+VLOOKUP(E70,[2]Sheet1!$B$11:$J$400,9,0)</f>
        <v>7394400</v>
      </c>
      <c r="Z70" s="52"/>
      <c r="AA70" s="53" t="s">
        <v>1564</v>
      </c>
      <c r="AB70" s="72" t="s">
        <v>872</v>
      </c>
      <c r="AC70" s="45" t="str">
        <f>+VLOOKUP(E70,[3]Sheet1!$B$11:$I$388,8,0)</f>
        <v>79 - 037</v>
      </c>
      <c r="AD70" s="72" t="s">
        <v>1794</v>
      </c>
      <c r="AE70" s="128" t="s">
        <v>3114</v>
      </c>
      <c r="AF70" s="66" t="s">
        <v>886</v>
      </c>
      <c r="AG70" s="45">
        <f>+VALUE(AF70:AF460)</f>
        <v>162819107</v>
      </c>
      <c r="AH70" s="72" t="s">
        <v>887</v>
      </c>
      <c r="AI70" s="72" t="s">
        <v>867</v>
      </c>
      <c r="AJ70" s="72" t="s">
        <v>888</v>
      </c>
      <c r="AK70" s="76" t="s">
        <v>889</v>
      </c>
      <c r="AL70" s="72"/>
      <c r="AM70" s="72"/>
      <c r="AN70" s="72"/>
      <c r="AO70" s="72" t="s">
        <v>553</v>
      </c>
      <c r="AP70" s="72"/>
      <c r="AQ70" s="72"/>
      <c r="AR70" s="72"/>
      <c r="AS70" s="72"/>
      <c r="AT70" s="72"/>
      <c r="AU70" s="72"/>
      <c r="AV70" s="72"/>
      <c r="AW70" s="77" t="s">
        <v>2163</v>
      </c>
      <c r="AX70" s="55" t="s">
        <v>1517</v>
      </c>
    </row>
    <row r="71" spans="1:100" s="82" customFormat="1" ht="24" x14ac:dyDescent="0.3">
      <c r="A71" s="43">
        <v>70</v>
      </c>
      <c r="B71" s="43">
        <v>13</v>
      </c>
      <c r="C71" s="70" t="s">
        <v>2541</v>
      </c>
      <c r="D71" s="76">
        <v>6</v>
      </c>
      <c r="E71" s="65" t="s">
        <v>121</v>
      </c>
      <c r="F71" s="66" t="s">
        <v>68</v>
      </c>
      <c r="G71" s="67">
        <v>29855</v>
      </c>
      <c r="H71" s="47">
        <f t="shared" si="12"/>
        <v>50674</v>
      </c>
      <c r="I71" s="48">
        <f t="shared" si="11"/>
        <v>50679</v>
      </c>
      <c r="J71" s="48">
        <v>52140</v>
      </c>
      <c r="K71" s="67">
        <v>38565</v>
      </c>
      <c r="L71" s="121" t="s">
        <v>3299</v>
      </c>
      <c r="M71" s="105" t="s">
        <v>287</v>
      </c>
      <c r="N71" s="70" t="s">
        <v>283</v>
      </c>
      <c r="O71" s="67">
        <v>41821</v>
      </c>
      <c r="P71" s="68"/>
      <c r="Q71" s="68" t="s">
        <v>74</v>
      </c>
      <c r="R71" s="70">
        <v>1.68</v>
      </c>
      <c r="S71" s="71">
        <v>0.04</v>
      </c>
      <c r="T71" s="72"/>
      <c r="U71" s="52">
        <f t="shared" si="3"/>
        <v>8920800</v>
      </c>
      <c r="V71" s="52">
        <f t="shared" si="10"/>
        <v>198400</v>
      </c>
      <c r="W71" s="52">
        <f t="shared" si="13"/>
        <v>0</v>
      </c>
      <c r="X71" s="52">
        <f t="shared" si="14"/>
        <v>9119200</v>
      </c>
      <c r="Y71" s="52">
        <f>+VLOOKUP(E71,[2]Sheet1!$B$11:$J$400,9,0)</f>
        <v>8143200</v>
      </c>
      <c r="Z71" s="52"/>
      <c r="AA71" s="53" t="s">
        <v>1588</v>
      </c>
      <c r="AB71" s="72" t="s">
        <v>970</v>
      </c>
      <c r="AC71" s="45" t="str">
        <f>+VLOOKUP(E71,[3]Sheet1!$B$11:$I$388,8,0)</f>
        <v>79 - 034</v>
      </c>
      <c r="AD71" s="72" t="s">
        <v>1787</v>
      </c>
      <c r="AE71" s="128" t="s">
        <v>3079</v>
      </c>
      <c r="AF71" s="66" t="s">
        <v>971</v>
      </c>
      <c r="AG71" s="45">
        <f>+VALUE(AF71:AF489)</f>
        <v>25523611</v>
      </c>
      <c r="AH71" s="72" t="s">
        <v>972</v>
      </c>
      <c r="AI71" s="72" t="s">
        <v>599</v>
      </c>
      <c r="AJ71" s="72" t="s">
        <v>973</v>
      </c>
      <c r="AK71" s="76" t="s">
        <v>974</v>
      </c>
      <c r="AL71" s="72"/>
      <c r="AM71" s="72"/>
      <c r="AN71" s="72"/>
      <c r="AO71" s="72" t="s">
        <v>504</v>
      </c>
      <c r="AP71" s="72"/>
      <c r="AQ71" s="72"/>
      <c r="AR71" s="72"/>
      <c r="AS71" s="72"/>
      <c r="AT71" s="72"/>
      <c r="AU71" s="72"/>
      <c r="AV71" s="72"/>
      <c r="AW71" s="77" t="s">
        <v>2187</v>
      </c>
      <c r="AX71" s="55" t="s">
        <v>1517</v>
      </c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5"/>
      <c r="CI71" s="55"/>
      <c r="CJ71" s="55"/>
      <c r="CK71" s="55"/>
      <c r="CL71" s="55"/>
      <c r="CM71" s="55"/>
      <c r="CN71" s="55"/>
      <c r="CO71" s="55"/>
      <c r="CP71" s="55"/>
      <c r="CQ71" s="55"/>
      <c r="CR71" s="55"/>
      <c r="CS71" s="55"/>
      <c r="CT71" s="55"/>
      <c r="CU71" s="55"/>
      <c r="CV71" s="55"/>
    </row>
    <row r="72" spans="1:100" s="82" customFormat="1" ht="24" x14ac:dyDescent="0.3">
      <c r="A72" s="43">
        <v>71</v>
      </c>
      <c r="B72" s="43">
        <v>14</v>
      </c>
      <c r="C72" s="70" t="s">
        <v>2541</v>
      </c>
      <c r="D72" s="76">
        <v>7</v>
      </c>
      <c r="E72" s="129" t="s">
        <v>123</v>
      </c>
      <c r="F72" s="130" t="s">
        <v>320</v>
      </c>
      <c r="G72" s="67">
        <v>32028</v>
      </c>
      <c r="H72" s="47">
        <f>+DATE(YEAR(G72)+55,MONTH(G72),DAY(G72))</f>
        <v>52117</v>
      </c>
      <c r="I72" s="48">
        <f t="shared" si="11"/>
        <v>52140</v>
      </c>
      <c r="J72" s="48">
        <v>54514</v>
      </c>
      <c r="K72" s="67">
        <v>40330</v>
      </c>
      <c r="L72" s="121" t="s">
        <v>3299</v>
      </c>
      <c r="M72" s="105" t="s">
        <v>287</v>
      </c>
      <c r="N72" s="70" t="s">
        <v>281</v>
      </c>
      <c r="O72" s="67">
        <v>43405</v>
      </c>
      <c r="P72" s="68"/>
      <c r="Q72" s="68" t="s">
        <v>76</v>
      </c>
      <c r="R72" s="70">
        <v>1.58</v>
      </c>
      <c r="S72" s="71"/>
      <c r="T72" s="72"/>
      <c r="U72" s="52">
        <f t="shared" ref="U72:U130" si="15">+R72*5310000</f>
        <v>8389800</v>
      </c>
      <c r="V72" s="52">
        <f t="shared" si="10"/>
        <v>0</v>
      </c>
      <c r="W72" s="52">
        <f t="shared" si="13"/>
        <v>0</v>
      </c>
      <c r="X72" s="52">
        <f t="shared" si="14"/>
        <v>8389800</v>
      </c>
      <c r="Y72" s="52">
        <f>+VLOOKUP(E72,[2]Sheet1!$B$11:$J$400,9,0)</f>
        <v>7394400</v>
      </c>
      <c r="Z72" s="52"/>
      <c r="AA72" s="53" t="s">
        <v>1590</v>
      </c>
      <c r="AB72" s="72" t="s">
        <v>977</v>
      </c>
      <c r="AC72" s="45" t="str">
        <f>+VLOOKUP(E72,[3]Sheet1!$B$11:$I$388,8,0)</f>
        <v>79 - 034</v>
      </c>
      <c r="AD72" s="72" t="s">
        <v>1787</v>
      </c>
      <c r="AE72" s="72" t="s">
        <v>978</v>
      </c>
      <c r="AF72" s="66" t="s">
        <v>978</v>
      </c>
      <c r="AG72" s="45">
        <f>+VALUE(AF72:AF491)</f>
        <v>44187001091</v>
      </c>
      <c r="AH72" s="72" t="s">
        <v>810</v>
      </c>
      <c r="AI72" s="72" t="s">
        <v>606</v>
      </c>
      <c r="AJ72" s="72" t="s">
        <v>979</v>
      </c>
      <c r="AK72" s="76" t="s">
        <v>980</v>
      </c>
      <c r="AL72" s="72"/>
      <c r="AM72" s="72"/>
      <c r="AN72" s="72"/>
      <c r="AO72" s="72" t="s">
        <v>504</v>
      </c>
      <c r="AP72" s="72"/>
      <c r="AQ72" s="72"/>
      <c r="AR72" s="72"/>
      <c r="AS72" s="72"/>
      <c r="AT72" s="72"/>
      <c r="AU72" s="72"/>
      <c r="AV72" s="72"/>
      <c r="AW72" s="77" t="s">
        <v>2189</v>
      </c>
      <c r="AX72" s="55" t="s">
        <v>1517</v>
      </c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55"/>
      <c r="CA72" s="55"/>
      <c r="CB72" s="55"/>
      <c r="CC72" s="55"/>
      <c r="CD72" s="55"/>
      <c r="CE72" s="55"/>
      <c r="CF72" s="55"/>
      <c r="CG72" s="55"/>
      <c r="CH72" s="55"/>
      <c r="CI72" s="55"/>
      <c r="CJ72" s="55"/>
      <c r="CK72" s="55"/>
      <c r="CL72" s="55"/>
      <c r="CM72" s="55"/>
      <c r="CN72" s="55"/>
      <c r="CO72" s="55"/>
      <c r="CP72" s="55"/>
      <c r="CQ72" s="55"/>
      <c r="CR72" s="55"/>
      <c r="CS72" s="55"/>
      <c r="CT72" s="55"/>
      <c r="CU72" s="55"/>
      <c r="CV72" s="55"/>
    </row>
    <row r="73" spans="1:100" s="82" customFormat="1" ht="24" x14ac:dyDescent="0.3">
      <c r="A73" s="43">
        <v>72</v>
      </c>
      <c r="B73" s="43">
        <v>15</v>
      </c>
      <c r="C73" s="70" t="s">
        <v>2541</v>
      </c>
      <c r="D73" s="76">
        <v>8</v>
      </c>
      <c r="E73" s="131" t="s">
        <v>125</v>
      </c>
      <c r="F73" s="130" t="s">
        <v>322</v>
      </c>
      <c r="G73" s="67">
        <v>29259</v>
      </c>
      <c r="H73" s="47">
        <v>49225</v>
      </c>
      <c r="I73" s="48">
        <f t="shared" si="11"/>
        <v>49249</v>
      </c>
      <c r="J73" s="48">
        <v>49249</v>
      </c>
      <c r="K73" s="67">
        <v>38261</v>
      </c>
      <c r="L73" s="121" t="s">
        <v>3299</v>
      </c>
      <c r="M73" s="105" t="s">
        <v>287</v>
      </c>
      <c r="N73" s="70" t="s">
        <v>281</v>
      </c>
      <c r="O73" s="67">
        <v>42736</v>
      </c>
      <c r="P73" s="92"/>
      <c r="Q73" s="69" t="s">
        <v>76</v>
      </c>
      <c r="R73" s="70">
        <v>1.58</v>
      </c>
      <c r="S73" s="71"/>
      <c r="T73" s="72"/>
      <c r="U73" s="52">
        <f t="shared" si="15"/>
        <v>8389800</v>
      </c>
      <c r="V73" s="52">
        <f t="shared" si="10"/>
        <v>0</v>
      </c>
      <c r="W73" s="52">
        <f t="shared" si="13"/>
        <v>0</v>
      </c>
      <c r="X73" s="52">
        <f t="shared" si="14"/>
        <v>8389800</v>
      </c>
      <c r="Y73" s="52">
        <f>+VLOOKUP(E73,[2]Sheet1!$B$11:$J$400,9,0)</f>
        <v>7394400</v>
      </c>
      <c r="Z73" s="52"/>
      <c r="AA73" s="53" t="s">
        <v>1592</v>
      </c>
      <c r="AB73" s="72" t="s">
        <v>752</v>
      </c>
      <c r="AC73" s="45" t="str">
        <f>+VLOOKUP(E73,[3]Sheet1!$B$11:$I$388,8,0)</f>
        <v>79 - 031</v>
      </c>
      <c r="AD73" s="72" t="s">
        <v>1787</v>
      </c>
      <c r="AE73" s="72" t="s">
        <v>2785</v>
      </c>
      <c r="AF73" s="66" t="s">
        <v>985</v>
      </c>
      <c r="AG73" s="72">
        <f>+VALUE(AF73:AF494)</f>
        <v>23475476</v>
      </c>
      <c r="AH73" s="72" t="s">
        <v>986</v>
      </c>
      <c r="AI73" s="72" t="s">
        <v>599</v>
      </c>
      <c r="AJ73" s="72" t="s">
        <v>987</v>
      </c>
      <c r="AK73" s="76" t="s">
        <v>850</v>
      </c>
      <c r="AL73" s="72"/>
      <c r="AM73" s="72" t="s">
        <v>551</v>
      </c>
      <c r="AN73" s="72"/>
      <c r="AO73" s="72"/>
      <c r="AP73" s="72"/>
      <c r="AQ73" s="72"/>
      <c r="AR73" s="72"/>
      <c r="AS73" s="72"/>
      <c r="AT73" s="72"/>
      <c r="AU73" s="72"/>
      <c r="AV73" s="72"/>
      <c r="AW73" s="127" t="s">
        <v>2191</v>
      </c>
      <c r="AX73" s="82" t="s">
        <v>1517</v>
      </c>
    </row>
    <row r="74" spans="1:100" ht="24" x14ac:dyDescent="0.3">
      <c r="A74" s="43">
        <v>73</v>
      </c>
      <c r="B74" s="43">
        <v>16</v>
      </c>
      <c r="C74" s="70" t="s">
        <v>2541</v>
      </c>
      <c r="D74" s="76">
        <v>9</v>
      </c>
      <c r="E74" s="65" t="s">
        <v>2133</v>
      </c>
      <c r="F74" s="66" t="s">
        <v>2137</v>
      </c>
      <c r="G74" s="67">
        <v>35795</v>
      </c>
      <c r="H74" s="47">
        <f>+DATE(YEAR(G74)+57,MONTH(G74),DAY(G74))</f>
        <v>56614</v>
      </c>
      <c r="I74" s="48">
        <f t="shared" si="11"/>
        <v>56615</v>
      </c>
      <c r="J74" s="48">
        <v>56615</v>
      </c>
      <c r="K74" s="67">
        <v>44317</v>
      </c>
      <c r="L74" s="121" t="s">
        <v>3299</v>
      </c>
      <c r="M74" s="106" t="s">
        <v>287</v>
      </c>
      <c r="N74" s="70" t="s">
        <v>281</v>
      </c>
      <c r="O74" s="68" t="s">
        <v>3238</v>
      </c>
      <c r="P74" s="68"/>
      <c r="Q74" s="68" t="s">
        <v>71</v>
      </c>
      <c r="R74" s="70">
        <v>1.49</v>
      </c>
      <c r="S74" s="71"/>
      <c r="T74" s="72"/>
      <c r="U74" s="52">
        <f t="shared" si="15"/>
        <v>7911900</v>
      </c>
      <c r="V74" s="52">
        <f t="shared" si="10"/>
        <v>0</v>
      </c>
      <c r="W74" s="52">
        <f t="shared" si="13"/>
        <v>0</v>
      </c>
      <c r="X74" s="52">
        <f t="shared" si="14"/>
        <v>7911900</v>
      </c>
      <c r="Y74" s="52">
        <f>+VLOOKUP(E74,[2]Sheet1!$B$11:$J$400,9,0)</f>
        <v>6598800</v>
      </c>
      <c r="Z74" s="52"/>
      <c r="AA74" s="53" t="s">
        <v>2138</v>
      </c>
      <c r="AB74" s="72" t="s">
        <v>2150</v>
      </c>
      <c r="AC74" s="45" t="str">
        <f>+VLOOKUP(E74,[3]Sheet1!$B$11:$I$388,8,0)</f>
        <v>79 - 034</v>
      </c>
      <c r="AD74" s="72" t="s">
        <v>1787</v>
      </c>
      <c r="AE74" s="72" t="s">
        <v>2786</v>
      </c>
      <c r="AF74" s="66" t="s">
        <v>2134</v>
      </c>
      <c r="AG74" s="45">
        <v>163457697</v>
      </c>
      <c r="AH74" s="128" t="s">
        <v>2135</v>
      </c>
      <c r="AI74" s="72" t="s">
        <v>867</v>
      </c>
      <c r="AJ74" s="72" t="s">
        <v>2136</v>
      </c>
      <c r="AK74" s="76" t="s">
        <v>747</v>
      </c>
      <c r="AL74" s="72"/>
      <c r="AM74" s="72"/>
      <c r="AN74" s="72" t="s">
        <v>562</v>
      </c>
      <c r="AO74" s="72"/>
      <c r="AP74" s="72"/>
      <c r="AQ74" s="72"/>
      <c r="AR74" s="72"/>
      <c r="AS74" s="72"/>
      <c r="AT74" s="67">
        <v>44317</v>
      </c>
      <c r="AU74" s="72"/>
      <c r="AV74" s="67">
        <v>45046</v>
      </c>
      <c r="AW74" s="77"/>
      <c r="AX74" s="55" t="s">
        <v>1517</v>
      </c>
    </row>
    <row r="75" spans="1:100" s="82" customFormat="1" ht="24" x14ac:dyDescent="0.3">
      <c r="A75" s="43">
        <v>74</v>
      </c>
      <c r="B75" s="43">
        <v>17</v>
      </c>
      <c r="C75" s="70" t="s">
        <v>2541</v>
      </c>
      <c r="D75" s="76">
        <v>10</v>
      </c>
      <c r="E75" s="129" t="s">
        <v>119</v>
      </c>
      <c r="F75" s="130" t="s">
        <v>318</v>
      </c>
      <c r="G75" s="67">
        <v>32307</v>
      </c>
      <c r="H75" s="47">
        <f>+DATE(YEAR(G75)+55,MONTH(G75),DAY(G75))</f>
        <v>52395</v>
      </c>
      <c r="I75" s="48">
        <f t="shared" si="11"/>
        <v>52413</v>
      </c>
      <c r="J75" s="48">
        <v>52413</v>
      </c>
      <c r="K75" s="67">
        <v>40057</v>
      </c>
      <c r="L75" s="121" t="s">
        <v>3299</v>
      </c>
      <c r="M75" s="105" t="s">
        <v>287</v>
      </c>
      <c r="N75" s="70" t="s">
        <v>281</v>
      </c>
      <c r="O75" s="68" t="s">
        <v>3238</v>
      </c>
      <c r="P75" s="68"/>
      <c r="Q75" s="68" t="s">
        <v>76</v>
      </c>
      <c r="R75" s="70">
        <v>1.58</v>
      </c>
      <c r="S75" s="71"/>
      <c r="T75" s="72"/>
      <c r="U75" s="52">
        <f t="shared" si="15"/>
        <v>8389800</v>
      </c>
      <c r="V75" s="52">
        <f t="shared" si="10"/>
        <v>0</v>
      </c>
      <c r="W75" s="52">
        <f t="shared" si="13"/>
        <v>0</v>
      </c>
      <c r="X75" s="52">
        <f t="shared" si="14"/>
        <v>8389800</v>
      </c>
      <c r="Y75" s="52">
        <f>+VLOOKUP(E75,[2]Sheet1!$B$11:$J$400,9,0)</f>
        <v>6645600</v>
      </c>
      <c r="Z75" s="52"/>
      <c r="AA75" s="53" t="s">
        <v>1586</v>
      </c>
      <c r="AB75" s="72" t="s">
        <v>859</v>
      </c>
      <c r="AC75" s="45" t="str">
        <f>+VLOOKUP(E75,[3]Sheet1!$B$11:$I$388,8,0)</f>
        <v>79 - 037</v>
      </c>
      <c r="AD75" s="72" t="s">
        <v>1787</v>
      </c>
      <c r="AE75" s="72" t="s">
        <v>963</v>
      </c>
      <c r="AF75" s="66" t="s">
        <v>963</v>
      </c>
      <c r="AG75" s="45">
        <f>+VALUE(AF75:AF487)</f>
        <v>26188001664</v>
      </c>
      <c r="AH75" s="72" t="s">
        <v>964</v>
      </c>
      <c r="AI75" s="72" t="s">
        <v>606</v>
      </c>
      <c r="AJ75" s="72" t="s">
        <v>965</v>
      </c>
      <c r="AK75" s="76" t="s">
        <v>966</v>
      </c>
      <c r="AL75" s="72"/>
      <c r="AM75" s="72"/>
      <c r="AN75" s="72"/>
      <c r="AO75" s="72" t="s">
        <v>504</v>
      </c>
      <c r="AP75" s="72"/>
      <c r="AQ75" s="72"/>
      <c r="AR75" s="72"/>
      <c r="AS75" s="72"/>
      <c r="AT75" s="72"/>
      <c r="AU75" s="72"/>
      <c r="AV75" s="72"/>
      <c r="AW75" s="77" t="s">
        <v>2185</v>
      </c>
      <c r="AX75" s="55" t="s">
        <v>1517</v>
      </c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5"/>
      <c r="CI75" s="55"/>
      <c r="CJ75" s="55"/>
      <c r="CK75" s="55"/>
      <c r="CL75" s="55"/>
      <c r="CM75" s="55"/>
      <c r="CN75" s="55"/>
      <c r="CO75" s="55"/>
      <c r="CP75" s="55"/>
      <c r="CQ75" s="55"/>
      <c r="CR75" s="55"/>
      <c r="CS75" s="55"/>
      <c r="CT75" s="55"/>
      <c r="CU75" s="55"/>
      <c r="CV75" s="55"/>
    </row>
    <row r="76" spans="1:100" x14ac:dyDescent="0.3">
      <c r="A76" s="43">
        <v>75</v>
      </c>
      <c r="B76" s="43">
        <v>18</v>
      </c>
      <c r="C76" s="70" t="s">
        <v>2541</v>
      </c>
      <c r="D76" s="72">
        <v>1</v>
      </c>
      <c r="E76" s="132" t="s">
        <v>1871</v>
      </c>
      <c r="F76" s="130" t="s">
        <v>303</v>
      </c>
      <c r="G76" s="67">
        <v>28793</v>
      </c>
      <c r="H76" s="47">
        <v>48517</v>
      </c>
      <c r="I76" s="48">
        <f t="shared" si="11"/>
        <v>48519</v>
      </c>
      <c r="J76" s="48">
        <v>48519</v>
      </c>
      <c r="K76" s="67">
        <v>38108</v>
      </c>
      <c r="L76" s="133" t="s">
        <v>500</v>
      </c>
      <c r="M76" s="105" t="s">
        <v>287</v>
      </c>
      <c r="N76" s="106" t="s">
        <v>281</v>
      </c>
      <c r="O76" s="67">
        <v>40360</v>
      </c>
      <c r="P76" s="68"/>
      <c r="Q76" s="68" t="s">
        <v>74</v>
      </c>
      <c r="R76" s="70">
        <v>1.68</v>
      </c>
      <c r="S76" s="71"/>
      <c r="T76" s="72"/>
      <c r="U76" s="52">
        <f t="shared" si="15"/>
        <v>8920800</v>
      </c>
      <c r="V76" s="52">
        <f t="shared" si="10"/>
        <v>0</v>
      </c>
      <c r="W76" s="52">
        <f t="shared" si="13"/>
        <v>0</v>
      </c>
      <c r="X76" s="52">
        <f t="shared" si="14"/>
        <v>8920800</v>
      </c>
      <c r="Y76" s="52">
        <f>+VLOOKUP(E76,[2]Sheet1!$B$11:$J$400,9,0)</f>
        <v>7862400</v>
      </c>
      <c r="Z76" s="52"/>
      <c r="AA76" s="53" t="s">
        <v>1569</v>
      </c>
      <c r="AB76" s="72" t="s">
        <v>820</v>
      </c>
      <c r="AC76" s="45" t="str">
        <f>+VLOOKUP(E76,[3]Sheet1!$B$11:$I$388,8,0)</f>
        <v>79 - 034</v>
      </c>
      <c r="AD76" s="72" t="s">
        <v>1795</v>
      </c>
      <c r="AE76" s="72" t="s">
        <v>907</v>
      </c>
      <c r="AF76" s="66" t="s">
        <v>907</v>
      </c>
      <c r="AG76" s="45">
        <f>+VALUE(AF76:AF463)</f>
        <v>31178002543</v>
      </c>
      <c r="AH76" s="72" t="s">
        <v>908</v>
      </c>
      <c r="AI76" s="72" t="s">
        <v>606</v>
      </c>
      <c r="AJ76" s="72" t="s">
        <v>909</v>
      </c>
      <c r="AK76" s="76" t="s">
        <v>910</v>
      </c>
      <c r="AL76" s="72"/>
      <c r="AM76" s="72" t="s">
        <v>505</v>
      </c>
      <c r="AN76" s="72"/>
      <c r="AO76" s="72"/>
      <c r="AP76" s="72"/>
      <c r="AQ76" s="72"/>
      <c r="AR76" s="72"/>
      <c r="AS76" s="72"/>
      <c r="AT76" s="72"/>
      <c r="AU76" s="72"/>
      <c r="AV76" s="72"/>
      <c r="AW76" s="77" t="s">
        <v>2166</v>
      </c>
      <c r="AX76" s="55" t="s">
        <v>1517</v>
      </c>
    </row>
    <row r="77" spans="1:100" x14ac:dyDescent="0.3">
      <c r="A77" s="43">
        <v>76</v>
      </c>
      <c r="B77" s="43">
        <v>19</v>
      </c>
      <c r="C77" s="70" t="s">
        <v>2541</v>
      </c>
      <c r="D77" s="72">
        <v>2</v>
      </c>
      <c r="E77" s="78" t="s">
        <v>107</v>
      </c>
      <c r="F77" s="66" t="s">
        <v>302</v>
      </c>
      <c r="G77" s="67">
        <v>31133</v>
      </c>
      <c r="H77" s="47">
        <f>+DATE(YEAR(G77)+57,MONTH(G77),DAY(G77))</f>
        <v>51952</v>
      </c>
      <c r="I77" s="48">
        <f t="shared" si="11"/>
        <v>51957</v>
      </c>
      <c r="J77" s="48">
        <v>45658</v>
      </c>
      <c r="K77" s="67">
        <v>40848</v>
      </c>
      <c r="L77" s="133" t="s">
        <v>500</v>
      </c>
      <c r="M77" s="105" t="s">
        <v>287</v>
      </c>
      <c r="N77" s="70" t="s">
        <v>281</v>
      </c>
      <c r="O77" s="67">
        <v>45839</v>
      </c>
      <c r="P77" s="68"/>
      <c r="Q77" s="68" t="s">
        <v>76</v>
      </c>
      <c r="R77" s="70">
        <v>1.58</v>
      </c>
      <c r="S77" s="71"/>
      <c r="T77" s="72"/>
      <c r="U77" s="52">
        <f t="shared" si="15"/>
        <v>8389800</v>
      </c>
      <c r="V77" s="52">
        <f t="shared" si="10"/>
        <v>0</v>
      </c>
      <c r="W77" s="52">
        <f t="shared" si="13"/>
        <v>0</v>
      </c>
      <c r="X77" s="52">
        <f t="shared" si="14"/>
        <v>8389800</v>
      </c>
      <c r="Y77" s="52">
        <f>+VLOOKUP(E77,[2]Sheet1!$B$11:$J$400,9,0)</f>
        <v>6973200</v>
      </c>
      <c r="Z77" s="52"/>
      <c r="AA77" s="53" t="s">
        <v>1567</v>
      </c>
      <c r="AB77" s="72" t="s">
        <v>899</v>
      </c>
      <c r="AC77" s="45" t="str">
        <f>+VLOOKUP(E77,[3]Sheet1!$B$11:$I$388,8,0)</f>
        <v>79 - 426</v>
      </c>
      <c r="AD77" s="72" t="s">
        <v>1795</v>
      </c>
      <c r="AE77" s="72" t="s">
        <v>2767</v>
      </c>
      <c r="AF77" s="66">
        <v>264272266</v>
      </c>
      <c r="AG77" s="45">
        <f>+VALUE(AF77:AF464)</f>
        <v>264272266</v>
      </c>
      <c r="AH77" s="72" t="s">
        <v>900</v>
      </c>
      <c r="AI77" s="72" t="s">
        <v>503</v>
      </c>
      <c r="AJ77" s="72" t="s">
        <v>506</v>
      </c>
      <c r="AK77" s="76" t="s">
        <v>901</v>
      </c>
      <c r="AL77" s="72" t="s">
        <v>3110</v>
      </c>
      <c r="AM77" s="72" t="s">
        <v>505</v>
      </c>
      <c r="AN77" s="72"/>
      <c r="AO77" s="72"/>
      <c r="AP77" s="72"/>
      <c r="AQ77" s="72"/>
      <c r="AR77" s="72"/>
      <c r="AS77" s="72"/>
      <c r="AT77" s="72"/>
      <c r="AU77" s="72"/>
      <c r="AV77" s="72"/>
      <c r="AW77" s="77" t="s">
        <v>2167</v>
      </c>
      <c r="AX77" s="55" t="s">
        <v>1517</v>
      </c>
    </row>
    <row r="78" spans="1:100" x14ac:dyDescent="0.3">
      <c r="A78" s="43">
        <v>77</v>
      </c>
      <c r="B78" s="43">
        <v>20</v>
      </c>
      <c r="C78" s="70" t="s">
        <v>2541</v>
      </c>
      <c r="D78" s="72">
        <v>3</v>
      </c>
      <c r="E78" s="65" t="s">
        <v>1829</v>
      </c>
      <c r="F78" s="66" t="s">
        <v>304</v>
      </c>
      <c r="G78" s="67">
        <v>28756</v>
      </c>
      <c r="H78" s="47">
        <f>+DATE(YEAR(G78)+57,MONTH(G78),DAY(G78))</f>
        <v>49575</v>
      </c>
      <c r="I78" s="48">
        <f t="shared" si="11"/>
        <v>49583</v>
      </c>
      <c r="J78" s="48">
        <v>50891</v>
      </c>
      <c r="K78" s="67">
        <v>38657</v>
      </c>
      <c r="L78" s="133" t="s">
        <v>500</v>
      </c>
      <c r="M78" s="105" t="s">
        <v>287</v>
      </c>
      <c r="N78" s="106" t="s">
        <v>281</v>
      </c>
      <c r="O78" s="67">
        <v>41091</v>
      </c>
      <c r="P78" s="68"/>
      <c r="Q78" s="68" t="s">
        <v>74</v>
      </c>
      <c r="R78" s="70">
        <v>1.68</v>
      </c>
      <c r="S78" s="71"/>
      <c r="T78" s="72"/>
      <c r="U78" s="52">
        <f t="shared" si="15"/>
        <v>8920800</v>
      </c>
      <c r="V78" s="52">
        <f t="shared" si="10"/>
        <v>0</v>
      </c>
      <c r="W78" s="52">
        <f t="shared" si="13"/>
        <v>0</v>
      </c>
      <c r="X78" s="52">
        <f t="shared" si="14"/>
        <v>8920800</v>
      </c>
      <c r="Y78" s="52">
        <f>+VLOOKUP(E78,[2]Sheet1!$B$11:$J$400,9,0)</f>
        <v>7862400</v>
      </c>
      <c r="Z78" s="52"/>
      <c r="AA78" s="53" t="s">
        <v>1570</v>
      </c>
      <c r="AB78" s="72" t="s">
        <v>756</v>
      </c>
      <c r="AC78" s="45" t="str">
        <f>+VLOOKUP(E78,[3]Sheet1!$B$11:$I$388,8,0)</f>
        <v>79 - 030</v>
      </c>
      <c r="AD78" s="72" t="s">
        <v>1795</v>
      </c>
      <c r="AE78" s="72" t="s">
        <v>2768</v>
      </c>
      <c r="AF78" s="66" t="s">
        <v>911</v>
      </c>
      <c r="AG78" s="45">
        <f>+VALUE(AF78:AF467)</f>
        <v>23424511</v>
      </c>
      <c r="AH78" s="72" t="s">
        <v>912</v>
      </c>
      <c r="AI78" s="72" t="s">
        <v>599</v>
      </c>
      <c r="AJ78" s="72" t="s">
        <v>913</v>
      </c>
      <c r="AK78" s="76" t="s">
        <v>785</v>
      </c>
      <c r="AL78" s="72"/>
      <c r="AM78" s="72" t="s">
        <v>97</v>
      </c>
      <c r="AN78" s="72"/>
      <c r="AO78" s="72"/>
      <c r="AP78" s="72"/>
      <c r="AQ78" s="72"/>
      <c r="AR78" s="72"/>
      <c r="AS78" s="72"/>
      <c r="AT78" s="72"/>
      <c r="AU78" s="72"/>
      <c r="AV78" s="72"/>
      <c r="AW78" s="77" t="s">
        <v>2169</v>
      </c>
      <c r="AX78" s="55" t="s">
        <v>1517</v>
      </c>
    </row>
    <row r="79" spans="1:100" x14ac:dyDescent="0.3">
      <c r="A79" s="43">
        <v>78</v>
      </c>
      <c r="B79" s="43">
        <v>21</v>
      </c>
      <c r="C79" s="70" t="s">
        <v>2541</v>
      </c>
      <c r="D79" s="72">
        <v>4</v>
      </c>
      <c r="E79" s="78" t="s">
        <v>109</v>
      </c>
      <c r="F79" s="66" t="s">
        <v>305</v>
      </c>
      <c r="G79" s="67">
        <v>30266</v>
      </c>
      <c r="H79" s="47">
        <f>+DATE(YEAR(G79)+57,MONTH(G79),DAY(G79))</f>
        <v>51085</v>
      </c>
      <c r="I79" s="48">
        <f t="shared" si="11"/>
        <v>51105</v>
      </c>
      <c r="J79" s="48">
        <v>50161</v>
      </c>
      <c r="K79" s="67">
        <v>40118</v>
      </c>
      <c r="L79" s="133" t="s">
        <v>500</v>
      </c>
      <c r="M79" s="105" t="s">
        <v>287</v>
      </c>
      <c r="N79" s="106" t="s">
        <v>3245</v>
      </c>
      <c r="O79" s="67">
        <v>42309</v>
      </c>
      <c r="P79" s="68"/>
      <c r="Q79" s="68" t="s">
        <v>74</v>
      </c>
      <c r="R79" s="70">
        <v>1.68</v>
      </c>
      <c r="S79" s="71">
        <v>0.06</v>
      </c>
      <c r="T79" s="72"/>
      <c r="U79" s="52">
        <f t="shared" si="15"/>
        <v>8920800</v>
      </c>
      <c r="V79" s="52">
        <f t="shared" si="10"/>
        <v>297600</v>
      </c>
      <c r="W79" s="52">
        <f t="shared" si="13"/>
        <v>0</v>
      </c>
      <c r="X79" s="52">
        <f t="shared" si="14"/>
        <v>9218400</v>
      </c>
      <c r="Y79" s="52">
        <f>+VLOOKUP(E79,[2]Sheet1!$B$11:$J$400,9,0)</f>
        <v>8049600</v>
      </c>
      <c r="Z79" s="52"/>
      <c r="AA79" s="53" t="s">
        <v>1571</v>
      </c>
      <c r="AB79" s="72" t="s">
        <v>914</v>
      </c>
      <c r="AC79" s="45" t="str">
        <f>+VLOOKUP(E79,[3]Sheet1!$B$11:$I$388,8,0)</f>
        <v>79 - 014</v>
      </c>
      <c r="AD79" s="72" t="s">
        <v>1795</v>
      </c>
      <c r="AE79" s="72" t="s">
        <v>2769</v>
      </c>
      <c r="AF79" s="66" t="s">
        <v>915</v>
      </c>
      <c r="AG79" s="45">
        <f>+VALUE(AF79:AF468)</f>
        <v>264232686</v>
      </c>
      <c r="AH79" s="72" t="s">
        <v>908</v>
      </c>
      <c r="AI79" s="72" t="s">
        <v>503</v>
      </c>
      <c r="AJ79" s="72" t="s">
        <v>916</v>
      </c>
      <c r="AK79" s="76" t="s">
        <v>917</v>
      </c>
      <c r="AL79" s="72"/>
      <c r="AM79" s="72" t="s">
        <v>81</v>
      </c>
      <c r="AN79" s="72"/>
      <c r="AO79" s="72"/>
      <c r="AP79" s="72"/>
      <c r="AQ79" s="72"/>
      <c r="AR79" s="72"/>
      <c r="AS79" s="72"/>
      <c r="AT79" s="72"/>
      <c r="AU79" s="72"/>
      <c r="AV79" s="72"/>
      <c r="AW79" s="77" t="s">
        <v>2170</v>
      </c>
      <c r="AX79" s="55" t="s">
        <v>1517</v>
      </c>
    </row>
    <row r="80" spans="1:100" x14ac:dyDescent="0.3">
      <c r="A80" s="43">
        <v>79</v>
      </c>
      <c r="B80" s="43">
        <v>22</v>
      </c>
      <c r="C80" s="70" t="s">
        <v>2541</v>
      </c>
      <c r="D80" s="72">
        <v>5</v>
      </c>
      <c r="E80" s="65" t="s">
        <v>110</v>
      </c>
      <c r="F80" s="66" t="s">
        <v>306</v>
      </c>
      <c r="G80" s="67">
        <v>30458</v>
      </c>
      <c r="H80" s="47">
        <f>+DATE(YEAR(G80)+57,MONTH(G80),DAY(G80))</f>
        <v>51278</v>
      </c>
      <c r="I80" s="48">
        <f t="shared" si="11"/>
        <v>51288</v>
      </c>
      <c r="J80" s="48">
        <v>50802</v>
      </c>
      <c r="K80" s="67">
        <v>41671</v>
      </c>
      <c r="L80" s="133" t="s">
        <v>500</v>
      </c>
      <c r="M80" s="105" t="s">
        <v>287</v>
      </c>
      <c r="N80" s="106" t="s">
        <v>281</v>
      </c>
      <c r="O80" s="67">
        <v>41671</v>
      </c>
      <c r="P80" s="68"/>
      <c r="Q80" s="68" t="s">
        <v>76</v>
      </c>
      <c r="R80" s="70">
        <v>1.58</v>
      </c>
      <c r="S80" s="71"/>
      <c r="T80" s="72"/>
      <c r="U80" s="52">
        <f t="shared" si="15"/>
        <v>8389800</v>
      </c>
      <c r="V80" s="52">
        <f t="shared" si="10"/>
        <v>0</v>
      </c>
      <c r="W80" s="52">
        <f t="shared" si="13"/>
        <v>0</v>
      </c>
      <c r="X80" s="52">
        <f t="shared" si="14"/>
        <v>8389800</v>
      </c>
      <c r="Y80" s="52">
        <f>+VLOOKUP(E80,[2]Sheet1!$B$11:$J$400,9,0)</f>
        <v>7394400</v>
      </c>
      <c r="Z80" s="52"/>
      <c r="AA80" s="53" t="s">
        <v>1572</v>
      </c>
      <c r="AB80" s="72" t="s">
        <v>918</v>
      </c>
      <c r="AC80" s="45" t="str">
        <f>+VLOOKUP(E80,[3]Sheet1!$B$11:$I$388,8,0)</f>
        <v>79 - 024</v>
      </c>
      <c r="AD80" s="72" t="s">
        <v>1795</v>
      </c>
      <c r="AE80" s="72" t="s">
        <v>919</v>
      </c>
      <c r="AF80" s="66" t="s">
        <v>919</v>
      </c>
      <c r="AG80" s="45">
        <f>+VALUE(AF80:AF469)</f>
        <v>79083004052</v>
      </c>
      <c r="AH80" s="72" t="s">
        <v>920</v>
      </c>
      <c r="AI80" s="72" t="s">
        <v>606</v>
      </c>
      <c r="AJ80" s="72" t="s">
        <v>921</v>
      </c>
      <c r="AK80" s="76" t="s">
        <v>922</v>
      </c>
      <c r="AL80" s="72"/>
      <c r="AM80" s="72" t="s">
        <v>555</v>
      </c>
      <c r="AN80" s="72"/>
      <c r="AO80" s="72"/>
      <c r="AP80" s="72"/>
      <c r="AQ80" s="72"/>
      <c r="AR80" s="72"/>
      <c r="AS80" s="72"/>
      <c r="AT80" s="72"/>
      <c r="AU80" s="72"/>
      <c r="AV80" s="72"/>
      <c r="AW80" s="77" t="s">
        <v>2171</v>
      </c>
      <c r="AX80" s="55" t="s">
        <v>1517</v>
      </c>
    </row>
    <row r="81" spans="1:100" s="82" customFormat="1" x14ac:dyDescent="0.3">
      <c r="A81" s="43">
        <v>80</v>
      </c>
      <c r="B81" s="43">
        <v>23</v>
      </c>
      <c r="C81" s="70" t="s">
        <v>2541</v>
      </c>
      <c r="D81" s="72">
        <v>6</v>
      </c>
      <c r="E81" s="65" t="s">
        <v>2007</v>
      </c>
      <c r="F81" s="66" t="s">
        <v>2008</v>
      </c>
      <c r="G81" s="67">
        <v>34751</v>
      </c>
      <c r="H81" s="47">
        <f>+DATE(YEAR(G81)+57,MONTH(G81),DAY(G81))</f>
        <v>55570</v>
      </c>
      <c r="I81" s="48">
        <f t="shared" si="11"/>
        <v>55579</v>
      </c>
      <c r="J81" s="48">
        <v>52413</v>
      </c>
      <c r="K81" s="67">
        <v>43800</v>
      </c>
      <c r="L81" s="121" t="s">
        <v>500</v>
      </c>
      <c r="M81" s="105" t="s">
        <v>287</v>
      </c>
      <c r="N81" s="106" t="s">
        <v>281</v>
      </c>
      <c r="O81" s="67">
        <v>43800</v>
      </c>
      <c r="P81" s="68"/>
      <c r="Q81" s="69" t="s">
        <v>71</v>
      </c>
      <c r="R81" s="70">
        <v>1.49</v>
      </c>
      <c r="S81" s="71">
        <v>0.04</v>
      </c>
      <c r="T81" s="72"/>
      <c r="U81" s="52">
        <f t="shared" si="15"/>
        <v>7911900</v>
      </c>
      <c r="V81" s="52">
        <f t="shared" si="10"/>
        <v>198400</v>
      </c>
      <c r="W81" s="52">
        <f t="shared" si="13"/>
        <v>0</v>
      </c>
      <c r="X81" s="52">
        <f t="shared" si="14"/>
        <v>8110300</v>
      </c>
      <c r="Y81" s="52">
        <f>+VLOOKUP(E81,[2]Sheet1!$B$11:$J$400,9,0)</f>
        <v>6973200</v>
      </c>
      <c r="Z81" s="52"/>
      <c r="AA81" s="53" t="s">
        <v>2694</v>
      </c>
      <c r="AB81" s="72" t="s">
        <v>3283</v>
      </c>
      <c r="AC81" s="45" t="str">
        <f>+VLOOKUP(E81,[3]Sheet1!$B$11:$I$388,8,0)</f>
        <v>79 - 075</v>
      </c>
      <c r="AD81" s="72" t="s">
        <v>1795</v>
      </c>
      <c r="AE81" s="72" t="s">
        <v>2009</v>
      </c>
      <c r="AF81" s="66" t="s">
        <v>2009</v>
      </c>
      <c r="AG81" s="72">
        <f>+VALUE(AF81:AF470)</f>
        <v>34095006415</v>
      </c>
      <c r="AH81" s="80" t="s">
        <v>2010</v>
      </c>
      <c r="AI81" s="72" t="s">
        <v>606</v>
      </c>
      <c r="AJ81" s="72" t="s">
        <v>2011</v>
      </c>
      <c r="AK81" s="76"/>
      <c r="AL81" s="72"/>
      <c r="AM81" s="72" t="s">
        <v>2012</v>
      </c>
      <c r="AN81" s="72"/>
      <c r="AO81" s="72"/>
      <c r="AP81" s="72"/>
      <c r="AQ81" s="72"/>
      <c r="AR81" s="72"/>
      <c r="AS81" s="72"/>
      <c r="AT81" s="67">
        <v>43800</v>
      </c>
      <c r="AU81" s="72"/>
      <c r="AV81" s="67">
        <v>44531</v>
      </c>
      <c r="AW81" s="127" t="s">
        <v>2407</v>
      </c>
      <c r="AX81" s="82" t="s">
        <v>1517</v>
      </c>
    </row>
    <row r="82" spans="1:100" x14ac:dyDescent="0.3">
      <c r="A82" s="43">
        <v>81</v>
      </c>
      <c r="B82" s="43">
        <v>24</v>
      </c>
      <c r="C82" s="70" t="s">
        <v>2541</v>
      </c>
      <c r="D82" s="72">
        <v>7</v>
      </c>
      <c r="E82" s="129" t="s">
        <v>111</v>
      </c>
      <c r="F82" s="130" t="s">
        <v>307</v>
      </c>
      <c r="G82" s="67">
        <v>27254</v>
      </c>
      <c r="H82" s="47">
        <v>46247</v>
      </c>
      <c r="I82" s="48">
        <f t="shared" si="11"/>
        <v>46266</v>
      </c>
      <c r="J82" s="48">
        <v>52140</v>
      </c>
      <c r="K82" s="67">
        <v>36008</v>
      </c>
      <c r="L82" s="121" t="s">
        <v>500</v>
      </c>
      <c r="M82" s="105" t="s">
        <v>287</v>
      </c>
      <c r="N82" s="106" t="s">
        <v>281</v>
      </c>
      <c r="O82" s="67">
        <v>39995</v>
      </c>
      <c r="P82" s="68"/>
      <c r="Q82" s="68" t="s">
        <v>74</v>
      </c>
      <c r="R82" s="70">
        <v>1.5</v>
      </c>
      <c r="S82" s="71"/>
      <c r="T82" s="72"/>
      <c r="U82" s="52">
        <f t="shared" si="15"/>
        <v>7965000</v>
      </c>
      <c r="V82" s="52">
        <f t="shared" si="10"/>
        <v>0</v>
      </c>
      <c r="W82" s="52">
        <f t="shared" si="13"/>
        <v>0</v>
      </c>
      <c r="X82" s="52">
        <f t="shared" si="14"/>
        <v>7965000</v>
      </c>
      <c r="Y82" s="52">
        <f>+VLOOKUP(E82,[2]Sheet1!$B$11:$J$400,9,0)</f>
        <v>7020000</v>
      </c>
      <c r="Z82" s="52"/>
      <c r="AA82" s="53" t="s">
        <v>1573</v>
      </c>
      <c r="AB82" s="72" t="s">
        <v>756</v>
      </c>
      <c r="AC82" s="45" t="str">
        <f>+VLOOKUP(E82,[3]Sheet1!$B$11:$I$388,8,0)</f>
        <v>79 - 016</v>
      </c>
      <c r="AD82" s="72" t="s">
        <v>1796</v>
      </c>
      <c r="AE82" s="72" t="s">
        <v>2770</v>
      </c>
      <c r="AF82" s="66" t="s">
        <v>924</v>
      </c>
      <c r="AG82" s="45">
        <f>+VALUE(AF82:AF472)</f>
        <v>24610266</v>
      </c>
      <c r="AH82" s="72" t="s">
        <v>664</v>
      </c>
      <c r="AI82" s="72" t="s">
        <v>599</v>
      </c>
      <c r="AJ82" s="72" t="s">
        <v>925</v>
      </c>
      <c r="AK82" s="76" t="s">
        <v>926</v>
      </c>
      <c r="AL82" s="72"/>
      <c r="AM82" s="72" t="s">
        <v>551</v>
      </c>
      <c r="AN82" s="72"/>
      <c r="AO82" s="72"/>
      <c r="AP82" s="72"/>
      <c r="AQ82" s="72"/>
      <c r="AR82" s="72"/>
      <c r="AS82" s="72"/>
      <c r="AT82" s="72"/>
      <c r="AU82" s="72"/>
      <c r="AV82" s="72"/>
      <c r="AW82" s="77" t="s">
        <v>2172</v>
      </c>
      <c r="AX82" s="55" t="s">
        <v>1517</v>
      </c>
    </row>
    <row r="83" spans="1:100" s="82" customFormat="1" x14ac:dyDescent="0.3">
      <c r="A83" s="43">
        <v>82</v>
      </c>
      <c r="B83" s="43">
        <v>25</v>
      </c>
      <c r="C83" s="70" t="s">
        <v>2541</v>
      </c>
      <c r="D83" s="72">
        <v>8</v>
      </c>
      <c r="E83" s="131" t="s">
        <v>112</v>
      </c>
      <c r="F83" s="130" t="s">
        <v>308</v>
      </c>
      <c r="G83" s="67">
        <v>30783</v>
      </c>
      <c r="H83" s="47">
        <f>+DATE(YEAR(G83)+55,MONTH(G83),DAY(G83))</f>
        <v>50871</v>
      </c>
      <c r="I83" s="48">
        <f t="shared" si="11"/>
        <v>50891</v>
      </c>
      <c r="J83" s="48">
        <v>49249</v>
      </c>
      <c r="K83" s="67">
        <v>37865</v>
      </c>
      <c r="L83" s="121" t="s">
        <v>500</v>
      </c>
      <c r="M83" s="105" t="s">
        <v>287</v>
      </c>
      <c r="N83" s="106" t="s">
        <v>281</v>
      </c>
      <c r="O83" s="67">
        <v>45839</v>
      </c>
      <c r="P83" s="92"/>
      <c r="Q83" s="68" t="s">
        <v>74</v>
      </c>
      <c r="R83" s="70">
        <v>1.5</v>
      </c>
      <c r="S83" s="71"/>
      <c r="T83" s="72"/>
      <c r="U83" s="52">
        <f t="shared" si="15"/>
        <v>7965000</v>
      </c>
      <c r="V83" s="52">
        <f t="shared" si="10"/>
        <v>0</v>
      </c>
      <c r="W83" s="52">
        <f t="shared" si="13"/>
        <v>0</v>
      </c>
      <c r="X83" s="52">
        <f t="shared" si="14"/>
        <v>7965000</v>
      </c>
      <c r="Y83" s="52">
        <f>+VLOOKUP(E83,[2]Sheet1!$B$11:$J$400,9,0)</f>
        <v>6645600</v>
      </c>
      <c r="Z83" s="52"/>
      <c r="AA83" s="53" t="s">
        <v>1574</v>
      </c>
      <c r="AB83" s="72" t="s">
        <v>752</v>
      </c>
      <c r="AC83" s="45" t="str">
        <f>+VLOOKUP(E83,[3]Sheet1!$B$11:$I$388,8,0)</f>
        <v>79 - 016</v>
      </c>
      <c r="AD83" s="72" t="s">
        <v>1796</v>
      </c>
      <c r="AE83" s="72" t="s">
        <v>927</v>
      </c>
      <c r="AF83" s="66" t="s">
        <v>927</v>
      </c>
      <c r="AG83" s="72">
        <f>+VALUE(AF83:AF473)</f>
        <v>79184001574</v>
      </c>
      <c r="AH83" s="72" t="s">
        <v>928</v>
      </c>
      <c r="AI83" s="72" t="s">
        <v>606</v>
      </c>
      <c r="AJ83" s="72" t="s">
        <v>929</v>
      </c>
      <c r="AK83" s="76" t="s">
        <v>930</v>
      </c>
      <c r="AL83" s="72"/>
      <c r="AM83" s="72" t="s">
        <v>551</v>
      </c>
      <c r="AN83" s="72"/>
      <c r="AO83" s="72"/>
      <c r="AP83" s="72"/>
      <c r="AQ83" s="72"/>
      <c r="AR83" s="72"/>
      <c r="AS83" s="72"/>
      <c r="AT83" s="72"/>
      <c r="AU83" s="72"/>
      <c r="AV83" s="72"/>
      <c r="AW83" s="77" t="s">
        <v>2173</v>
      </c>
      <c r="AX83" s="55" t="s">
        <v>1517</v>
      </c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55"/>
      <c r="BL83" s="55"/>
      <c r="BM83" s="55"/>
      <c r="BN83" s="55"/>
      <c r="BO83" s="55"/>
      <c r="BP83" s="55"/>
      <c r="BQ83" s="55"/>
      <c r="BR83" s="55"/>
      <c r="BS83" s="55"/>
      <c r="BT83" s="55"/>
      <c r="BU83" s="55"/>
      <c r="BV83" s="55"/>
      <c r="BW83" s="55"/>
      <c r="BX83" s="55"/>
      <c r="BY83" s="55"/>
      <c r="BZ83" s="55"/>
      <c r="CA83" s="55"/>
      <c r="CB83" s="55"/>
      <c r="CC83" s="55"/>
      <c r="CD83" s="55"/>
      <c r="CE83" s="55"/>
      <c r="CF83" s="55"/>
      <c r="CG83" s="55"/>
      <c r="CH83" s="55"/>
      <c r="CI83" s="55"/>
      <c r="CJ83" s="55"/>
      <c r="CK83" s="55"/>
      <c r="CL83" s="55"/>
      <c r="CM83" s="55"/>
      <c r="CN83" s="55"/>
      <c r="CO83" s="55"/>
      <c r="CP83" s="55"/>
      <c r="CQ83" s="55"/>
      <c r="CR83" s="55"/>
      <c r="CS83" s="55"/>
      <c r="CT83" s="55"/>
      <c r="CU83" s="55"/>
      <c r="CV83" s="55"/>
    </row>
    <row r="84" spans="1:100" x14ac:dyDescent="0.3">
      <c r="A84" s="43">
        <v>83</v>
      </c>
      <c r="B84" s="43">
        <v>26</v>
      </c>
      <c r="C84" s="70" t="s">
        <v>2541</v>
      </c>
      <c r="D84" s="72">
        <v>9</v>
      </c>
      <c r="E84" s="129" t="s">
        <v>126</v>
      </c>
      <c r="F84" s="130" t="s">
        <v>323</v>
      </c>
      <c r="G84" s="67">
        <v>30063</v>
      </c>
      <c r="H84" s="47">
        <f>+DATE(YEAR(G84)+55,MONTH(G84),DAY(G84))</f>
        <v>50152</v>
      </c>
      <c r="I84" s="48">
        <f t="shared" si="11"/>
        <v>50161</v>
      </c>
      <c r="J84" s="48">
        <v>54514</v>
      </c>
      <c r="K84" s="67">
        <v>40299</v>
      </c>
      <c r="L84" s="121" t="s">
        <v>500</v>
      </c>
      <c r="M84" s="105" t="s">
        <v>287</v>
      </c>
      <c r="N84" s="70" t="s">
        <v>281</v>
      </c>
      <c r="O84" s="67">
        <v>45474</v>
      </c>
      <c r="P84" s="68" t="s">
        <v>3238</v>
      </c>
      <c r="Q84" s="68" t="s">
        <v>74</v>
      </c>
      <c r="R84" s="70">
        <v>1.5</v>
      </c>
      <c r="S84" s="71"/>
      <c r="T84" s="72"/>
      <c r="U84" s="52">
        <f t="shared" si="15"/>
        <v>7965000</v>
      </c>
      <c r="V84" s="52">
        <f t="shared" si="10"/>
        <v>0</v>
      </c>
      <c r="W84" s="52">
        <f t="shared" si="13"/>
        <v>0</v>
      </c>
      <c r="X84" s="52">
        <f t="shared" si="14"/>
        <v>7965000</v>
      </c>
      <c r="Y84" s="52">
        <f>+VLOOKUP(E84,[2]Sheet1!$B$11:$J$400,9,0)</f>
        <v>6645600</v>
      </c>
      <c r="Z84" s="52"/>
      <c r="AA84" s="53" t="s">
        <v>1593</v>
      </c>
      <c r="AB84" s="72" t="s">
        <v>942</v>
      </c>
      <c r="AC84" s="45" t="str">
        <f>+VLOOKUP(E84,[3]Sheet1!$B$11:$I$388,8,0)</f>
        <v>79 - 031</v>
      </c>
      <c r="AD84" s="72" t="s">
        <v>1796</v>
      </c>
      <c r="AE84" s="72" t="s">
        <v>2771</v>
      </c>
      <c r="AF84" s="66" t="s">
        <v>988</v>
      </c>
      <c r="AG84" s="45">
        <f>+VALUE(AF84:AF474)</f>
        <v>168088320</v>
      </c>
      <c r="AH84" s="72" t="s">
        <v>989</v>
      </c>
      <c r="AI84" s="72" t="s">
        <v>940</v>
      </c>
      <c r="AJ84" s="72" t="s">
        <v>990</v>
      </c>
      <c r="AK84" s="76" t="s">
        <v>991</v>
      </c>
      <c r="AL84" s="72"/>
      <c r="AM84" s="72"/>
      <c r="AN84" s="72"/>
      <c r="AO84" s="72"/>
      <c r="AP84" s="72" t="s">
        <v>3446</v>
      </c>
      <c r="AQ84" s="72"/>
      <c r="AR84" s="72"/>
      <c r="AS84" s="72"/>
      <c r="AT84" s="72"/>
      <c r="AU84" s="72"/>
      <c r="AV84" s="72"/>
      <c r="AW84" s="77" t="s">
        <v>2174</v>
      </c>
      <c r="AX84" s="55" t="s">
        <v>1517</v>
      </c>
    </row>
    <row r="85" spans="1:100" s="82" customFormat="1" x14ac:dyDescent="0.3">
      <c r="A85" s="43">
        <v>84</v>
      </c>
      <c r="B85" s="43">
        <v>27</v>
      </c>
      <c r="C85" s="70" t="s">
        <v>2541</v>
      </c>
      <c r="D85" s="72">
        <v>10</v>
      </c>
      <c r="E85" s="132" t="s">
        <v>581</v>
      </c>
      <c r="F85" s="130" t="s">
        <v>56</v>
      </c>
      <c r="G85" s="67">
        <v>29092</v>
      </c>
      <c r="H85" s="47">
        <f>+DATE(YEAR(G85)+60,MONTH(G85),DAY(G85))</f>
        <v>51007</v>
      </c>
      <c r="I85" s="48">
        <v>51007</v>
      </c>
      <c r="J85" s="48">
        <f>+EOMONTH(I85,0)+1</f>
        <v>51014</v>
      </c>
      <c r="K85" s="67">
        <v>37377</v>
      </c>
      <c r="L85" s="121" t="s">
        <v>500</v>
      </c>
      <c r="M85" s="105" t="s">
        <v>287</v>
      </c>
      <c r="N85" s="70" t="s">
        <v>34</v>
      </c>
      <c r="O85" s="67">
        <v>43101</v>
      </c>
      <c r="P85" s="67">
        <v>44197</v>
      </c>
      <c r="Q85" s="68" t="s">
        <v>74</v>
      </c>
      <c r="R85" s="71">
        <v>1.5</v>
      </c>
      <c r="S85" s="71"/>
      <c r="T85" s="72"/>
      <c r="U85" s="52">
        <f t="shared" si="15"/>
        <v>7965000</v>
      </c>
      <c r="V85" s="52">
        <f t="shared" si="10"/>
        <v>0</v>
      </c>
      <c r="W85" s="52">
        <f t="shared" si="13"/>
        <v>0</v>
      </c>
      <c r="X85" s="134">
        <f t="shared" si="14"/>
        <v>7965000</v>
      </c>
      <c r="Y85" s="52">
        <f>+VLOOKUP(E85,[2]Sheet1!$B$11:$J$400,9,0)</f>
        <v>8845200</v>
      </c>
      <c r="Z85" s="52"/>
      <c r="AA85" s="53" t="s">
        <v>1538</v>
      </c>
      <c r="AB85" s="72" t="s">
        <v>1801</v>
      </c>
      <c r="AC85" s="45" t="str">
        <f>+VLOOKUP(E85,[3]Sheet1!$B$11:$I$388,8,0)</f>
        <v>79 - 025</v>
      </c>
      <c r="AD85" s="72" t="s">
        <v>1796</v>
      </c>
      <c r="AE85" s="66" t="s">
        <v>1951</v>
      </c>
      <c r="AF85" s="66" t="s">
        <v>1951</v>
      </c>
      <c r="AG85" s="45">
        <f>+VALUE(AF64:AF453)</f>
        <v>87179000336</v>
      </c>
      <c r="AH85" s="80" t="s">
        <v>1952</v>
      </c>
      <c r="AI85" s="72" t="s">
        <v>606</v>
      </c>
      <c r="AJ85" s="72" t="s">
        <v>779</v>
      </c>
      <c r="AK85" s="76" t="s">
        <v>780</v>
      </c>
      <c r="AL85" s="72"/>
      <c r="AM85" s="72" t="s">
        <v>90</v>
      </c>
      <c r="AN85" s="72"/>
      <c r="AO85" s="72"/>
      <c r="AP85" s="72"/>
      <c r="AQ85" s="72"/>
      <c r="AR85" s="72"/>
      <c r="AS85" s="72"/>
      <c r="AT85" s="72"/>
      <c r="AU85" s="72"/>
      <c r="AV85" s="72"/>
      <c r="AW85" s="77" t="s">
        <v>2157</v>
      </c>
      <c r="AX85" s="55" t="s">
        <v>1517</v>
      </c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55"/>
      <c r="BL85" s="55"/>
      <c r="BM85" s="55"/>
      <c r="BN85" s="55"/>
      <c r="BO85" s="55"/>
      <c r="BP85" s="55"/>
      <c r="BQ85" s="55"/>
      <c r="BR85" s="55"/>
      <c r="BS85" s="55"/>
      <c r="BT85" s="55"/>
      <c r="BU85" s="55"/>
      <c r="BV85" s="55"/>
      <c r="BW85" s="55"/>
      <c r="BX85" s="55"/>
      <c r="BY85" s="55"/>
      <c r="BZ85" s="55"/>
      <c r="CA85" s="55"/>
      <c r="CB85" s="55"/>
      <c r="CC85" s="55"/>
      <c r="CD85" s="55"/>
      <c r="CE85" s="55"/>
      <c r="CF85" s="55"/>
      <c r="CG85" s="55"/>
      <c r="CH85" s="55"/>
      <c r="CI85" s="55"/>
      <c r="CJ85" s="55"/>
      <c r="CK85" s="55"/>
      <c r="CL85" s="55"/>
      <c r="CM85" s="55"/>
      <c r="CN85" s="55"/>
      <c r="CO85" s="55"/>
      <c r="CP85" s="55"/>
      <c r="CQ85" s="55"/>
      <c r="CR85" s="55"/>
      <c r="CS85" s="55"/>
      <c r="CT85" s="55"/>
      <c r="CU85" s="55"/>
      <c r="CV85" s="55"/>
    </row>
    <row r="86" spans="1:100" x14ac:dyDescent="0.3">
      <c r="A86" s="43">
        <v>85</v>
      </c>
      <c r="B86" s="43">
        <v>28</v>
      </c>
      <c r="C86" s="70" t="s">
        <v>2541</v>
      </c>
      <c r="D86" s="72">
        <v>11</v>
      </c>
      <c r="E86" s="78" t="s">
        <v>1872</v>
      </c>
      <c r="F86" s="66" t="s">
        <v>309</v>
      </c>
      <c r="G86" s="67">
        <v>29175</v>
      </c>
      <c r="H86" s="47">
        <f t="shared" ref="H86:H92" si="16">+DATE(YEAR(G86)+57,MONTH(G86),DAY(G86))</f>
        <v>49995</v>
      </c>
      <c r="I86" s="48">
        <f t="shared" ref="I86:I116" si="17">+EOMONTH(H86,0)+1</f>
        <v>50010</v>
      </c>
      <c r="J86" s="48">
        <v>50010</v>
      </c>
      <c r="K86" s="67">
        <v>37347</v>
      </c>
      <c r="L86" s="135" t="s">
        <v>500</v>
      </c>
      <c r="M86" s="105" t="s">
        <v>287</v>
      </c>
      <c r="N86" s="106" t="s">
        <v>281</v>
      </c>
      <c r="O86" s="67">
        <v>41456</v>
      </c>
      <c r="P86" s="68"/>
      <c r="Q86" s="68" t="s">
        <v>76</v>
      </c>
      <c r="R86" s="70">
        <v>1.58</v>
      </c>
      <c r="S86" s="71">
        <v>0.04</v>
      </c>
      <c r="T86" s="72"/>
      <c r="U86" s="52">
        <f t="shared" si="15"/>
        <v>8389800</v>
      </c>
      <c r="V86" s="52">
        <f t="shared" si="10"/>
        <v>198400</v>
      </c>
      <c r="W86" s="52">
        <f t="shared" si="13"/>
        <v>0</v>
      </c>
      <c r="X86" s="52">
        <f t="shared" si="14"/>
        <v>8588200</v>
      </c>
      <c r="Y86" s="52">
        <f>+VLOOKUP(E86,[2]Sheet1!$B$11:$J$400,9,0)</f>
        <v>7581600</v>
      </c>
      <c r="Z86" s="52"/>
      <c r="AA86" s="53" t="s">
        <v>1575</v>
      </c>
      <c r="AB86" s="72" t="s">
        <v>817</v>
      </c>
      <c r="AC86" s="45" t="str">
        <f>+VLOOKUP(E86,[3]Sheet1!$B$11:$I$388,8,0)</f>
        <v>79 - 426</v>
      </c>
      <c r="AD86" s="72" t="s">
        <v>1797</v>
      </c>
      <c r="AE86" s="72" t="s">
        <v>2772</v>
      </c>
      <c r="AF86" s="66" t="s">
        <v>931</v>
      </c>
      <c r="AG86" s="45">
        <f t="shared" ref="AG86:AG93" si="18">+VALUE(AF86:AF475)</f>
        <v>264040985</v>
      </c>
      <c r="AH86" s="72" t="s">
        <v>932</v>
      </c>
      <c r="AI86" s="72" t="s">
        <v>503</v>
      </c>
      <c r="AJ86" s="72" t="s">
        <v>933</v>
      </c>
      <c r="AK86" s="76" t="s">
        <v>548</v>
      </c>
      <c r="AL86" s="72"/>
      <c r="AM86" s="72"/>
      <c r="AN86" s="72"/>
      <c r="AO86" s="72" t="s">
        <v>504</v>
      </c>
      <c r="AP86" s="72"/>
      <c r="AQ86" s="72"/>
      <c r="AR86" s="72"/>
      <c r="AS86" s="72"/>
      <c r="AT86" s="72"/>
      <c r="AU86" s="72"/>
      <c r="AV86" s="72"/>
      <c r="AW86" s="77" t="s">
        <v>2175</v>
      </c>
      <c r="AX86" s="55" t="s">
        <v>1517</v>
      </c>
    </row>
    <row r="87" spans="1:100" s="145" customFormat="1" x14ac:dyDescent="0.3">
      <c r="A87" s="43">
        <v>86</v>
      </c>
      <c r="B87" s="43">
        <v>29</v>
      </c>
      <c r="C87" s="70" t="s">
        <v>2541</v>
      </c>
      <c r="D87" s="72">
        <v>12</v>
      </c>
      <c r="E87" s="136" t="s">
        <v>1972</v>
      </c>
      <c r="F87" s="137" t="s">
        <v>1973</v>
      </c>
      <c r="G87" s="138">
        <v>35495</v>
      </c>
      <c r="H87" s="47">
        <f t="shared" si="16"/>
        <v>56314</v>
      </c>
      <c r="I87" s="48">
        <f t="shared" si="17"/>
        <v>56340</v>
      </c>
      <c r="J87" s="48">
        <v>56340</v>
      </c>
      <c r="K87" s="139">
        <v>43647</v>
      </c>
      <c r="L87" s="135" t="s">
        <v>500</v>
      </c>
      <c r="M87" s="105" t="s">
        <v>287</v>
      </c>
      <c r="N87" s="122" t="s">
        <v>281</v>
      </c>
      <c r="O87" s="139">
        <v>43647</v>
      </c>
      <c r="P87" s="140"/>
      <c r="Q87" s="69" t="s">
        <v>71</v>
      </c>
      <c r="R87" s="70">
        <v>1.49</v>
      </c>
      <c r="S87" s="141"/>
      <c r="T87" s="142"/>
      <c r="U87" s="52">
        <f t="shared" si="15"/>
        <v>7911900</v>
      </c>
      <c r="V87" s="52">
        <f t="shared" si="10"/>
        <v>0</v>
      </c>
      <c r="W87" s="52">
        <f t="shared" si="13"/>
        <v>0</v>
      </c>
      <c r="X87" s="52">
        <f t="shared" si="14"/>
        <v>7911900</v>
      </c>
      <c r="Y87" s="52">
        <f>+VLOOKUP(E87,[2]Sheet1!$B$11:$J$400,9,0)</f>
        <v>6973200</v>
      </c>
      <c r="Z87" s="52"/>
      <c r="AA87" s="53" t="s">
        <v>1978</v>
      </c>
      <c r="AB87" s="142" t="s">
        <v>1979</v>
      </c>
      <c r="AC87" s="45" t="str">
        <f>+VLOOKUP(E87,[3]Sheet1!$B$11:$I$388,8,0)</f>
        <v>74 - 024</v>
      </c>
      <c r="AD87" s="142" t="s">
        <v>1797</v>
      </c>
      <c r="AE87" s="72" t="s">
        <v>2773</v>
      </c>
      <c r="AF87" s="137" t="s">
        <v>1974</v>
      </c>
      <c r="AG87" s="72">
        <f t="shared" si="18"/>
        <v>192055823</v>
      </c>
      <c r="AH87" s="143" t="s">
        <v>1975</v>
      </c>
      <c r="AI87" s="142" t="s">
        <v>1008</v>
      </c>
      <c r="AJ87" s="142" t="s">
        <v>1009</v>
      </c>
      <c r="AK87" s="144" t="s">
        <v>1010</v>
      </c>
      <c r="AL87" s="142"/>
      <c r="AM87" s="142"/>
      <c r="AN87" s="142"/>
      <c r="AO87" s="142" t="s">
        <v>1976</v>
      </c>
      <c r="AP87" s="142"/>
      <c r="AQ87" s="142"/>
      <c r="AR87" s="142"/>
      <c r="AS87" s="142"/>
      <c r="AT87" s="139">
        <v>43647</v>
      </c>
      <c r="AU87" s="142"/>
      <c r="AV87" s="139">
        <v>44378</v>
      </c>
      <c r="AW87" s="127" t="s">
        <v>2176</v>
      </c>
      <c r="AX87" s="82" t="s">
        <v>1517</v>
      </c>
    </row>
    <row r="88" spans="1:100" s="82" customFormat="1" x14ac:dyDescent="0.3">
      <c r="A88" s="43">
        <v>87</v>
      </c>
      <c r="B88" s="43">
        <v>30</v>
      </c>
      <c r="C88" s="70" t="s">
        <v>2541</v>
      </c>
      <c r="D88" s="72">
        <v>13</v>
      </c>
      <c r="E88" s="78" t="s">
        <v>1943</v>
      </c>
      <c r="F88" s="66" t="s">
        <v>1965</v>
      </c>
      <c r="G88" s="80">
        <v>36298</v>
      </c>
      <c r="H88" s="47">
        <f t="shared" si="16"/>
        <v>57118</v>
      </c>
      <c r="I88" s="48">
        <f t="shared" si="17"/>
        <v>57132</v>
      </c>
      <c r="J88" s="48">
        <v>57132</v>
      </c>
      <c r="K88" s="67">
        <v>43586</v>
      </c>
      <c r="L88" s="135" t="s">
        <v>500</v>
      </c>
      <c r="M88" s="122" t="s">
        <v>287</v>
      </c>
      <c r="N88" s="106" t="s">
        <v>281</v>
      </c>
      <c r="O88" s="67">
        <v>43586</v>
      </c>
      <c r="P88" s="68"/>
      <c r="Q88" s="69" t="s">
        <v>71</v>
      </c>
      <c r="R88" s="70">
        <v>1.49</v>
      </c>
      <c r="S88" s="71"/>
      <c r="T88" s="72"/>
      <c r="U88" s="52">
        <f t="shared" si="15"/>
        <v>7911900</v>
      </c>
      <c r="V88" s="52">
        <f t="shared" si="10"/>
        <v>0</v>
      </c>
      <c r="W88" s="52">
        <f t="shared" si="13"/>
        <v>0</v>
      </c>
      <c r="X88" s="52">
        <f t="shared" si="14"/>
        <v>7911900</v>
      </c>
      <c r="Y88" s="52">
        <f>+VLOOKUP(E88,[2]Sheet1!$B$11:$J$400,9,0)</f>
        <v>6973200</v>
      </c>
      <c r="Z88" s="52"/>
      <c r="AA88" s="53" t="s">
        <v>1977</v>
      </c>
      <c r="AB88" s="72" t="s">
        <v>872</v>
      </c>
      <c r="AC88" s="45" t="str">
        <f>+VLOOKUP(E88,[3]Sheet1!$B$11:$I$388,8,0)</f>
        <v>79 - 037</v>
      </c>
      <c r="AD88" s="72" t="s">
        <v>1797</v>
      </c>
      <c r="AE88" s="72" t="s">
        <v>1966</v>
      </c>
      <c r="AF88" s="79" t="s">
        <v>1966</v>
      </c>
      <c r="AG88" s="72">
        <f t="shared" si="18"/>
        <v>36099008983</v>
      </c>
      <c r="AH88" s="80" t="s">
        <v>1967</v>
      </c>
      <c r="AI88" s="72" t="s">
        <v>606</v>
      </c>
      <c r="AJ88" s="72" t="s">
        <v>1968</v>
      </c>
      <c r="AK88" s="76" t="s">
        <v>894</v>
      </c>
      <c r="AL88" s="72"/>
      <c r="AM88" s="72"/>
      <c r="AN88" s="72"/>
      <c r="AO88" s="72" t="s">
        <v>564</v>
      </c>
      <c r="AP88" s="72"/>
      <c r="AQ88" s="72"/>
      <c r="AR88" s="72"/>
      <c r="AS88" s="72"/>
      <c r="AT88" s="67">
        <v>43586</v>
      </c>
      <c r="AU88" s="72"/>
      <c r="AV88" s="67">
        <v>44317</v>
      </c>
      <c r="AW88" s="127" t="s">
        <v>2177</v>
      </c>
      <c r="AX88" s="82" t="s">
        <v>1517</v>
      </c>
    </row>
    <row r="89" spans="1:100" s="82" customFormat="1" x14ac:dyDescent="0.3">
      <c r="A89" s="43">
        <v>88</v>
      </c>
      <c r="B89" s="43">
        <v>31</v>
      </c>
      <c r="C89" s="70" t="s">
        <v>2541</v>
      </c>
      <c r="D89" s="72">
        <v>14</v>
      </c>
      <c r="E89" s="146" t="s">
        <v>1935</v>
      </c>
      <c r="F89" s="66" t="s">
        <v>1936</v>
      </c>
      <c r="G89" s="67">
        <v>26592</v>
      </c>
      <c r="H89" s="47">
        <f t="shared" si="16"/>
        <v>47411</v>
      </c>
      <c r="I89" s="48">
        <f t="shared" si="17"/>
        <v>47423</v>
      </c>
      <c r="J89" s="48">
        <v>47423</v>
      </c>
      <c r="K89" s="67">
        <v>43586</v>
      </c>
      <c r="L89" s="135" t="s">
        <v>500</v>
      </c>
      <c r="M89" s="105" t="s">
        <v>287</v>
      </c>
      <c r="N89" s="106" t="s">
        <v>281</v>
      </c>
      <c r="O89" s="67">
        <v>42248</v>
      </c>
      <c r="P89" s="68"/>
      <c r="Q89" s="69" t="s">
        <v>76</v>
      </c>
      <c r="R89" s="70">
        <v>1.58</v>
      </c>
      <c r="S89" s="71"/>
      <c r="T89" s="72"/>
      <c r="U89" s="52">
        <f t="shared" si="15"/>
        <v>8389800</v>
      </c>
      <c r="V89" s="52">
        <f t="shared" si="10"/>
        <v>0</v>
      </c>
      <c r="W89" s="52">
        <f t="shared" si="13"/>
        <v>0</v>
      </c>
      <c r="X89" s="52">
        <f t="shared" si="14"/>
        <v>8389800</v>
      </c>
      <c r="Y89" s="52">
        <f>+VLOOKUP(E89,[2]Sheet1!$B$11:$J$400,9,0)</f>
        <v>7675200</v>
      </c>
      <c r="Z89" s="52"/>
      <c r="AA89" s="53" t="s">
        <v>1963</v>
      </c>
      <c r="AB89" s="72" t="s">
        <v>1019</v>
      </c>
      <c r="AC89" s="45" t="str">
        <f>+VLOOKUP(E89,[3]Sheet1!$B$11:$I$388,8,0)</f>
        <v>79 - 029</v>
      </c>
      <c r="AD89" s="72" t="s">
        <v>1795</v>
      </c>
      <c r="AE89" s="72" t="s">
        <v>2774</v>
      </c>
      <c r="AF89" s="66" t="s">
        <v>1937</v>
      </c>
      <c r="AG89" s="72">
        <f t="shared" si="18"/>
        <v>25018695</v>
      </c>
      <c r="AH89" s="80" t="s">
        <v>1938</v>
      </c>
      <c r="AI89" s="72" t="s">
        <v>599</v>
      </c>
      <c r="AJ89" s="72" t="s">
        <v>1939</v>
      </c>
      <c r="AK89" s="76" t="s">
        <v>1964</v>
      </c>
      <c r="AL89" s="72"/>
      <c r="AM89" s="72" t="s">
        <v>89</v>
      </c>
      <c r="AN89" s="72"/>
      <c r="AO89" s="72"/>
      <c r="AP89" s="72"/>
      <c r="AQ89" s="72"/>
      <c r="AR89" s="72"/>
      <c r="AS89" s="72"/>
      <c r="AT89" s="67">
        <v>43586</v>
      </c>
      <c r="AU89" s="72"/>
      <c r="AV89" s="67">
        <v>44317</v>
      </c>
      <c r="AW89" s="127" t="s">
        <v>2178</v>
      </c>
      <c r="AX89" s="82" t="s">
        <v>1517</v>
      </c>
    </row>
    <row r="90" spans="1:100" x14ac:dyDescent="0.3">
      <c r="A90" s="43">
        <v>89</v>
      </c>
      <c r="B90" s="43">
        <v>32</v>
      </c>
      <c r="C90" s="70" t="s">
        <v>2541</v>
      </c>
      <c r="D90" s="76">
        <v>1</v>
      </c>
      <c r="E90" s="65" t="s">
        <v>116</v>
      </c>
      <c r="F90" s="66" t="s">
        <v>313</v>
      </c>
      <c r="G90" s="67">
        <v>31320</v>
      </c>
      <c r="H90" s="47">
        <f t="shared" si="16"/>
        <v>52139</v>
      </c>
      <c r="I90" s="48">
        <f t="shared" si="17"/>
        <v>52140</v>
      </c>
      <c r="J90" s="48">
        <v>52140</v>
      </c>
      <c r="K90" s="67">
        <v>41061</v>
      </c>
      <c r="L90" s="133" t="s">
        <v>1902</v>
      </c>
      <c r="M90" s="105" t="s">
        <v>287</v>
      </c>
      <c r="N90" s="70" t="s">
        <v>281</v>
      </c>
      <c r="O90" s="67">
        <v>41061</v>
      </c>
      <c r="P90" s="68"/>
      <c r="Q90" s="68" t="s">
        <v>76</v>
      </c>
      <c r="R90" s="70">
        <v>1.58</v>
      </c>
      <c r="S90" s="71">
        <v>0.06</v>
      </c>
      <c r="T90" s="72"/>
      <c r="U90" s="52">
        <f t="shared" si="15"/>
        <v>8389800</v>
      </c>
      <c r="V90" s="52">
        <f t="shared" si="10"/>
        <v>297600</v>
      </c>
      <c r="W90" s="52">
        <f t="shared" si="13"/>
        <v>0</v>
      </c>
      <c r="X90" s="52">
        <f t="shared" si="14"/>
        <v>8687400</v>
      </c>
      <c r="Y90" s="52">
        <f>+VLOOKUP(E90,[2]Sheet1!$B$11:$J$400,9,0)</f>
        <v>7394400</v>
      </c>
      <c r="Z90" s="52"/>
      <c r="AA90" s="53" t="s">
        <v>1579</v>
      </c>
      <c r="AB90" s="72" t="s">
        <v>942</v>
      </c>
      <c r="AC90" s="45" t="str">
        <f>+VLOOKUP(E90,[3]Sheet1!$B$11:$I$388,8,0)</f>
        <v>79 - 036</v>
      </c>
      <c r="AD90" s="72" t="s">
        <v>1795</v>
      </c>
      <c r="AE90" s="72" t="s">
        <v>2775</v>
      </c>
      <c r="AF90" s="66">
        <v>162727406</v>
      </c>
      <c r="AG90" s="45">
        <f t="shared" si="18"/>
        <v>162727406</v>
      </c>
      <c r="AH90" s="72" t="s">
        <v>946</v>
      </c>
      <c r="AI90" s="72" t="s">
        <v>867</v>
      </c>
      <c r="AJ90" s="72" t="s">
        <v>947</v>
      </c>
      <c r="AK90" s="76" t="s">
        <v>948</v>
      </c>
      <c r="AL90" s="72"/>
      <c r="AM90" s="72" t="s">
        <v>557</v>
      </c>
      <c r="AN90" s="72"/>
      <c r="AO90" s="72"/>
      <c r="AP90" s="72"/>
      <c r="AQ90" s="72"/>
      <c r="AR90" s="72"/>
      <c r="AS90" s="72"/>
      <c r="AT90" s="72"/>
      <c r="AU90" s="72"/>
      <c r="AV90" s="72"/>
      <c r="AW90" s="77" t="s">
        <v>2179</v>
      </c>
      <c r="AX90" s="55" t="s">
        <v>1517</v>
      </c>
    </row>
    <row r="91" spans="1:100" x14ac:dyDescent="0.3">
      <c r="A91" s="43">
        <v>90</v>
      </c>
      <c r="B91" s="43">
        <v>33</v>
      </c>
      <c r="C91" s="70" t="s">
        <v>2541</v>
      </c>
      <c r="D91" s="76">
        <v>2</v>
      </c>
      <c r="E91" s="65" t="s">
        <v>117</v>
      </c>
      <c r="F91" s="66" t="s">
        <v>314</v>
      </c>
      <c r="G91" s="67">
        <v>29965</v>
      </c>
      <c r="H91" s="47">
        <f t="shared" si="16"/>
        <v>50784</v>
      </c>
      <c r="I91" s="48">
        <f t="shared" si="17"/>
        <v>50802</v>
      </c>
      <c r="J91" s="48">
        <v>50802</v>
      </c>
      <c r="K91" s="67">
        <v>40878</v>
      </c>
      <c r="L91" s="133" t="s">
        <v>1902</v>
      </c>
      <c r="M91" s="105" t="s">
        <v>287</v>
      </c>
      <c r="N91" s="70" t="s">
        <v>281</v>
      </c>
      <c r="O91" s="67">
        <v>43405</v>
      </c>
      <c r="P91" s="68"/>
      <c r="Q91" s="68" t="s">
        <v>71</v>
      </c>
      <c r="R91" s="70">
        <v>1.49</v>
      </c>
      <c r="S91" s="71"/>
      <c r="T91" s="72"/>
      <c r="U91" s="52">
        <f t="shared" si="15"/>
        <v>7911900</v>
      </c>
      <c r="V91" s="52">
        <f t="shared" si="10"/>
        <v>0</v>
      </c>
      <c r="W91" s="52">
        <f t="shared" si="13"/>
        <v>0</v>
      </c>
      <c r="X91" s="52">
        <f t="shared" si="14"/>
        <v>7911900</v>
      </c>
      <c r="Y91" s="52">
        <f>+VLOOKUP(E91,[2]Sheet1!$B$11:$J$400,9,0)</f>
        <v>6973200</v>
      </c>
      <c r="Z91" s="52"/>
      <c r="AA91" s="53" t="s">
        <v>1580</v>
      </c>
      <c r="AB91" s="72" t="s">
        <v>942</v>
      </c>
      <c r="AC91" s="45" t="str">
        <f>+VLOOKUP(E91,[3]Sheet1!$B$11:$I$388,8,0)</f>
        <v>79 - 037</v>
      </c>
      <c r="AD91" s="72" t="s">
        <v>1795</v>
      </c>
      <c r="AE91" s="72" t="s">
        <v>2776</v>
      </c>
      <c r="AF91" s="66">
        <v>100727902</v>
      </c>
      <c r="AG91" s="45">
        <f t="shared" si="18"/>
        <v>100727902</v>
      </c>
      <c r="AH91" s="72" t="s">
        <v>949</v>
      </c>
      <c r="AI91" s="72" t="s">
        <v>950</v>
      </c>
      <c r="AJ91" s="72" t="s">
        <v>951</v>
      </c>
      <c r="AK91" s="76" t="s">
        <v>952</v>
      </c>
      <c r="AL91" s="72"/>
      <c r="AM91" s="72" t="s">
        <v>557</v>
      </c>
      <c r="AN91" s="72"/>
      <c r="AO91" s="72"/>
      <c r="AP91" s="72"/>
      <c r="AQ91" s="72"/>
      <c r="AR91" s="72"/>
      <c r="AS91" s="72"/>
      <c r="AT91" s="72"/>
      <c r="AU91" s="72"/>
      <c r="AV91" s="72"/>
      <c r="AW91" s="77" t="s">
        <v>2180</v>
      </c>
      <c r="AX91" s="55" t="s">
        <v>1517</v>
      </c>
    </row>
    <row r="92" spans="1:100" x14ac:dyDescent="0.3">
      <c r="A92" s="43">
        <v>91</v>
      </c>
      <c r="B92" s="43">
        <v>34</v>
      </c>
      <c r="C92" s="70" t="s">
        <v>2541</v>
      </c>
      <c r="D92" s="76">
        <v>3</v>
      </c>
      <c r="E92" s="136" t="s">
        <v>587</v>
      </c>
      <c r="F92" s="66" t="s">
        <v>315</v>
      </c>
      <c r="G92" s="67">
        <v>26392</v>
      </c>
      <c r="H92" s="47">
        <f t="shared" si="16"/>
        <v>47211</v>
      </c>
      <c r="I92" s="48">
        <f t="shared" si="17"/>
        <v>47239</v>
      </c>
      <c r="J92" s="48">
        <v>47239</v>
      </c>
      <c r="K92" s="67">
        <v>35370</v>
      </c>
      <c r="L92" s="133" t="s">
        <v>1902</v>
      </c>
      <c r="M92" s="105" t="s">
        <v>287</v>
      </c>
      <c r="N92" s="70" t="s">
        <v>281</v>
      </c>
      <c r="O92" s="67">
        <v>40360</v>
      </c>
      <c r="P92" s="68"/>
      <c r="Q92" s="108" t="s">
        <v>74</v>
      </c>
      <c r="R92" s="70">
        <v>1.68</v>
      </c>
      <c r="S92" s="71"/>
      <c r="T92" s="72"/>
      <c r="U92" s="52">
        <f t="shared" si="15"/>
        <v>8920800</v>
      </c>
      <c r="V92" s="52">
        <f t="shared" si="10"/>
        <v>0</v>
      </c>
      <c r="W92" s="52">
        <f t="shared" si="13"/>
        <v>0</v>
      </c>
      <c r="X92" s="52">
        <f t="shared" si="14"/>
        <v>8920800</v>
      </c>
      <c r="Y92" s="52">
        <f>+VLOOKUP(E92,[2]Sheet1!$B$11:$J$400,9,0)</f>
        <v>7862400</v>
      </c>
      <c r="Z92" s="52"/>
      <c r="AA92" s="53" t="s">
        <v>1581</v>
      </c>
      <c r="AB92" s="72" t="s">
        <v>859</v>
      </c>
      <c r="AC92" s="45" t="str">
        <f>+VLOOKUP(E92,[3]Sheet1!$B$11:$I$388,8,0)</f>
        <v>79 - 034</v>
      </c>
      <c r="AD92" s="72" t="s">
        <v>1795</v>
      </c>
      <c r="AE92" s="72" t="s">
        <v>2777</v>
      </c>
      <c r="AF92" s="66">
        <v>280944872</v>
      </c>
      <c r="AG92" s="45">
        <f t="shared" si="18"/>
        <v>280944872</v>
      </c>
      <c r="AH92" s="72" t="s">
        <v>953</v>
      </c>
      <c r="AI92" s="72" t="s">
        <v>579</v>
      </c>
      <c r="AJ92" s="72" t="s">
        <v>954</v>
      </c>
      <c r="AK92" s="76" t="s">
        <v>945</v>
      </c>
      <c r="AL92" s="72"/>
      <c r="AM92" s="72" t="s">
        <v>558</v>
      </c>
      <c r="AN92" s="72"/>
      <c r="AO92" s="72"/>
      <c r="AP92" s="72"/>
      <c r="AQ92" s="72"/>
      <c r="AR92" s="72"/>
      <c r="AS92" s="72"/>
      <c r="AT92" s="72"/>
      <c r="AU92" s="72"/>
      <c r="AV92" s="72"/>
      <c r="AW92" s="77" t="s">
        <v>2181</v>
      </c>
      <c r="AX92" s="55" t="s">
        <v>1517</v>
      </c>
    </row>
    <row r="93" spans="1:100" x14ac:dyDescent="0.3">
      <c r="A93" s="43">
        <v>92</v>
      </c>
      <c r="B93" s="43">
        <v>35</v>
      </c>
      <c r="C93" s="70" t="s">
        <v>2541</v>
      </c>
      <c r="D93" s="76">
        <v>4</v>
      </c>
      <c r="E93" s="65" t="s">
        <v>1873</v>
      </c>
      <c r="F93" s="66" t="s">
        <v>316</v>
      </c>
      <c r="G93" s="67">
        <v>25588</v>
      </c>
      <c r="H93" s="47">
        <v>46223</v>
      </c>
      <c r="I93" s="48">
        <f t="shared" si="17"/>
        <v>46235</v>
      </c>
      <c r="J93" s="48">
        <v>46235</v>
      </c>
      <c r="K93" s="67">
        <v>33512</v>
      </c>
      <c r="L93" s="135" t="s">
        <v>1902</v>
      </c>
      <c r="M93" s="105" t="s">
        <v>287</v>
      </c>
      <c r="N93" s="70" t="s">
        <v>281</v>
      </c>
      <c r="O93" s="67">
        <v>41456</v>
      </c>
      <c r="P93" s="68"/>
      <c r="Q93" s="68" t="s">
        <v>74</v>
      </c>
      <c r="R93" s="70">
        <v>1.68</v>
      </c>
      <c r="S93" s="71"/>
      <c r="T93" s="72"/>
      <c r="U93" s="52">
        <f t="shared" si="15"/>
        <v>8920800</v>
      </c>
      <c r="V93" s="52">
        <f t="shared" si="10"/>
        <v>0</v>
      </c>
      <c r="W93" s="52">
        <f t="shared" si="13"/>
        <v>0</v>
      </c>
      <c r="X93" s="52">
        <f t="shared" si="14"/>
        <v>8920800</v>
      </c>
      <c r="Y93" s="52">
        <f>+VLOOKUP(E93,[2]Sheet1!$B$11:$J$400,9,0)</f>
        <v>7862400</v>
      </c>
      <c r="Z93" s="52"/>
      <c r="AA93" s="53" t="s">
        <v>1582</v>
      </c>
      <c r="AB93" s="72" t="s">
        <v>859</v>
      </c>
      <c r="AC93" s="45" t="str">
        <f>+VLOOKUP(E93,[3]Sheet1!$B$11:$I$388,8,0)</f>
        <v>79 - 037</v>
      </c>
      <c r="AD93" s="72" t="s">
        <v>1797</v>
      </c>
      <c r="AE93" s="72" t="s">
        <v>2779</v>
      </c>
      <c r="AF93" s="66" t="s">
        <v>955</v>
      </c>
      <c r="AG93" s="45">
        <f t="shared" si="18"/>
        <v>25662110</v>
      </c>
      <c r="AH93" s="72" t="s">
        <v>956</v>
      </c>
      <c r="AI93" s="72" t="s">
        <v>599</v>
      </c>
      <c r="AJ93" s="72" t="s">
        <v>957</v>
      </c>
      <c r="AK93" s="76" t="s">
        <v>958</v>
      </c>
      <c r="AL93" s="72"/>
      <c r="AM93" s="72"/>
      <c r="AN93" s="72"/>
      <c r="AO93" s="72"/>
      <c r="AP93" s="72" t="s">
        <v>538</v>
      </c>
      <c r="AQ93" s="72"/>
      <c r="AR93" s="72"/>
      <c r="AS93" s="72"/>
      <c r="AT93" s="72"/>
      <c r="AU93" s="72"/>
      <c r="AV93" s="72"/>
      <c r="AW93" s="77" t="s">
        <v>2182</v>
      </c>
      <c r="AX93" s="55" t="s">
        <v>1517</v>
      </c>
    </row>
    <row r="94" spans="1:100" x14ac:dyDescent="0.3">
      <c r="A94" s="43">
        <v>93</v>
      </c>
      <c r="B94" s="43">
        <v>36</v>
      </c>
      <c r="C94" s="70" t="s">
        <v>2541</v>
      </c>
      <c r="D94" s="76">
        <v>5</v>
      </c>
      <c r="E94" s="65" t="s">
        <v>1874</v>
      </c>
      <c r="F94" s="66" t="s">
        <v>317</v>
      </c>
      <c r="G94" s="67">
        <v>27186</v>
      </c>
      <c r="H94" s="47">
        <f>+DATE(YEAR(G94)+57,MONTH(G94),DAY(G94))</f>
        <v>48005</v>
      </c>
      <c r="I94" s="48">
        <f t="shared" si="17"/>
        <v>48030</v>
      </c>
      <c r="J94" s="48">
        <v>48030</v>
      </c>
      <c r="K94" s="67">
        <v>35947</v>
      </c>
      <c r="L94" s="135" t="s">
        <v>1902</v>
      </c>
      <c r="M94" s="105" t="s">
        <v>287</v>
      </c>
      <c r="N94" s="70" t="s">
        <v>281</v>
      </c>
      <c r="O94" s="67">
        <v>41091</v>
      </c>
      <c r="P94" s="68"/>
      <c r="Q94" s="68" t="s">
        <v>74</v>
      </c>
      <c r="R94" s="70">
        <v>1.68</v>
      </c>
      <c r="S94" s="71"/>
      <c r="T94" s="72"/>
      <c r="U94" s="52">
        <f t="shared" si="15"/>
        <v>8920800</v>
      </c>
      <c r="V94" s="52">
        <f t="shared" si="10"/>
        <v>0</v>
      </c>
      <c r="W94" s="52">
        <f t="shared" si="13"/>
        <v>0</v>
      </c>
      <c r="X94" s="52">
        <f t="shared" si="14"/>
        <v>8920800</v>
      </c>
      <c r="Y94" s="52">
        <f>+VLOOKUP(E94,[2]Sheet1!$B$11:$J$400,9,0)</f>
        <v>7862400</v>
      </c>
      <c r="Z94" s="52"/>
      <c r="AA94" s="53" t="s">
        <v>1584</v>
      </c>
      <c r="AB94" s="72" t="s">
        <v>859</v>
      </c>
      <c r="AC94" s="45" t="str">
        <f>+VLOOKUP(E94,[3]Sheet1!$B$11:$I$388,8,0)</f>
        <v>79 - 034</v>
      </c>
      <c r="AD94" s="72" t="s">
        <v>1797</v>
      </c>
      <c r="AE94" s="72" t="s">
        <v>2780</v>
      </c>
      <c r="AF94" s="66">
        <v>280944871</v>
      </c>
      <c r="AG94" s="45">
        <f>+VALUE(AF94:AF484)</f>
        <v>280944871</v>
      </c>
      <c r="AH94" s="72" t="s">
        <v>953</v>
      </c>
      <c r="AI94" s="72" t="s">
        <v>579</v>
      </c>
      <c r="AJ94" s="72" t="s">
        <v>961</v>
      </c>
      <c r="AK94" s="76" t="s">
        <v>945</v>
      </c>
      <c r="AL94" s="72"/>
      <c r="AM94" s="72"/>
      <c r="AN94" s="72" t="s">
        <v>559</v>
      </c>
      <c r="AO94" s="72"/>
      <c r="AP94" s="72"/>
      <c r="AQ94" s="72"/>
      <c r="AR94" s="72"/>
      <c r="AS94" s="72"/>
      <c r="AT94" s="72"/>
      <c r="AU94" s="72"/>
      <c r="AV94" s="72"/>
      <c r="AW94" s="77" t="s">
        <v>2183</v>
      </c>
      <c r="AX94" s="55" t="s">
        <v>1517</v>
      </c>
    </row>
    <row r="95" spans="1:100" s="82" customFormat="1" x14ac:dyDescent="0.3">
      <c r="A95" s="43">
        <v>94</v>
      </c>
      <c r="B95" s="43">
        <v>37</v>
      </c>
      <c r="C95" s="70" t="s">
        <v>2541</v>
      </c>
      <c r="D95" s="76">
        <v>6</v>
      </c>
      <c r="E95" s="65" t="s">
        <v>118</v>
      </c>
      <c r="F95" s="66" t="s">
        <v>154</v>
      </c>
      <c r="G95" s="67">
        <v>32428</v>
      </c>
      <c r="H95" s="47">
        <f>+DATE(YEAR(G95)+57,MONTH(G95),DAY(G95))</f>
        <v>53247</v>
      </c>
      <c r="I95" s="48">
        <f t="shared" si="17"/>
        <v>53267</v>
      </c>
      <c r="J95" s="48">
        <v>53267</v>
      </c>
      <c r="K95" s="67">
        <v>40422</v>
      </c>
      <c r="L95" s="135" t="s">
        <v>1902</v>
      </c>
      <c r="M95" s="105" t="s">
        <v>287</v>
      </c>
      <c r="N95" s="70" t="s">
        <v>283</v>
      </c>
      <c r="O95" s="67">
        <v>45839</v>
      </c>
      <c r="P95" s="68"/>
      <c r="Q95" s="69" t="s">
        <v>76</v>
      </c>
      <c r="R95" s="70">
        <v>1.58</v>
      </c>
      <c r="S95" s="71">
        <v>0.04</v>
      </c>
      <c r="T95" s="72"/>
      <c r="U95" s="52">
        <f t="shared" si="15"/>
        <v>8389800</v>
      </c>
      <c r="V95" s="52">
        <f t="shared" si="10"/>
        <v>198400</v>
      </c>
      <c r="W95" s="52">
        <f t="shared" si="13"/>
        <v>0</v>
      </c>
      <c r="X95" s="52">
        <f t="shared" si="14"/>
        <v>8588200</v>
      </c>
      <c r="Y95" s="52">
        <f>+VLOOKUP(E95,[2]Sheet1!$B$11:$J$400,9,0)</f>
        <v>7160400</v>
      </c>
      <c r="Z95" s="52"/>
      <c r="AA95" s="53" t="s">
        <v>1583</v>
      </c>
      <c r="AB95" s="72" t="s">
        <v>864</v>
      </c>
      <c r="AC95" s="45" t="str">
        <f>+VLOOKUP(E95,[3]Sheet1!$B$11:$I$388,8,0)</f>
        <v>74 - 024</v>
      </c>
      <c r="AD95" s="72" t="s">
        <v>1797</v>
      </c>
      <c r="AE95" s="72" t="s">
        <v>2781</v>
      </c>
      <c r="AF95" s="66">
        <v>281311672</v>
      </c>
      <c r="AG95" s="72">
        <f>+VALUE(AF22:AF424)</f>
        <v>281311672</v>
      </c>
      <c r="AH95" s="72" t="s">
        <v>815</v>
      </c>
      <c r="AI95" s="72" t="s">
        <v>579</v>
      </c>
      <c r="AJ95" s="72" t="s">
        <v>959</v>
      </c>
      <c r="AK95" s="76" t="s">
        <v>960</v>
      </c>
      <c r="AL95" s="72"/>
      <c r="AM95" s="72" t="s">
        <v>3403</v>
      </c>
      <c r="AN95" s="72"/>
      <c r="AO95" s="72" t="s">
        <v>504</v>
      </c>
      <c r="AP95" s="72"/>
      <c r="AQ95" s="72"/>
      <c r="AR95" s="72"/>
      <c r="AS95" s="72"/>
      <c r="AT95" s="72"/>
      <c r="AU95" s="72"/>
      <c r="AV95" s="72"/>
      <c r="AX95" s="55" t="s">
        <v>1517</v>
      </c>
    </row>
    <row r="96" spans="1:100" x14ac:dyDescent="0.3">
      <c r="A96" s="43">
        <v>95</v>
      </c>
      <c r="B96" s="43">
        <v>38</v>
      </c>
      <c r="C96" s="70" t="s">
        <v>2541</v>
      </c>
      <c r="D96" s="76">
        <v>7</v>
      </c>
      <c r="E96" s="78" t="s">
        <v>105</v>
      </c>
      <c r="F96" s="67" t="s">
        <v>300</v>
      </c>
      <c r="G96" s="67">
        <v>31050</v>
      </c>
      <c r="H96" s="47">
        <f>+DATE(YEAR(G96)+57,MONTH(G96),DAY(G96))</f>
        <v>51869</v>
      </c>
      <c r="I96" s="48">
        <f t="shared" si="17"/>
        <v>51898</v>
      </c>
      <c r="J96" s="48">
        <v>51898</v>
      </c>
      <c r="K96" s="67">
        <v>41030</v>
      </c>
      <c r="L96" s="135" t="s">
        <v>1902</v>
      </c>
      <c r="M96" s="105" t="s">
        <v>287</v>
      </c>
      <c r="N96" s="106" t="s">
        <v>281</v>
      </c>
      <c r="O96" s="67">
        <v>43405</v>
      </c>
      <c r="P96" s="68"/>
      <c r="Q96" s="68" t="s">
        <v>76</v>
      </c>
      <c r="R96" s="70">
        <v>1.58</v>
      </c>
      <c r="S96" s="71"/>
      <c r="T96" s="72"/>
      <c r="U96" s="52">
        <f t="shared" si="15"/>
        <v>8389800</v>
      </c>
      <c r="V96" s="52">
        <f t="shared" si="10"/>
        <v>0</v>
      </c>
      <c r="W96" s="52">
        <f t="shared" si="13"/>
        <v>0</v>
      </c>
      <c r="X96" s="52">
        <f t="shared" si="14"/>
        <v>8389800</v>
      </c>
      <c r="Y96" s="52">
        <f>+VLOOKUP(E96,[2]Sheet1!$B$11:$J$400,9,0)</f>
        <v>7394400</v>
      </c>
      <c r="Z96" s="52"/>
      <c r="AA96" s="53" t="s">
        <v>1565</v>
      </c>
      <c r="AB96" s="72" t="s">
        <v>890</v>
      </c>
      <c r="AC96" s="45" t="str">
        <f>+VLOOKUP(E96,[3]Sheet1!$B$11:$I$388,8,0)</f>
        <v>79 - 037</v>
      </c>
      <c r="AD96" s="72" t="s">
        <v>1795</v>
      </c>
      <c r="AE96" s="72" t="s">
        <v>2765</v>
      </c>
      <c r="AF96" s="66" t="s">
        <v>891</v>
      </c>
      <c r="AG96" s="45">
        <f>+VALUE(AF71:AF461)</f>
        <v>162797013</v>
      </c>
      <c r="AH96" s="72" t="s">
        <v>892</v>
      </c>
      <c r="AI96" s="72" t="s">
        <v>867</v>
      </c>
      <c r="AJ96" s="72" t="s">
        <v>893</v>
      </c>
      <c r="AK96" s="76" t="s">
        <v>894</v>
      </c>
      <c r="AL96" s="72"/>
      <c r="AM96" s="72" t="s">
        <v>505</v>
      </c>
      <c r="AN96" s="72"/>
      <c r="AO96" s="72" t="s">
        <v>554</v>
      </c>
      <c r="AP96" s="72"/>
      <c r="AQ96" s="72"/>
      <c r="AR96" s="72"/>
      <c r="AS96" s="72"/>
      <c r="AT96" s="72"/>
      <c r="AU96" s="72"/>
      <c r="AV96" s="72"/>
      <c r="AW96" s="77" t="s">
        <v>2164</v>
      </c>
      <c r="AX96" s="55" t="s">
        <v>1517</v>
      </c>
    </row>
    <row r="97" spans="1:100" x14ac:dyDescent="0.3">
      <c r="A97" s="43">
        <v>96</v>
      </c>
      <c r="B97" s="43">
        <v>39</v>
      </c>
      <c r="C97" s="70" t="s">
        <v>2541</v>
      </c>
      <c r="D97" s="76">
        <v>8</v>
      </c>
      <c r="E97" s="129" t="s">
        <v>501</v>
      </c>
      <c r="F97" s="130" t="s">
        <v>593</v>
      </c>
      <c r="G97" s="67">
        <v>30703</v>
      </c>
      <c r="H97" s="47">
        <f>+DATE(YEAR(G97)+55,MONTH(G97),DAY(G97))</f>
        <v>50792</v>
      </c>
      <c r="I97" s="48">
        <f t="shared" si="17"/>
        <v>50802</v>
      </c>
      <c r="J97" s="48">
        <v>50802</v>
      </c>
      <c r="K97" s="67">
        <v>38473</v>
      </c>
      <c r="L97" s="121" t="s">
        <v>1902</v>
      </c>
      <c r="M97" s="105" t="s">
        <v>287</v>
      </c>
      <c r="N97" s="70" t="s">
        <v>281</v>
      </c>
      <c r="O97" s="67">
        <v>42309</v>
      </c>
      <c r="P97" s="68"/>
      <c r="Q97" s="68" t="s">
        <v>74</v>
      </c>
      <c r="R97" s="147">
        <v>1.5</v>
      </c>
      <c r="S97" s="71"/>
      <c r="T97" s="72"/>
      <c r="U97" s="52">
        <f t="shared" si="15"/>
        <v>7965000</v>
      </c>
      <c r="V97" s="52">
        <f t="shared" si="10"/>
        <v>0</v>
      </c>
      <c r="W97" s="52">
        <f t="shared" si="13"/>
        <v>0</v>
      </c>
      <c r="X97" s="52">
        <f t="shared" si="14"/>
        <v>7965000</v>
      </c>
      <c r="Y97" s="52">
        <f>+VLOOKUP(E97,[2]Sheet1!$B$11:$J$400,9,0)</f>
        <v>7207200</v>
      </c>
      <c r="Z97" s="52"/>
      <c r="AA97" s="53" t="s">
        <v>1585</v>
      </c>
      <c r="AB97" s="72" t="s">
        <v>859</v>
      </c>
      <c r="AC97" s="45" t="str">
        <f>+VLOOKUP(E97,[3]Sheet1!$B$11:$I$388,8,0)</f>
        <v>79 - 036</v>
      </c>
      <c r="AD97" s="72" t="s">
        <v>1796</v>
      </c>
      <c r="AE97" s="72" t="s">
        <v>2782</v>
      </c>
      <c r="AF97" s="66">
        <v>281295219</v>
      </c>
      <c r="AG97" s="45">
        <f>+VALUE(AF97:AF486)</f>
        <v>281295219</v>
      </c>
      <c r="AH97" s="72" t="s">
        <v>943</v>
      </c>
      <c r="AI97" s="72" t="s">
        <v>579</v>
      </c>
      <c r="AJ97" s="72" t="s">
        <v>944</v>
      </c>
      <c r="AK97" s="76" t="s">
        <v>962</v>
      </c>
      <c r="AL97" s="72"/>
      <c r="AM97" s="72" t="s">
        <v>551</v>
      </c>
      <c r="AN97" s="72"/>
      <c r="AO97" s="72"/>
      <c r="AP97" s="72"/>
      <c r="AQ97" s="72"/>
      <c r="AR97" s="72"/>
      <c r="AS97" s="72"/>
      <c r="AT97" s="72"/>
      <c r="AU97" s="72"/>
      <c r="AV97" s="72"/>
      <c r="AW97" s="77" t="s">
        <v>2184</v>
      </c>
      <c r="AX97" s="55" t="s">
        <v>1517</v>
      </c>
    </row>
    <row r="98" spans="1:100" x14ac:dyDescent="0.3">
      <c r="A98" s="43">
        <v>97</v>
      </c>
      <c r="B98" s="43">
        <v>40</v>
      </c>
      <c r="C98" s="70" t="s">
        <v>2541</v>
      </c>
      <c r="D98" s="76">
        <v>9</v>
      </c>
      <c r="E98" s="132" t="s">
        <v>120</v>
      </c>
      <c r="F98" s="130" t="s">
        <v>60</v>
      </c>
      <c r="G98" s="67">
        <v>31330</v>
      </c>
      <c r="H98" s="47">
        <f>+DATE(YEAR(G98)+55,MONTH(G98),DAY(G98))</f>
        <v>51419</v>
      </c>
      <c r="I98" s="48">
        <f t="shared" si="17"/>
        <v>51441</v>
      </c>
      <c r="J98" s="48">
        <v>51441</v>
      </c>
      <c r="K98" s="67">
        <v>39173</v>
      </c>
      <c r="L98" s="121" t="s">
        <v>1902</v>
      </c>
      <c r="M98" s="105" t="s">
        <v>287</v>
      </c>
      <c r="N98" s="70" t="s">
        <v>281</v>
      </c>
      <c r="O98" s="67">
        <v>41091</v>
      </c>
      <c r="P98" s="68"/>
      <c r="Q98" s="68" t="s">
        <v>74</v>
      </c>
      <c r="R98" s="70">
        <v>1.5</v>
      </c>
      <c r="S98" s="71"/>
      <c r="T98" s="72"/>
      <c r="U98" s="52">
        <f t="shared" si="15"/>
        <v>7965000</v>
      </c>
      <c r="V98" s="52">
        <f t="shared" si="10"/>
        <v>0</v>
      </c>
      <c r="W98" s="52">
        <f t="shared" si="13"/>
        <v>0</v>
      </c>
      <c r="X98" s="52">
        <f t="shared" si="14"/>
        <v>7965000</v>
      </c>
      <c r="Y98" s="52">
        <f>+VLOOKUP(E98,[2]Sheet1!$B$11:$J$400,9,0)</f>
        <v>7020000</v>
      </c>
      <c r="Z98" s="52"/>
      <c r="AA98" s="53" t="s">
        <v>1587</v>
      </c>
      <c r="AB98" s="72" t="s">
        <v>1802</v>
      </c>
      <c r="AC98" s="45" t="str">
        <f>+VLOOKUP(E98,[3]Sheet1!$B$11:$I$388,8,0)</f>
        <v>79 - 037</v>
      </c>
      <c r="AD98" s="72" t="s">
        <v>1796</v>
      </c>
      <c r="AE98" s="72" t="s">
        <v>2783</v>
      </c>
      <c r="AF98" s="66">
        <v>281278621</v>
      </c>
      <c r="AG98" s="45">
        <f>+VALUE(AF98:AF488)</f>
        <v>281278621</v>
      </c>
      <c r="AH98" s="72" t="s">
        <v>967</v>
      </c>
      <c r="AI98" s="72" t="s">
        <v>579</v>
      </c>
      <c r="AJ98" s="72" t="s">
        <v>968</v>
      </c>
      <c r="AK98" s="76" t="s">
        <v>969</v>
      </c>
      <c r="AL98" s="72"/>
      <c r="AM98" s="72" t="s">
        <v>551</v>
      </c>
      <c r="AN98" s="72"/>
      <c r="AO98" s="72"/>
      <c r="AP98" s="72"/>
      <c r="AQ98" s="72"/>
      <c r="AR98" s="72"/>
      <c r="AS98" s="72"/>
      <c r="AT98" s="72"/>
      <c r="AU98" s="72"/>
      <c r="AV98" s="72"/>
      <c r="AW98" s="77" t="s">
        <v>2186</v>
      </c>
      <c r="AX98" s="55" t="s">
        <v>1517</v>
      </c>
    </row>
    <row r="99" spans="1:100" s="82" customFormat="1" x14ac:dyDescent="0.3">
      <c r="A99" s="43">
        <v>98</v>
      </c>
      <c r="B99" s="43">
        <v>41</v>
      </c>
      <c r="C99" s="70" t="s">
        <v>2541</v>
      </c>
      <c r="D99" s="148">
        <v>1</v>
      </c>
      <c r="E99" s="65" t="s">
        <v>1875</v>
      </c>
      <c r="F99" s="66" t="s">
        <v>324</v>
      </c>
      <c r="G99" s="67">
        <v>26004</v>
      </c>
      <c r="H99" s="47">
        <v>46733</v>
      </c>
      <c r="I99" s="48">
        <f t="shared" si="17"/>
        <v>46753</v>
      </c>
      <c r="J99" s="48">
        <v>46753</v>
      </c>
      <c r="K99" s="67">
        <v>34639</v>
      </c>
      <c r="L99" s="121" t="s">
        <v>716</v>
      </c>
      <c r="M99" s="105" t="s">
        <v>287</v>
      </c>
      <c r="N99" s="106" t="s">
        <v>281</v>
      </c>
      <c r="O99" s="67">
        <v>41456</v>
      </c>
      <c r="P99" s="68"/>
      <c r="Q99" s="69" t="s">
        <v>74</v>
      </c>
      <c r="R99" s="70">
        <v>1.68</v>
      </c>
      <c r="S99" s="71"/>
      <c r="T99" s="72"/>
      <c r="U99" s="52">
        <f t="shared" si="15"/>
        <v>8920800</v>
      </c>
      <c r="V99" s="52">
        <f t="shared" si="10"/>
        <v>0</v>
      </c>
      <c r="W99" s="52">
        <f t="shared" si="13"/>
        <v>0</v>
      </c>
      <c r="X99" s="52">
        <f t="shared" si="14"/>
        <v>8920800</v>
      </c>
      <c r="Y99" s="52">
        <f>+VLOOKUP(E99,[2]Sheet1!$B$11:$J$400,9,0)</f>
        <v>7862400</v>
      </c>
      <c r="Z99" s="52"/>
      <c r="AA99" s="53" t="s">
        <v>1594</v>
      </c>
      <c r="AB99" s="72" t="s">
        <v>992</v>
      </c>
      <c r="AC99" s="45" t="str">
        <f>+VLOOKUP(E99,[3]Sheet1!$B$11:$I$388,8,0)</f>
        <v>79 - 030</v>
      </c>
      <c r="AD99" s="72" t="s">
        <v>1787</v>
      </c>
      <c r="AE99" s="72" t="s">
        <v>2787</v>
      </c>
      <c r="AF99" s="66" t="s">
        <v>993</v>
      </c>
      <c r="AG99" s="72">
        <f>+VALUE(AF99:AF496)</f>
        <v>211335536</v>
      </c>
      <c r="AH99" s="72" t="s">
        <v>994</v>
      </c>
      <c r="AI99" s="72" t="s">
        <v>610</v>
      </c>
      <c r="AJ99" s="72" t="s">
        <v>995</v>
      </c>
      <c r="AK99" s="76" t="s">
        <v>996</v>
      </c>
      <c r="AL99" s="72"/>
      <c r="AM99" s="72"/>
      <c r="AN99" s="72"/>
      <c r="AO99" s="72" t="s">
        <v>504</v>
      </c>
      <c r="AP99" s="72"/>
      <c r="AQ99" s="72"/>
      <c r="AR99" s="72"/>
      <c r="AS99" s="72"/>
      <c r="AT99" s="72"/>
      <c r="AU99" s="72"/>
      <c r="AV99" s="72"/>
      <c r="AW99" s="127" t="s">
        <v>2192</v>
      </c>
      <c r="AX99" s="82" t="s">
        <v>1517</v>
      </c>
    </row>
    <row r="100" spans="1:100" x14ac:dyDescent="0.3">
      <c r="A100" s="43">
        <v>99</v>
      </c>
      <c r="B100" s="43">
        <v>42</v>
      </c>
      <c r="C100" s="70" t="s">
        <v>2541</v>
      </c>
      <c r="D100" s="148">
        <v>2</v>
      </c>
      <c r="E100" s="78" t="s">
        <v>1876</v>
      </c>
      <c r="F100" s="66" t="s">
        <v>325</v>
      </c>
      <c r="G100" s="67">
        <v>27118</v>
      </c>
      <c r="H100" s="47">
        <f t="shared" ref="H100:H115" si="19">+DATE(YEAR(G100)+57,MONTH(G100),DAY(G100))</f>
        <v>47937</v>
      </c>
      <c r="I100" s="48">
        <f t="shared" si="17"/>
        <v>47939</v>
      </c>
      <c r="J100" s="48">
        <v>47939</v>
      </c>
      <c r="K100" s="67">
        <v>34973</v>
      </c>
      <c r="L100" s="121" t="s">
        <v>716</v>
      </c>
      <c r="M100" s="105" t="s">
        <v>287</v>
      </c>
      <c r="N100" s="106" t="s">
        <v>285</v>
      </c>
      <c r="O100" s="67">
        <v>41091</v>
      </c>
      <c r="P100" s="68"/>
      <c r="Q100" s="68" t="s">
        <v>76</v>
      </c>
      <c r="R100" s="70">
        <v>1.58</v>
      </c>
      <c r="S100" s="71">
        <v>0.04</v>
      </c>
      <c r="T100" s="72"/>
      <c r="U100" s="52">
        <f t="shared" si="15"/>
        <v>8389800</v>
      </c>
      <c r="V100" s="52">
        <f t="shared" si="10"/>
        <v>198400</v>
      </c>
      <c r="W100" s="52">
        <f t="shared" ref="W100:W129" si="20">+T100*2340000</f>
        <v>0</v>
      </c>
      <c r="X100" s="52">
        <f t="shared" si="14"/>
        <v>8588200</v>
      </c>
      <c r="Y100" s="52">
        <f>+VLOOKUP(E100,[2]Sheet1!$B$11:$J$400,9,0)</f>
        <v>7581600</v>
      </c>
      <c r="Z100" s="52"/>
      <c r="AA100" s="53" t="s">
        <v>1595</v>
      </c>
      <c r="AB100" s="72" t="s">
        <v>992</v>
      </c>
      <c r="AC100" s="45" t="str">
        <f>+VLOOKUP(E100,[3]Sheet1!$B$11:$I$388,8,0)</f>
        <v>79 - 030</v>
      </c>
      <c r="AD100" s="72" t="s">
        <v>1787</v>
      </c>
      <c r="AE100" s="72" t="s">
        <v>2788</v>
      </c>
      <c r="AF100" s="66" t="s">
        <v>997</v>
      </c>
      <c r="AG100" s="45">
        <f>+VALUE(AF100:AF497)</f>
        <v>25242856</v>
      </c>
      <c r="AH100" s="72" t="s">
        <v>998</v>
      </c>
      <c r="AI100" s="72" t="s">
        <v>599</v>
      </c>
      <c r="AJ100" s="72" t="s">
        <v>999</v>
      </c>
      <c r="AK100" s="76" t="s">
        <v>856</v>
      </c>
      <c r="AL100" s="72"/>
      <c r="AM100" s="72" t="s">
        <v>79</v>
      </c>
      <c r="AN100" s="72"/>
      <c r="AO100" s="72"/>
      <c r="AP100" s="72"/>
      <c r="AQ100" s="72"/>
      <c r="AR100" s="72"/>
      <c r="AS100" s="72"/>
      <c r="AT100" s="72"/>
      <c r="AU100" s="72"/>
      <c r="AV100" s="72"/>
      <c r="AW100" s="77" t="s">
        <v>2193</v>
      </c>
      <c r="AX100" s="55" t="s">
        <v>1517</v>
      </c>
    </row>
    <row r="101" spans="1:100" x14ac:dyDescent="0.3">
      <c r="A101" s="43">
        <v>100</v>
      </c>
      <c r="B101" s="43">
        <v>43</v>
      </c>
      <c r="C101" s="70" t="s">
        <v>2541</v>
      </c>
      <c r="D101" s="148">
        <v>3</v>
      </c>
      <c r="E101" s="65" t="s">
        <v>1812</v>
      </c>
      <c r="F101" s="66" t="s">
        <v>326</v>
      </c>
      <c r="G101" s="67">
        <v>26759</v>
      </c>
      <c r="H101" s="47">
        <f t="shared" si="19"/>
        <v>47578</v>
      </c>
      <c r="I101" s="48">
        <f t="shared" si="17"/>
        <v>47604</v>
      </c>
      <c r="J101" s="48">
        <v>47604</v>
      </c>
      <c r="K101" s="67">
        <v>35156</v>
      </c>
      <c r="L101" s="121" t="s">
        <v>716</v>
      </c>
      <c r="M101" s="105" t="s">
        <v>287</v>
      </c>
      <c r="N101" s="106" t="s">
        <v>281</v>
      </c>
      <c r="O101" s="67">
        <v>41091</v>
      </c>
      <c r="P101" s="68"/>
      <c r="Q101" s="68" t="s">
        <v>74</v>
      </c>
      <c r="R101" s="70">
        <v>1.68</v>
      </c>
      <c r="S101" s="71"/>
      <c r="T101" s="72"/>
      <c r="U101" s="52">
        <f t="shared" si="15"/>
        <v>8920800</v>
      </c>
      <c r="V101" s="52">
        <f t="shared" si="10"/>
        <v>0</v>
      </c>
      <c r="W101" s="52">
        <f t="shared" si="20"/>
        <v>0</v>
      </c>
      <c r="X101" s="52">
        <f t="shared" si="14"/>
        <v>8920800</v>
      </c>
      <c r="Y101" s="52">
        <f>+VLOOKUP(E101,[2]Sheet1!$B$11:$J$400,9,0)</f>
        <v>7862400</v>
      </c>
      <c r="Z101" s="52"/>
      <c r="AA101" s="53" t="s">
        <v>1596</v>
      </c>
      <c r="AB101" s="72" t="s">
        <v>992</v>
      </c>
      <c r="AC101" s="45" t="str">
        <f>+VLOOKUP(E101,[3]Sheet1!$B$11:$I$388,8,0)</f>
        <v>79 - 030</v>
      </c>
      <c r="AD101" s="72" t="s">
        <v>1787</v>
      </c>
      <c r="AE101" s="72" t="s">
        <v>2789</v>
      </c>
      <c r="AF101" s="66" t="s">
        <v>1000</v>
      </c>
      <c r="AG101" s="45">
        <f>+VALUE(AF101:AF498)</f>
        <v>25387802</v>
      </c>
      <c r="AH101" s="72" t="s">
        <v>1001</v>
      </c>
      <c r="AI101" s="72" t="s">
        <v>599</v>
      </c>
      <c r="AJ101" s="72" t="s">
        <v>1002</v>
      </c>
      <c r="AK101" s="76" t="s">
        <v>1003</v>
      </c>
      <c r="AL101" s="72"/>
      <c r="AM101" s="72"/>
      <c r="AN101" s="72"/>
      <c r="AO101" s="72" t="s">
        <v>504</v>
      </c>
      <c r="AP101" s="72"/>
      <c r="AQ101" s="72"/>
      <c r="AR101" s="72"/>
      <c r="AS101" s="72"/>
      <c r="AT101" s="72"/>
      <c r="AU101" s="72"/>
      <c r="AV101" s="72"/>
      <c r="AW101" s="77" t="s">
        <v>2194</v>
      </c>
      <c r="AX101" s="55" t="s">
        <v>1517</v>
      </c>
    </row>
    <row r="102" spans="1:100" x14ac:dyDescent="0.3">
      <c r="A102" s="43">
        <v>101</v>
      </c>
      <c r="B102" s="43">
        <v>44</v>
      </c>
      <c r="C102" s="70" t="s">
        <v>2541</v>
      </c>
      <c r="D102" s="148">
        <v>4</v>
      </c>
      <c r="E102" s="149" t="s">
        <v>2152</v>
      </c>
      <c r="F102" s="150" t="s">
        <v>539</v>
      </c>
      <c r="G102" s="109">
        <v>26300</v>
      </c>
      <c r="H102" s="47">
        <f t="shared" si="19"/>
        <v>47120</v>
      </c>
      <c r="I102" s="48">
        <f t="shared" si="17"/>
        <v>47150</v>
      </c>
      <c r="J102" s="48">
        <v>47150</v>
      </c>
      <c r="K102" s="67">
        <v>33055</v>
      </c>
      <c r="L102" s="121" t="s">
        <v>716</v>
      </c>
      <c r="M102" s="112" t="s">
        <v>287</v>
      </c>
      <c r="N102" s="102" t="s">
        <v>281</v>
      </c>
      <c r="O102" s="109">
        <v>42979</v>
      </c>
      <c r="P102" s="110"/>
      <c r="Q102" s="110" t="s">
        <v>76</v>
      </c>
      <c r="R102" s="102">
        <v>1.58</v>
      </c>
      <c r="S102" s="113"/>
      <c r="T102" s="114"/>
      <c r="U102" s="52">
        <f t="shared" si="15"/>
        <v>8389800</v>
      </c>
      <c r="V102" s="52">
        <f>+S102*4410000</f>
        <v>0</v>
      </c>
      <c r="W102" s="52">
        <f t="shared" si="20"/>
        <v>0</v>
      </c>
      <c r="X102" s="52">
        <f t="shared" si="14"/>
        <v>8389800</v>
      </c>
      <c r="Y102" s="52">
        <v>6932800</v>
      </c>
      <c r="Z102" s="52"/>
      <c r="AA102" s="53" t="s">
        <v>3057</v>
      </c>
      <c r="AB102" s="114" t="s">
        <v>813</v>
      </c>
      <c r="AC102" s="45" t="e">
        <f>+VLOOKUP(E102,[3]Sheet1!$B$11:$I$388,8,0)</f>
        <v>#N/A</v>
      </c>
      <c r="AD102" s="114" t="s">
        <v>1787</v>
      </c>
      <c r="AE102" s="114" t="s">
        <v>3005</v>
      </c>
      <c r="AF102" s="115" t="s">
        <v>540</v>
      </c>
      <c r="AG102" s="45">
        <f>+VALUE(AF102:AF641)</f>
        <v>260692388</v>
      </c>
      <c r="AH102" s="123" t="s">
        <v>541</v>
      </c>
      <c r="AI102" s="114" t="s">
        <v>515</v>
      </c>
      <c r="AJ102" s="114" t="s">
        <v>542</v>
      </c>
      <c r="AK102" s="116" t="s">
        <v>1275</v>
      </c>
      <c r="AL102" s="114"/>
      <c r="AM102" s="114"/>
      <c r="AN102" s="114"/>
      <c r="AO102" s="114" t="s">
        <v>504</v>
      </c>
      <c r="AP102" s="114"/>
      <c r="AQ102" s="114"/>
      <c r="AR102" s="114"/>
      <c r="AS102" s="114"/>
      <c r="AT102" s="114"/>
      <c r="AU102" s="114"/>
      <c r="AV102" s="114"/>
      <c r="AW102" s="55" t="s">
        <v>2308</v>
      </c>
      <c r="AX102" s="55" t="s">
        <v>1517</v>
      </c>
    </row>
    <row r="103" spans="1:100" x14ac:dyDescent="0.3">
      <c r="A103" s="43">
        <v>102</v>
      </c>
      <c r="B103" s="43">
        <v>45</v>
      </c>
      <c r="C103" s="70" t="s">
        <v>2541</v>
      </c>
      <c r="D103" s="148">
        <v>5</v>
      </c>
      <c r="E103" s="78" t="s">
        <v>128</v>
      </c>
      <c r="F103" s="66" t="s">
        <v>328</v>
      </c>
      <c r="G103" s="67">
        <v>32176</v>
      </c>
      <c r="H103" s="47">
        <f t="shared" si="19"/>
        <v>52996</v>
      </c>
      <c r="I103" s="48">
        <f t="shared" si="17"/>
        <v>53022</v>
      </c>
      <c r="J103" s="48">
        <v>53022</v>
      </c>
      <c r="K103" s="67">
        <v>40057</v>
      </c>
      <c r="L103" s="121" t="s">
        <v>716</v>
      </c>
      <c r="M103" s="105" t="s">
        <v>287</v>
      </c>
      <c r="N103" s="106" t="s">
        <v>284</v>
      </c>
      <c r="O103" s="67">
        <v>42309</v>
      </c>
      <c r="P103" s="68"/>
      <c r="Q103" s="68" t="s">
        <v>76</v>
      </c>
      <c r="R103" s="70">
        <v>1.58</v>
      </c>
      <c r="S103" s="71">
        <v>0.06</v>
      </c>
      <c r="T103" s="72"/>
      <c r="U103" s="52">
        <f t="shared" si="15"/>
        <v>8389800</v>
      </c>
      <c r="V103" s="52">
        <f t="shared" ref="V103:V132" si="21">+S103*4960000</f>
        <v>297600</v>
      </c>
      <c r="W103" s="52">
        <f t="shared" si="20"/>
        <v>0</v>
      </c>
      <c r="X103" s="52">
        <f t="shared" si="14"/>
        <v>8687400</v>
      </c>
      <c r="Y103" s="52">
        <f>+VLOOKUP(E103,[2]Sheet1!$B$11:$J$400,9,0)</f>
        <v>7394400</v>
      </c>
      <c r="Z103" s="52"/>
      <c r="AA103" s="53" t="s">
        <v>1598</v>
      </c>
      <c r="AB103" s="72" t="s">
        <v>890</v>
      </c>
      <c r="AC103" s="45" t="str">
        <f>+VLOOKUP(E103,[3]Sheet1!$B$11:$I$388,8,0)</f>
        <v>79 - 034</v>
      </c>
      <c r="AD103" s="72" t="s">
        <v>1787</v>
      </c>
      <c r="AE103" s="72" t="s">
        <v>2791</v>
      </c>
      <c r="AF103" s="66">
        <v>191653566</v>
      </c>
      <c r="AG103" s="45">
        <f>+VALUE(AF103:AF500)</f>
        <v>191653566</v>
      </c>
      <c r="AH103" s="72" t="s">
        <v>1007</v>
      </c>
      <c r="AI103" s="72" t="s">
        <v>1008</v>
      </c>
      <c r="AJ103" s="72" t="s">
        <v>1009</v>
      </c>
      <c r="AK103" s="76" t="s">
        <v>1010</v>
      </c>
      <c r="AL103" s="72"/>
      <c r="AM103" s="72" t="s">
        <v>2544</v>
      </c>
      <c r="AN103" s="72"/>
      <c r="AO103" s="72" t="s">
        <v>504</v>
      </c>
      <c r="AP103" s="72"/>
      <c r="AQ103" s="72"/>
      <c r="AR103" s="72"/>
      <c r="AS103" s="72"/>
      <c r="AT103" s="72"/>
      <c r="AU103" s="72"/>
      <c r="AV103" s="72"/>
      <c r="AW103" s="77" t="s">
        <v>2196</v>
      </c>
      <c r="AX103" s="55" t="s">
        <v>1517</v>
      </c>
    </row>
    <row r="104" spans="1:100" x14ac:dyDescent="0.3">
      <c r="A104" s="43">
        <v>103</v>
      </c>
      <c r="B104" s="43">
        <v>46</v>
      </c>
      <c r="C104" s="70" t="s">
        <v>2541</v>
      </c>
      <c r="D104" s="148">
        <v>6</v>
      </c>
      <c r="E104" s="65" t="s">
        <v>1811</v>
      </c>
      <c r="F104" s="66" t="s">
        <v>329</v>
      </c>
      <c r="G104" s="67">
        <v>27053</v>
      </c>
      <c r="H104" s="47">
        <f t="shared" si="19"/>
        <v>47872</v>
      </c>
      <c r="I104" s="48">
        <f t="shared" si="17"/>
        <v>47880</v>
      </c>
      <c r="J104" s="48">
        <v>47880</v>
      </c>
      <c r="K104" s="67">
        <v>34973</v>
      </c>
      <c r="L104" s="121" t="s">
        <v>716</v>
      </c>
      <c r="M104" s="105" t="s">
        <v>287</v>
      </c>
      <c r="N104" s="106" t="s">
        <v>281</v>
      </c>
      <c r="O104" s="67">
        <v>41821</v>
      </c>
      <c r="P104" s="68"/>
      <c r="Q104" s="68" t="s">
        <v>76</v>
      </c>
      <c r="R104" s="70">
        <v>1.58</v>
      </c>
      <c r="S104" s="71"/>
      <c r="T104" s="72"/>
      <c r="U104" s="52">
        <f t="shared" si="15"/>
        <v>8389800</v>
      </c>
      <c r="V104" s="52">
        <f t="shared" si="21"/>
        <v>0</v>
      </c>
      <c r="W104" s="52">
        <f t="shared" si="20"/>
        <v>0</v>
      </c>
      <c r="X104" s="52">
        <f t="shared" si="14"/>
        <v>8389800</v>
      </c>
      <c r="Y104" s="52">
        <f>+VLOOKUP(E104,[2]Sheet1!$B$11:$J$400,9,0)</f>
        <v>7394400</v>
      </c>
      <c r="Z104" s="52"/>
      <c r="AA104" s="53" t="s">
        <v>1599</v>
      </c>
      <c r="AB104" s="72" t="s">
        <v>992</v>
      </c>
      <c r="AC104" s="45" t="str">
        <f>+VLOOKUP(E104,[3]Sheet1!$B$11:$I$388,8,0)</f>
        <v>79 - 030</v>
      </c>
      <c r="AD104" s="72" t="s">
        <v>1787</v>
      </c>
      <c r="AE104" s="72" t="s">
        <v>2792</v>
      </c>
      <c r="AF104" s="66" t="s">
        <v>1011</v>
      </c>
      <c r="AG104" s="45">
        <f>+VALUE(AF104:AF501)</f>
        <v>25199735</v>
      </c>
      <c r="AH104" s="72" t="s">
        <v>1012</v>
      </c>
      <c r="AI104" s="72" t="s">
        <v>599</v>
      </c>
      <c r="AJ104" s="72" t="s">
        <v>1013</v>
      </c>
      <c r="AK104" s="76" t="s">
        <v>1014</v>
      </c>
      <c r="AL104" s="72"/>
      <c r="AM104" s="72" t="s">
        <v>502</v>
      </c>
      <c r="AN104" s="72"/>
      <c r="AO104" s="72"/>
      <c r="AP104" s="72"/>
      <c r="AQ104" s="72"/>
      <c r="AR104" s="72"/>
      <c r="AS104" s="72"/>
      <c r="AT104" s="72"/>
      <c r="AU104" s="72"/>
      <c r="AV104" s="72"/>
      <c r="AW104" s="77" t="s">
        <v>2197</v>
      </c>
      <c r="AX104" s="55" t="s">
        <v>1517</v>
      </c>
    </row>
    <row r="105" spans="1:100" x14ac:dyDescent="0.3">
      <c r="A105" s="43">
        <v>104</v>
      </c>
      <c r="B105" s="43">
        <v>47</v>
      </c>
      <c r="C105" s="70" t="s">
        <v>2541</v>
      </c>
      <c r="D105" s="148">
        <v>7</v>
      </c>
      <c r="E105" s="65" t="s">
        <v>1809</v>
      </c>
      <c r="F105" s="66" t="s">
        <v>332</v>
      </c>
      <c r="G105" s="67">
        <v>27137</v>
      </c>
      <c r="H105" s="47">
        <f t="shared" si="19"/>
        <v>47956</v>
      </c>
      <c r="I105" s="48">
        <f t="shared" si="17"/>
        <v>47969</v>
      </c>
      <c r="J105" s="48">
        <v>47969</v>
      </c>
      <c r="K105" s="67">
        <v>35735</v>
      </c>
      <c r="L105" s="121" t="s">
        <v>716</v>
      </c>
      <c r="M105" s="105" t="s">
        <v>287</v>
      </c>
      <c r="N105" s="106" t="s">
        <v>281</v>
      </c>
      <c r="O105" s="67">
        <v>41091</v>
      </c>
      <c r="P105" s="68"/>
      <c r="Q105" s="68" t="s">
        <v>74</v>
      </c>
      <c r="R105" s="70">
        <v>1.68</v>
      </c>
      <c r="S105" s="71"/>
      <c r="T105" s="72"/>
      <c r="U105" s="52">
        <f t="shared" si="15"/>
        <v>8920800</v>
      </c>
      <c r="V105" s="52">
        <f t="shared" si="21"/>
        <v>0</v>
      </c>
      <c r="W105" s="52">
        <f t="shared" si="20"/>
        <v>0</v>
      </c>
      <c r="X105" s="52">
        <f t="shared" si="14"/>
        <v>8920800</v>
      </c>
      <c r="Y105" s="52">
        <f>+VLOOKUP(E105,[2]Sheet1!$B$11:$J$400,9,0)</f>
        <v>7862400</v>
      </c>
      <c r="Z105" s="52"/>
      <c r="AA105" s="53" t="s">
        <v>1602</v>
      </c>
      <c r="AB105" s="72" t="s">
        <v>825</v>
      </c>
      <c r="AC105" s="45" t="str">
        <f>+VLOOKUP(E105,[3]Sheet1!$B$11:$I$388,8,0)</f>
        <v>79 - 076</v>
      </c>
      <c r="AD105" s="72" t="s">
        <v>1787</v>
      </c>
      <c r="AE105" s="72" t="s">
        <v>2793</v>
      </c>
      <c r="AF105" s="66" t="s">
        <v>1024</v>
      </c>
      <c r="AG105" s="45">
        <f>+VALUE(AF105:AF503)</f>
        <v>22713264</v>
      </c>
      <c r="AH105" s="72" t="s">
        <v>1025</v>
      </c>
      <c r="AI105" s="72" t="s">
        <v>599</v>
      </c>
      <c r="AJ105" s="72" t="s">
        <v>1026</v>
      </c>
      <c r="AK105" s="76" t="s">
        <v>1841</v>
      </c>
      <c r="AL105" s="72"/>
      <c r="AM105" s="72"/>
      <c r="AN105" s="72"/>
      <c r="AO105" s="72"/>
      <c r="AP105" s="72" t="s">
        <v>511</v>
      </c>
      <c r="AQ105" s="72"/>
      <c r="AR105" s="72"/>
      <c r="AS105" s="72"/>
      <c r="AT105" s="72"/>
      <c r="AU105" s="72"/>
      <c r="AV105" s="72"/>
      <c r="AW105" s="77" t="s">
        <v>2199</v>
      </c>
      <c r="AX105" s="55" t="s">
        <v>1517</v>
      </c>
    </row>
    <row r="106" spans="1:100" x14ac:dyDescent="0.3">
      <c r="A106" s="43">
        <v>105</v>
      </c>
      <c r="B106" s="43">
        <v>48</v>
      </c>
      <c r="C106" s="70" t="s">
        <v>2541</v>
      </c>
      <c r="D106" s="148">
        <v>8</v>
      </c>
      <c r="E106" s="78" t="s">
        <v>1806</v>
      </c>
      <c r="F106" s="66" t="s">
        <v>333</v>
      </c>
      <c r="G106" s="67">
        <v>27831</v>
      </c>
      <c r="H106" s="47">
        <f t="shared" si="19"/>
        <v>48650</v>
      </c>
      <c r="I106" s="48">
        <f t="shared" si="17"/>
        <v>48670</v>
      </c>
      <c r="J106" s="48">
        <v>48670</v>
      </c>
      <c r="K106" s="67">
        <v>34851</v>
      </c>
      <c r="L106" s="121" t="s">
        <v>716</v>
      </c>
      <c r="M106" s="105" t="s">
        <v>287</v>
      </c>
      <c r="N106" s="106" t="s">
        <v>281</v>
      </c>
      <c r="O106" s="67">
        <v>42309</v>
      </c>
      <c r="P106" s="68"/>
      <c r="Q106" s="68" t="s">
        <v>74</v>
      </c>
      <c r="R106" s="70">
        <v>1.68</v>
      </c>
      <c r="S106" s="71"/>
      <c r="T106" s="72"/>
      <c r="U106" s="52">
        <f t="shared" si="15"/>
        <v>8920800</v>
      </c>
      <c r="V106" s="52">
        <f t="shared" si="21"/>
        <v>0</v>
      </c>
      <c r="W106" s="52">
        <f t="shared" si="20"/>
        <v>0</v>
      </c>
      <c r="X106" s="52">
        <f t="shared" si="14"/>
        <v>8920800</v>
      </c>
      <c r="Y106" s="52">
        <f>+VLOOKUP(E106,[2]Sheet1!$B$11:$J$400,9,0)</f>
        <v>7862400</v>
      </c>
      <c r="Z106" s="52"/>
      <c r="AA106" s="53" t="s">
        <v>1603</v>
      </c>
      <c r="AB106" s="72" t="s">
        <v>825</v>
      </c>
      <c r="AC106" s="45" t="str">
        <f>+VLOOKUP(E106,[3]Sheet1!$B$11:$I$388,8,0)</f>
        <v>79 - 054</v>
      </c>
      <c r="AD106" s="72" t="s">
        <v>1787</v>
      </c>
      <c r="AE106" s="72" t="s">
        <v>2794</v>
      </c>
      <c r="AF106" s="66">
        <v>171829369</v>
      </c>
      <c r="AG106" s="45">
        <f>+VALUE(AF106:AF504)</f>
        <v>171829369</v>
      </c>
      <c r="AH106" s="72" t="s">
        <v>1027</v>
      </c>
      <c r="AI106" s="72" t="s">
        <v>1028</v>
      </c>
      <c r="AJ106" s="72" t="s">
        <v>1029</v>
      </c>
      <c r="AK106" s="76" t="s">
        <v>1030</v>
      </c>
      <c r="AL106" s="72"/>
      <c r="AM106" s="72"/>
      <c r="AN106" s="72"/>
      <c r="AO106" s="72" t="s">
        <v>504</v>
      </c>
      <c r="AP106" s="72"/>
      <c r="AQ106" s="72"/>
      <c r="AR106" s="72"/>
      <c r="AS106" s="72"/>
      <c r="AT106" s="72"/>
      <c r="AU106" s="72"/>
      <c r="AV106" s="72"/>
      <c r="AW106" s="77" t="s">
        <v>2200</v>
      </c>
      <c r="AX106" s="55" t="s">
        <v>1517</v>
      </c>
    </row>
    <row r="107" spans="1:100" s="82" customFormat="1" x14ac:dyDescent="0.3">
      <c r="A107" s="43">
        <v>106</v>
      </c>
      <c r="B107" s="43">
        <v>49</v>
      </c>
      <c r="C107" s="70" t="s">
        <v>2541</v>
      </c>
      <c r="D107" s="148">
        <v>9</v>
      </c>
      <c r="E107" s="78" t="s">
        <v>201</v>
      </c>
      <c r="F107" s="66" t="s">
        <v>410</v>
      </c>
      <c r="G107" s="67">
        <v>34515</v>
      </c>
      <c r="H107" s="47">
        <f t="shared" si="19"/>
        <v>55334</v>
      </c>
      <c r="I107" s="48">
        <f t="shared" si="17"/>
        <v>55335</v>
      </c>
      <c r="J107" s="48">
        <v>55335</v>
      </c>
      <c r="K107" s="67">
        <v>41730</v>
      </c>
      <c r="L107" s="121" t="s">
        <v>716</v>
      </c>
      <c r="M107" s="122" t="s">
        <v>287</v>
      </c>
      <c r="N107" s="106" t="s">
        <v>281</v>
      </c>
      <c r="O107" s="67">
        <v>42370</v>
      </c>
      <c r="P107" s="68"/>
      <c r="Q107" s="124" t="s">
        <v>71</v>
      </c>
      <c r="R107" s="70">
        <v>1.49</v>
      </c>
      <c r="S107" s="71"/>
      <c r="T107" s="72"/>
      <c r="U107" s="52">
        <f t="shared" si="15"/>
        <v>7911900</v>
      </c>
      <c r="V107" s="52">
        <f t="shared" si="21"/>
        <v>0</v>
      </c>
      <c r="W107" s="52">
        <f t="shared" si="20"/>
        <v>0</v>
      </c>
      <c r="X107" s="52">
        <f t="shared" si="14"/>
        <v>7911900</v>
      </c>
      <c r="Y107" s="52">
        <f>+VLOOKUP(E107,[2]Sheet1!$B$11:$J$400,9,0)</f>
        <v>6973200</v>
      </c>
      <c r="Z107" s="52"/>
      <c r="AA107" s="53" t="s">
        <v>1681</v>
      </c>
      <c r="AB107" s="72" t="s">
        <v>1234</v>
      </c>
      <c r="AC107" s="45" t="str">
        <f>+VLOOKUP(E107,[3]Sheet1!$B$11:$I$388,8,0)</f>
        <v>79 - 034</v>
      </c>
      <c r="AD107" s="72" t="s">
        <v>1787</v>
      </c>
      <c r="AE107" s="72" t="s">
        <v>2795</v>
      </c>
      <c r="AF107" s="66">
        <v>163134318</v>
      </c>
      <c r="AG107" s="45">
        <f>+VALUE(AF107:AF506)</f>
        <v>163134318</v>
      </c>
      <c r="AH107" s="72" t="s">
        <v>1235</v>
      </c>
      <c r="AI107" s="72" t="s">
        <v>867</v>
      </c>
      <c r="AJ107" s="72" t="s">
        <v>1236</v>
      </c>
      <c r="AK107" s="76" t="s">
        <v>2014</v>
      </c>
      <c r="AL107" s="72"/>
      <c r="AM107" s="72"/>
      <c r="AN107" s="72"/>
      <c r="AO107" s="72"/>
      <c r="AP107" s="72" t="s">
        <v>532</v>
      </c>
      <c r="AQ107" s="72"/>
      <c r="AR107" s="72"/>
      <c r="AS107" s="72"/>
      <c r="AT107" s="72"/>
      <c r="AU107" s="72"/>
      <c r="AV107" s="72"/>
      <c r="AW107" s="77" t="s">
        <v>2202</v>
      </c>
      <c r="AX107" s="55" t="s">
        <v>1517</v>
      </c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5"/>
      <c r="BP107" s="55"/>
      <c r="BQ107" s="55"/>
      <c r="BR107" s="55"/>
      <c r="BS107" s="55"/>
      <c r="BT107" s="55"/>
      <c r="BU107" s="55"/>
      <c r="BV107" s="55"/>
      <c r="BW107" s="55"/>
      <c r="BX107" s="55"/>
      <c r="BY107" s="55"/>
      <c r="BZ107" s="55"/>
      <c r="CA107" s="55"/>
      <c r="CB107" s="55"/>
      <c r="CC107" s="55"/>
      <c r="CD107" s="55"/>
      <c r="CE107" s="55"/>
      <c r="CF107" s="55"/>
      <c r="CG107" s="55"/>
      <c r="CH107" s="55"/>
      <c r="CI107" s="55"/>
      <c r="CJ107" s="55"/>
      <c r="CK107" s="55"/>
      <c r="CL107" s="55"/>
      <c r="CM107" s="55"/>
      <c r="CN107" s="55"/>
      <c r="CO107" s="55"/>
      <c r="CP107" s="55"/>
      <c r="CQ107" s="55"/>
      <c r="CR107" s="55"/>
      <c r="CS107" s="55"/>
      <c r="CT107" s="55"/>
      <c r="CU107" s="55"/>
      <c r="CV107" s="55"/>
    </row>
    <row r="108" spans="1:100" s="82" customFormat="1" x14ac:dyDescent="0.3">
      <c r="A108" s="43">
        <v>107</v>
      </c>
      <c r="B108" s="43">
        <v>50</v>
      </c>
      <c r="C108" s="70" t="s">
        <v>2541</v>
      </c>
      <c r="D108" s="148">
        <v>10</v>
      </c>
      <c r="E108" s="78" t="s">
        <v>1892</v>
      </c>
      <c r="F108" s="66" t="s">
        <v>1893</v>
      </c>
      <c r="G108" s="67">
        <v>33861</v>
      </c>
      <c r="H108" s="47">
        <f t="shared" si="19"/>
        <v>54680</v>
      </c>
      <c r="I108" s="48">
        <f t="shared" si="17"/>
        <v>54697</v>
      </c>
      <c r="J108" s="48">
        <v>54697</v>
      </c>
      <c r="K108" s="67">
        <v>43542</v>
      </c>
      <c r="L108" s="121" t="s">
        <v>716</v>
      </c>
      <c r="M108" s="122" t="s">
        <v>287</v>
      </c>
      <c r="N108" s="106" t="s">
        <v>281</v>
      </c>
      <c r="O108" s="67">
        <v>43542</v>
      </c>
      <c r="P108" s="68"/>
      <c r="Q108" s="69" t="s">
        <v>71</v>
      </c>
      <c r="R108" s="70">
        <v>1.49</v>
      </c>
      <c r="S108" s="71"/>
      <c r="T108" s="72"/>
      <c r="U108" s="52">
        <f t="shared" si="15"/>
        <v>7911900</v>
      </c>
      <c r="V108" s="52">
        <f t="shared" si="21"/>
        <v>0</v>
      </c>
      <c r="W108" s="52">
        <f t="shared" si="20"/>
        <v>0</v>
      </c>
      <c r="X108" s="52">
        <f t="shared" si="14"/>
        <v>7911900</v>
      </c>
      <c r="Y108" s="52">
        <f>+VLOOKUP(E108,[2]Sheet1!$B$11:$J$400,9,0)</f>
        <v>6973200</v>
      </c>
      <c r="Z108" s="52"/>
      <c r="AA108" s="53" t="s">
        <v>1933</v>
      </c>
      <c r="AB108" s="72" t="s">
        <v>1913</v>
      </c>
      <c r="AC108" s="45" t="str">
        <f>+VLOOKUP(E108,[3]Sheet1!$B$11:$I$388,8,0)</f>
        <v>79 - 034</v>
      </c>
      <c r="AD108" s="72" t="s">
        <v>1787</v>
      </c>
      <c r="AE108" s="72" t="s">
        <v>2796</v>
      </c>
      <c r="AF108" s="66" t="s">
        <v>1894</v>
      </c>
      <c r="AG108" s="72">
        <f>+VALUE(AF108:AF507)</f>
        <v>264377171</v>
      </c>
      <c r="AH108" s="80" t="s">
        <v>1895</v>
      </c>
      <c r="AI108" s="72" t="s">
        <v>503</v>
      </c>
      <c r="AJ108" s="72" t="s">
        <v>1896</v>
      </c>
      <c r="AK108" s="76" t="s">
        <v>1932</v>
      </c>
      <c r="AL108" s="72"/>
      <c r="AM108" s="72" t="s">
        <v>3402</v>
      </c>
      <c r="AN108" s="72"/>
      <c r="AO108" s="72" t="s">
        <v>504</v>
      </c>
      <c r="AP108" s="72"/>
      <c r="AQ108" s="72"/>
      <c r="AR108" s="72"/>
      <c r="AS108" s="72"/>
      <c r="AT108" s="72"/>
      <c r="AU108" s="72"/>
      <c r="AV108" s="72"/>
      <c r="AW108" s="127" t="s">
        <v>2203</v>
      </c>
      <c r="AX108" s="82" t="s">
        <v>1517</v>
      </c>
    </row>
    <row r="109" spans="1:100" x14ac:dyDescent="0.3">
      <c r="A109" s="43">
        <v>108</v>
      </c>
      <c r="B109" s="43">
        <v>51</v>
      </c>
      <c r="C109" s="70" t="s">
        <v>2541</v>
      </c>
      <c r="D109" s="148">
        <v>11</v>
      </c>
      <c r="E109" s="78" t="s">
        <v>142</v>
      </c>
      <c r="F109" s="66" t="s">
        <v>355</v>
      </c>
      <c r="G109" s="67">
        <v>32577</v>
      </c>
      <c r="H109" s="47">
        <f t="shared" si="19"/>
        <v>53396</v>
      </c>
      <c r="I109" s="48">
        <f t="shared" si="17"/>
        <v>53418</v>
      </c>
      <c r="J109" s="48">
        <v>53418</v>
      </c>
      <c r="K109" s="67">
        <v>42309</v>
      </c>
      <c r="L109" s="121" t="s">
        <v>716</v>
      </c>
      <c r="M109" s="122" t="s">
        <v>287</v>
      </c>
      <c r="N109" s="106" t="s">
        <v>281</v>
      </c>
      <c r="O109" s="68" t="s">
        <v>3238</v>
      </c>
      <c r="P109" s="68"/>
      <c r="Q109" s="68" t="s">
        <v>76</v>
      </c>
      <c r="R109" s="70">
        <v>1.58</v>
      </c>
      <c r="S109" s="71"/>
      <c r="T109" s="72"/>
      <c r="U109" s="52">
        <f t="shared" si="15"/>
        <v>8389800</v>
      </c>
      <c r="V109" s="52">
        <f t="shared" si="21"/>
        <v>0</v>
      </c>
      <c r="W109" s="52">
        <f t="shared" si="20"/>
        <v>0</v>
      </c>
      <c r="X109" s="52">
        <f t="shared" si="14"/>
        <v>8389800</v>
      </c>
      <c r="Y109" s="52">
        <f>+VLOOKUP(E109,[2]Sheet1!$B$11:$J$400,9,0)</f>
        <v>6973200</v>
      </c>
      <c r="Z109" s="52"/>
      <c r="AA109" s="53" t="s">
        <v>1625</v>
      </c>
      <c r="AB109" s="72" t="s">
        <v>1100</v>
      </c>
      <c r="AC109" s="45" t="str">
        <f>+VLOOKUP(E109,[3]Sheet1!$B$11:$I$388,8,0)</f>
        <v>79 - 034</v>
      </c>
      <c r="AD109" s="72" t="s">
        <v>1787</v>
      </c>
      <c r="AE109" s="72" t="s">
        <v>2797</v>
      </c>
      <c r="AF109" s="66">
        <v>173381695</v>
      </c>
      <c r="AG109" s="45">
        <f>+VALUE(AF109:AF509)</f>
        <v>173381695</v>
      </c>
      <c r="AH109" s="72" t="s">
        <v>1101</v>
      </c>
      <c r="AI109" s="72" t="s">
        <v>1028</v>
      </c>
      <c r="AJ109" s="72" t="s">
        <v>1102</v>
      </c>
      <c r="AK109" s="76" t="s">
        <v>1102</v>
      </c>
      <c r="AL109" s="72"/>
      <c r="AM109" s="72"/>
      <c r="AN109" s="72"/>
      <c r="AO109" s="72" t="s">
        <v>533</v>
      </c>
      <c r="AP109" s="72"/>
      <c r="AQ109" s="72"/>
      <c r="AR109" s="72"/>
      <c r="AS109" s="72"/>
      <c r="AT109" s="72"/>
      <c r="AU109" s="72"/>
      <c r="AV109" s="72"/>
      <c r="AW109" s="77" t="s">
        <v>2204</v>
      </c>
      <c r="AX109" s="55" t="s">
        <v>1517</v>
      </c>
    </row>
    <row r="110" spans="1:100" s="82" customFormat="1" x14ac:dyDescent="0.3">
      <c r="A110" s="43">
        <v>109</v>
      </c>
      <c r="B110" s="43">
        <v>52</v>
      </c>
      <c r="C110" s="70" t="s">
        <v>2541</v>
      </c>
      <c r="D110" s="148">
        <v>12</v>
      </c>
      <c r="E110" s="78" t="s">
        <v>1990</v>
      </c>
      <c r="F110" s="66" t="s">
        <v>1991</v>
      </c>
      <c r="G110" s="80">
        <v>35931</v>
      </c>
      <c r="H110" s="47">
        <f t="shared" si="19"/>
        <v>56750</v>
      </c>
      <c r="I110" s="48">
        <f t="shared" si="17"/>
        <v>56766</v>
      </c>
      <c r="J110" s="48">
        <v>56766</v>
      </c>
      <c r="K110" s="67">
        <v>43739</v>
      </c>
      <c r="L110" s="121" t="s">
        <v>716</v>
      </c>
      <c r="M110" s="122" t="s">
        <v>287</v>
      </c>
      <c r="N110" s="106" t="s">
        <v>281</v>
      </c>
      <c r="O110" s="67">
        <v>43739</v>
      </c>
      <c r="P110" s="68"/>
      <c r="Q110" s="151" t="s">
        <v>72</v>
      </c>
      <c r="R110" s="70">
        <v>1.41</v>
      </c>
      <c r="S110" s="71"/>
      <c r="T110" s="72"/>
      <c r="U110" s="52">
        <f t="shared" si="15"/>
        <v>7487100</v>
      </c>
      <c r="V110" s="52">
        <f t="shared" si="21"/>
        <v>0</v>
      </c>
      <c r="W110" s="52">
        <f t="shared" si="20"/>
        <v>0</v>
      </c>
      <c r="X110" s="52">
        <f t="shared" si="14"/>
        <v>7487100</v>
      </c>
      <c r="Y110" s="52">
        <f>+VLOOKUP(E110,[2]Sheet1!$B$11:$J$400,9,0)</f>
        <v>6598800</v>
      </c>
      <c r="Z110" s="52"/>
      <c r="AA110" s="53" t="s">
        <v>1993</v>
      </c>
      <c r="AB110" s="72" t="s">
        <v>2142</v>
      </c>
      <c r="AC110" s="45" t="str">
        <f>+VLOOKUP(E110,[3]Sheet1!$B$11:$I$388,8,0)</f>
        <v>79 - 034</v>
      </c>
      <c r="AD110" s="72" t="s">
        <v>1787</v>
      </c>
      <c r="AE110" s="72" t="s">
        <v>2798</v>
      </c>
      <c r="AF110" s="79" t="s">
        <v>2141</v>
      </c>
      <c r="AG110" s="45">
        <f>+VALUE(AF110:AF110)</f>
        <v>175040975</v>
      </c>
      <c r="AH110" s="80" t="s">
        <v>2140</v>
      </c>
      <c r="AI110" s="72" t="s">
        <v>1028</v>
      </c>
      <c r="AJ110" s="72" t="s">
        <v>2139</v>
      </c>
      <c r="AK110" s="72" t="s">
        <v>2139</v>
      </c>
      <c r="AL110" s="72"/>
      <c r="AM110" s="72"/>
      <c r="AN110" s="72"/>
      <c r="AO110" s="72" t="s">
        <v>564</v>
      </c>
      <c r="AP110" s="72"/>
      <c r="AQ110" s="72"/>
      <c r="AR110" s="72"/>
      <c r="AS110" s="72"/>
      <c r="AT110" s="72"/>
      <c r="AU110" s="72"/>
      <c r="AV110" s="67">
        <v>44470</v>
      </c>
      <c r="AW110" s="77" t="s">
        <v>2205</v>
      </c>
      <c r="AX110" s="55" t="s">
        <v>1517</v>
      </c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5"/>
      <c r="BY110" s="55"/>
      <c r="BZ110" s="55"/>
      <c r="CA110" s="55"/>
      <c r="CB110" s="55"/>
      <c r="CC110" s="55"/>
      <c r="CD110" s="55"/>
      <c r="CE110" s="55"/>
      <c r="CF110" s="55"/>
      <c r="CG110" s="55"/>
      <c r="CH110" s="55"/>
      <c r="CI110" s="55"/>
      <c r="CJ110" s="55"/>
      <c r="CK110" s="55"/>
      <c r="CL110" s="55"/>
      <c r="CM110" s="55"/>
      <c r="CN110" s="55"/>
      <c r="CO110" s="55"/>
      <c r="CP110" s="55"/>
      <c r="CQ110" s="55"/>
      <c r="CR110" s="55"/>
      <c r="CS110" s="55"/>
      <c r="CT110" s="55"/>
      <c r="CU110" s="55"/>
      <c r="CV110" s="55"/>
    </row>
    <row r="111" spans="1:100" x14ac:dyDescent="0.3">
      <c r="A111" s="43">
        <v>110</v>
      </c>
      <c r="B111" s="43">
        <v>53</v>
      </c>
      <c r="C111" s="70" t="s">
        <v>2541</v>
      </c>
      <c r="D111" s="148">
        <v>13</v>
      </c>
      <c r="E111" s="65" t="s">
        <v>3325</v>
      </c>
      <c r="F111" s="66" t="s">
        <v>3326</v>
      </c>
      <c r="G111" s="67">
        <v>37333</v>
      </c>
      <c r="H111" s="47">
        <f t="shared" si="19"/>
        <v>58152</v>
      </c>
      <c r="I111" s="48">
        <f t="shared" si="17"/>
        <v>58166</v>
      </c>
      <c r="J111" s="48">
        <v>58166</v>
      </c>
      <c r="K111" s="67">
        <v>45689</v>
      </c>
      <c r="L111" s="121" t="s">
        <v>716</v>
      </c>
      <c r="M111" s="105" t="s">
        <v>287</v>
      </c>
      <c r="N111" s="70" t="s">
        <v>281</v>
      </c>
      <c r="O111" s="67">
        <v>45689</v>
      </c>
      <c r="P111" s="68"/>
      <c r="Q111" s="68" t="s">
        <v>72</v>
      </c>
      <c r="R111" s="70">
        <v>1.41</v>
      </c>
      <c r="S111" s="71"/>
      <c r="T111" s="72"/>
      <c r="U111" s="52">
        <f t="shared" si="15"/>
        <v>7487100</v>
      </c>
      <c r="V111" s="52">
        <f t="shared" si="21"/>
        <v>0</v>
      </c>
      <c r="W111" s="52">
        <f t="shared" si="20"/>
        <v>0</v>
      </c>
      <c r="X111" s="52">
        <f t="shared" si="14"/>
        <v>7487100</v>
      </c>
      <c r="Y111" s="52"/>
      <c r="Z111" s="52"/>
      <c r="AA111" s="73">
        <v>8723183087</v>
      </c>
      <c r="AB111" s="72" t="s">
        <v>3333</v>
      </c>
      <c r="AC111" s="45"/>
      <c r="AD111" s="72" t="s">
        <v>1787</v>
      </c>
      <c r="AE111" s="74" t="s">
        <v>3327</v>
      </c>
      <c r="AF111" s="66"/>
      <c r="AG111" s="45"/>
      <c r="AH111" s="75">
        <v>44798</v>
      </c>
      <c r="AI111" s="72" t="s">
        <v>2427</v>
      </c>
      <c r="AJ111" s="72" t="s">
        <v>3330</v>
      </c>
      <c r="AK111" s="76"/>
      <c r="AL111" s="72"/>
      <c r="AM111" s="72" t="s">
        <v>3328</v>
      </c>
      <c r="AN111" s="72"/>
      <c r="AO111" s="72"/>
      <c r="AP111" s="72"/>
      <c r="AQ111" s="67">
        <v>45658</v>
      </c>
      <c r="AR111" s="72"/>
      <c r="AS111" s="67">
        <v>45689</v>
      </c>
      <c r="AT111" s="67"/>
      <c r="AU111" s="72"/>
      <c r="AV111" s="67"/>
      <c r="AW111" s="77"/>
      <c r="AX111" s="55" t="s">
        <v>1517</v>
      </c>
    </row>
    <row r="112" spans="1:100" x14ac:dyDescent="0.3">
      <c r="A112" s="43">
        <v>111</v>
      </c>
      <c r="B112" s="43">
        <v>54</v>
      </c>
      <c r="C112" s="70" t="s">
        <v>2541</v>
      </c>
      <c r="D112" s="126">
        <v>1</v>
      </c>
      <c r="E112" s="78" t="s">
        <v>1814</v>
      </c>
      <c r="F112" s="66" t="s">
        <v>336</v>
      </c>
      <c r="G112" s="67">
        <v>28408</v>
      </c>
      <c r="H112" s="47">
        <f t="shared" si="19"/>
        <v>49227</v>
      </c>
      <c r="I112" s="48">
        <f t="shared" si="17"/>
        <v>49249</v>
      </c>
      <c r="J112" s="48">
        <v>49249</v>
      </c>
      <c r="K112" s="67">
        <v>34820</v>
      </c>
      <c r="L112" s="152" t="s">
        <v>717</v>
      </c>
      <c r="M112" s="105" t="s">
        <v>287</v>
      </c>
      <c r="N112" s="70" t="s">
        <v>281</v>
      </c>
      <c r="O112" s="67">
        <v>41091</v>
      </c>
      <c r="P112" s="68"/>
      <c r="Q112" s="68" t="s">
        <v>76</v>
      </c>
      <c r="R112" s="70">
        <v>1.58</v>
      </c>
      <c r="S112" s="71"/>
      <c r="T112" s="72"/>
      <c r="U112" s="52">
        <f t="shared" si="15"/>
        <v>8389800</v>
      </c>
      <c r="V112" s="52">
        <f t="shared" si="21"/>
        <v>0</v>
      </c>
      <c r="W112" s="52">
        <f t="shared" si="20"/>
        <v>0</v>
      </c>
      <c r="X112" s="52">
        <f t="shared" si="14"/>
        <v>8389800</v>
      </c>
      <c r="Y112" s="52">
        <f>+VLOOKUP(E112,[2]Sheet1!$B$11:$J$400,9,0)</f>
        <v>7581600</v>
      </c>
      <c r="Z112" s="52"/>
      <c r="AA112" s="53" t="s">
        <v>1606</v>
      </c>
      <c r="AB112" s="72" t="s">
        <v>1036</v>
      </c>
      <c r="AC112" s="45" t="str">
        <f>+VLOOKUP(E112,[3]Sheet1!$B$11:$I$388,8,0)</f>
        <v>79 - 034</v>
      </c>
      <c r="AD112" s="72" t="s">
        <v>1787</v>
      </c>
      <c r="AE112" s="72" t="s">
        <v>2800</v>
      </c>
      <c r="AF112" s="66">
        <v>272229919</v>
      </c>
      <c r="AG112" s="45">
        <f t="shared" ref="AG112:AG117" si="22">+VALUE(AF112:AF510)</f>
        <v>272229919</v>
      </c>
      <c r="AH112" s="72" t="s">
        <v>1037</v>
      </c>
      <c r="AI112" s="72" t="s">
        <v>519</v>
      </c>
      <c r="AJ112" s="72" t="s">
        <v>1038</v>
      </c>
      <c r="AK112" s="76" t="s">
        <v>1039</v>
      </c>
      <c r="AL112" s="72"/>
      <c r="AM112" s="72" t="s">
        <v>560</v>
      </c>
      <c r="AN112" s="72"/>
      <c r="AO112" s="72"/>
      <c r="AP112" s="72"/>
      <c r="AQ112" s="72"/>
      <c r="AR112" s="67">
        <v>44287</v>
      </c>
      <c r="AS112" s="72"/>
      <c r="AT112" s="72"/>
      <c r="AU112" s="72"/>
      <c r="AV112" s="67">
        <v>44470</v>
      </c>
      <c r="AW112" s="77" t="s">
        <v>2206</v>
      </c>
      <c r="AX112" s="55" t="s">
        <v>1517</v>
      </c>
    </row>
    <row r="113" spans="1:100" x14ac:dyDescent="0.3">
      <c r="A113" s="43">
        <v>112</v>
      </c>
      <c r="B113" s="43">
        <v>55</v>
      </c>
      <c r="C113" s="70" t="s">
        <v>2541</v>
      </c>
      <c r="D113" s="126">
        <v>2</v>
      </c>
      <c r="E113" s="65" t="s">
        <v>1815</v>
      </c>
      <c r="F113" s="66" t="s">
        <v>337</v>
      </c>
      <c r="G113" s="67">
        <v>27796</v>
      </c>
      <c r="H113" s="47">
        <f t="shared" si="19"/>
        <v>48616</v>
      </c>
      <c r="I113" s="48">
        <f t="shared" si="17"/>
        <v>48639</v>
      </c>
      <c r="J113" s="48">
        <v>48639</v>
      </c>
      <c r="K113" s="67">
        <v>35735</v>
      </c>
      <c r="L113" s="152" t="s">
        <v>717</v>
      </c>
      <c r="M113" s="105" t="s">
        <v>287</v>
      </c>
      <c r="N113" s="70" t="s">
        <v>281</v>
      </c>
      <c r="O113" s="67">
        <v>45839</v>
      </c>
      <c r="P113" s="68"/>
      <c r="Q113" s="68" t="s">
        <v>74</v>
      </c>
      <c r="R113" s="70">
        <v>1.68</v>
      </c>
      <c r="S113" s="71"/>
      <c r="T113" s="72"/>
      <c r="U113" s="52">
        <f t="shared" si="15"/>
        <v>8920800</v>
      </c>
      <c r="V113" s="52">
        <f t="shared" si="21"/>
        <v>0</v>
      </c>
      <c r="W113" s="52">
        <f t="shared" si="20"/>
        <v>0</v>
      </c>
      <c r="X113" s="52">
        <f t="shared" si="14"/>
        <v>8920800</v>
      </c>
      <c r="Y113" s="52">
        <f>+VLOOKUP(E113,[2]Sheet1!$B$11:$J$400,9,0)</f>
        <v>7394400</v>
      </c>
      <c r="Z113" s="52"/>
      <c r="AA113" s="53" t="s">
        <v>1607</v>
      </c>
      <c r="AB113" s="72" t="s">
        <v>1040</v>
      </c>
      <c r="AC113" s="45" t="str">
        <f>+VLOOKUP(E113,[3]Sheet1!$B$11:$I$388,8,0)</f>
        <v>79 - 034</v>
      </c>
      <c r="AD113" s="72" t="s">
        <v>1787</v>
      </c>
      <c r="AE113" s="72" t="s">
        <v>2801</v>
      </c>
      <c r="AF113" s="66">
        <v>272326125</v>
      </c>
      <c r="AG113" s="45">
        <f t="shared" si="22"/>
        <v>272326125</v>
      </c>
      <c r="AH113" s="72" t="s">
        <v>1041</v>
      </c>
      <c r="AI113" s="72" t="s">
        <v>519</v>
      </c>
      <c r="AJ113" s="72" t="s">
        <v>1042</v>
      </c>
      <c r="AK113" s="76" t="s">
        <v>1043</v>
      </c>
      <c r="AL113" s="72"/>
      <c r="AM113" s="72"/>
      <c r="AN113" s="72"/>
      <c r="AO113" s="72" t="s">
        <v>504</v>
      </c>
      <c r="AP113" s="72"/>
      <c r="AQ113" s="72"/>
      <c r="AR113" s="72"/>
      <c r="AS113" s="72"/>
      <c r="AT113" s="72"/>
      <c r="AU113" s="72"/>
      <c r="AV113" s="72"/>
      <c r="AW113" s="77" t="s">
        <v>2207</v>
      </c>
      <c r="AX113" s="55" t="s">
        <v>1517</v>
      </c>
    </row>
    <row r="114" spans="1:100" x14ac:dyDescent="0.3">
      <c r="A114" s="43">
        <v>113</v>
      </c>
      <c r="B114" s="43">
        <v>56</v>
      </c>
      <c r="C114" s="70" t="s">
        <v>2541</v>
      </c>
      <c r="D114" s="126">
        <v>3</v>
      </c>
      <c r="E114" s="65" t="s">
        <v>1817</v>
      </c>
      <c r="F114" s="66" t="s">
        <v>339</v>
      </c>
      <c r="G114" s="67">
        <v>29606</v>
      </c>
      <c r="H114" s="47">
        <f t="shared" si="19"/>
        <v>50425</v>
      </c>
      <c r="I114" s="48">
        <f t="shared" si="17"/>
        <v>50437</v>
      </c>
      <c r="J114" s="48">
        <v>50437</v>
      </c>
      <c r="K114" s="67">
        <v>37530</v>
      </c>
      <c r="L114" s="152" t="s">
        <v>717</v>
      </c>
      <c r="M114" s="105" t="s">
        <v>287</v>
      </c>
      <c r="N114" s="70" t="s">
        <v>281</v>
      </c>
      <c r="O114" s="67">
        <v>42309</v>
      </c>
      <c r="P114" s="68"/>
      <c r="Q114" s="68" t="s">
        <v>76</v>
      </c>
      <c r="R114" s="70">
        <v>1.58</v>
      </c>
      <c r="S114" s="71"/>
      <c r="T114" s="72"/>
      <c r="U114" s="52">
        <f t="shared" si="15"/>
        <v>8389800</v>
      </c>
      <c r="V114" s="52">
        <f t="shared" si="21"/>
        <v>0</v>
      </c>
      <c r="W114" s="52">
        <f t="shared" si="20"/>
        <v>0</v>
      </c>
      <c r="X114" s="52">
        <f t="shared" si="14"/>
        <v>8389800</v>
      </c>
      <c r="Y114" s="52">
        <f>+VLOOKUP(E114,[2]Sheet1!$B$11:$J$400,9,0)</f>
        <v>7394400</v>
      </c>
      <c r="Z114" s="52"/>
      <c r="AA114" s="53" t="s">
        <v>1609</v>
      </c>
      <c r="AB114" s="72" t="s">
        <v>859</v>
      </c>
      <c r="AC114" s="45" t="str">
        <f>+VLOOKUP(E114,[3]Sheet1!$B$11:$I$388,8,0)</f>
        <v>79 - 036</v>
      </c>
      <c r="AD114" s="72" t="s">
        <v>1787</v>
      </c>
      <c r="AE114" s="72" t="s">
        <v>2802</v>
      </c>
      <c r="AF114" s="66" t="s">
        <v>1047</v>
      </c>
      <c r="AG114" s="45">
        <f t="shared" si="22"/>
        <v>162410205</v>
      </c>
      <c r="AH114" s="72" t="s">
        <v>1048</v>
      </c>
      <c r="AI114" s="72" t="s">
        <v>867</v>
      </c>
      <c r="AJ114" s="72" t="s">
        <v>1049</v>
      </c>
      <c r="AK114" s="76" t="s">
        <v>1050</v>
      </c>
      <c r="AL114" s="72"/>
      <c r="AM114" s="72"/>
      <c r="AN114" s="72"/>
      <c r="AO114" s="72"/>
      <c r="AP114" s="72" t="s">
        <v>511</v>
      </c>
      <c r="AQ114" s="72"/>
      <c r="AR114" s="72"/>
      <c r="AS114" s="72"/>
      <c r="AT114" s="72"/>
      <c r="AU114" s="72"/>
      <c r="AV114" s="72"/>
      <c r="AW114" s="77" t="s">
        <v>2208</v>
      </c>
      <c r="AX114" s="55" t="s">
        <v>1517</v>
      </c>
    </row>
    <row r="115" spans="1:100" x14ac:dyDescent="0.3">
      <c r="A115" s="43">
        <v>114</v>
      </c>
      <c r="B115" s="43">
        <v>57</v>
      </c>
      <c r="C115" s="70" t="s">
        <v>2541</v>
      </c>
      <c r="D115" s="126">
        <v>4</v>
      </c>
      <c r="E115" s="65" t="s">
        <v>131</v>
      </c>
      <c r="F115" s="66" t="s">
        <v>340</v>
      </c>
      <c r="G115" s="67">
        <v>28010</v>
      </c>
      <c r="H115" s="47">
        <f t="shared" si="19"/>
        <v>48829</v>
      </c>
      <c r="I115" s="48">
        <f t="shared" si="17"/>
        <v>48853</v>
      </c>
      <c r="J115" s="48">
        <v>48853</v>
      </c>
      <c r="K115" s="67">
        <v>34243</v>
      </c>
      <c r="L115" s="152" t="s">
        <v>717</v>
      </c>
      <c r="M115" s="105" t="s">
        <v>287</v>
      </c>
      <c r="N115" s="70" t="s">
        <v>281</v>
      </c>
      <c r="O115" s="67">
        <v>43405</v>
      </c>
      <c r="P115" s="68"/>
      <c r="Q115" s="68" t="s">
        <v>74</v>
      </c>
      <c r="R115" s="70">
        <v>1.68</v>
      </c>
      <c r="S115" s="71"/>
      <c r="T115" s="72"/>
      <c r="U115" s="52">
        <f t="shared" si="15"/>
        <v>8920800</v>
      </c>
      <c r="V115" s="52">
        <f t="shared" si="21"/>
        <v>0</v>
      </c>
      <c r="W115" s="52">
        <f t="shared" si="20"/>
        <v>0</v>
      </c>
      <c r="X115" s="52">
        <f t="shared" si="14"/>
        <v>8920800</v>
      </c>
      <c r="Y115" s="52">
        <f>+VLOOKUP(E115,[2]Sheet1!$B$11:$J$400,9,0)</f>
        <v>7862400</v>
      </c>
      <c r="Z115" s="52"/>
      <c r="AA115" s="53" t="s">
        <v>1610</v>
      </c>
      <c r="AB115" s="72" t="s">
        <v>1051</v>
      </c>
      <c r="AC115" s="45" t="str">
        <f>+VLOOKUP(E115,[3]Sheet1!$B$11:$I$388,8,0)</f>
        <v>79 - 034</v>
      </c>
      <c r="AD115" s="72" t="s">
        <v>1787</v>
      </c>
      <c r="AE115" s="72" t="s">
        <v>2803</v>
      </c>
      <c r="AF115" s="66">
        <v>182134745</v>
      </c>
      <c r="AG115" s="45">
        <f t="shared" si="22"/>
        <v>182134745</v>
      </c>
      <c r="AH115" s="72" t="s">
        <v>1052</v>
      </c>
      <c r="AI115" s="72" t="s">
        <v>754</v>
      </c>
      <c r="AJ115" s="72" t="s">
        <v>1053</v>
      </c>
      <c r="AK115" s="76" t="s">
        <v>1054</v>
      </c>
      <c r="AL115" s="72"/>
      <c r="AM115" s="72"/>
      <c r="AN115" s="72"/>
      <c r="AO115" s="72" t="s">
        <v>504</v>
      </c>
      <c r="AP115" s="72"/>
      <c r="AQ115" s="72"/>
      <c r="AR115" s="72"/>
      <c r="AS115" s="72"/>
      <c r="AT115" s="72"/>
      <c r="AU115" s="72"/>
      <c r="AV115" s="72"/>
      <c r="AW115" s="77" t="s">
        <v>2209</v>
      </c>
      <c r="AX115" s="55" t="s">
        <v>1517</v>
      </c>
    </row>
    <row r="116" spans="1:100" x14ac:dyDescent="0.3">
      <c r="A116" s="43">
        <v>115</v>
      </c>
      <c r="B116" s="43">
        <v>58</v>
      </c>
      <c r="C116" s="70" t="s">
        <v>2541</v>
      </c>
      <c r="D116" s="126">
        <v>5</v>
      </c>
      <c r="E116" s="65" t="s">
        <v>1818</v>
      </c>
      <c r="F116" s="66" t="s">
        <v>341</v>
      </c>
      <c r="G116" s="67">
        <v>25831</v>
      </c>
      <c r="H116" s="47">
        <v>46558</v>
      </c>
      <c r="I116" s="48">
        <f t="shared" si="17"/>
        <v>46569</v>
      </c>
      <c r="J116" s="48">
        <v>46569</v>
      </c>
      <c r="K116" s="67">
        <v>35370</v>
      </c>
      <c r="L116" s="152" t="s">
        <v>717</v>
      </c>
      <c r="M116" s="105" t="s">
        <v>287</v>
      </c>
      <c r="N116" s="70" t="s">
        <v>281</v>
      </c>
      <c r="O116" s="67">
        <v>41091</v>
      </c>
      <c r="P116" s="68"/>
      <c r="Q116" s="68" t="s">
        <v>71</v>
      </c>
      <c r="R116" s="70">
        <v>1.49</v>
      </c>
      <c r="S116" s="71"/>
      <c r="T116" s="72"/>
      <c r="U116" s="52">
        <f t="shared" si="15"/>
        <v>7911900</v>
      </c>
      <c r="V116" s="52">
        <f t="shared" si="21"/>
        <v>0</v>
      </c>
      <c r="W116" s="52">
        <f t="shared" si="20"/>
        <v>0</v>
      </c>
      <c r="X116" s="52">
        <f t="shared" si="14"/>
        <v>7911900</v>
      </c>
      <c r="Y116" s="52">
        <f>+VLOOKUP(E116,[2]Sheet1!$B$11:$J$400,9,0)</f>
        <v>6973200</v>
      </c>
      <c r="Z116" s="52"/>
      <c r="AA116" s="53" t="s">
        <v>1611</v>
      </c>
      <c r="AB116" s="72" t="s">
        <v>859</v>
      </c>
      <c r="AC116" s="45" t="str">
        <f>+VLOOKUP(E116,[3]Sheet1!$B$11:$I$388,8,0)</f>
        <v>79 - 036</v>
      </c>
      <c r="AD116" s="72" t="s">
        <v>1787</v>
      </c>
      <c r="AE116" s="72" t="s">
        <v>1055</v>
      </c>
      <c r="AF116" s="66" t="s">
        <v>1055</v>
      </c>
      <c r="AG116" s="45">
        <f t="shared" si="22"/>
        <v>36070001934</v>
      </c>
      <c r="AH116" s="72" t="s">
        <v>1056</v>
      </c>
      <c r="AI116" s="72" t="s">
        <v>606</v>
      </c>
      <c r="AJ116" s="72" t="s">
        <v>1057</v>
      </c>
      <c r="AK116" s="76" t="s">
        <v>894</v>
      </c>
      <c r="AL116" s="72"/>
      <c r="AM116" s="72"/>
      <c r="AN116" s="72"/>
      <c r="AO116" s="72" t="s">
        <v>504</v>
      </c>
      <c r="AP116" s="72"/>
      <c r="AQ116" s="72"/>
      <c r="AR116" s="72"/>
      <c r="AS116" s="72"/>
      <c r="AT116" s="72"/>
      <c r="AU116" s="72"/>
      <c r="AV116" s="72"/>
      <c r="AW116" s="77" t="s">
        <v>2210</v>
      </c>
      <c r="AX116" s="55" t="s">
        <v>1517</v>
      </c>
    </row>
    <row r="117" spans="1:100" x14ac:dyDescent="0.3">
      <c r="A117" s="43">
        <v>116</v>
      </c>
      <c r="B117" s="43">
        <v>59</v>
      </c>
      <c r="C117" s="70" t="s">
        <v>2541</v>
      </c>
      <c r="D117" s="126">
        <v>6</v>
      </c>
      <c r="E117" s="72" t="s">
        <v>132</v>
      </c>
      <c r="F117" s="66" t="s">
        <v>342</v>
      </c>
      <c r="G117" s="67">
        <v>29769</v>
      </c>
      <c r="H117" s="47">
        <f t="shared" ref="H117:H125" si="23">+DATE(YEAR(G117)+57,MONTH(G117),DAY(G117))</f>
        <v>50588</v>
      </c>
      <c r="I117" s="48">
        <f t="shared" ref="I117:I148" si="24">+EOMONTH(H117,0)+1</f>
        <v>50618</v>
      </c>
      <c r="J117" s="48">
        <v>50618</v>
      </c>
      <c r="K117" s="67">
        <v>37257</v>
      </c>
      <c r="L117" s="152" t="s">
        <v>717</v>
      </c>
      <c r="M117" s="105" t="s">
        <v>287</v>
      </c>
      <c r="N117" s="70" t="s">
        <v>286</v>
      </c>
      <c r="O117" s="67">
        <v>41456</v>
      </c>
      <c r="P117" s="92"/>
      <c r="Q117" s="68" t="s">
        <v>74</v>
      </c>
      <c r="R117" s="70">
        <v>1.68</v>
      </c>
      <c r="S117" s="71">
        <v>0.06</v>
      </c>
      <c r="T117" s="72"/>
      <c r="U117" s="52">
        <f t="shared" si="15"/>
        <v>8920800</v>
      </c>
      <c r="V117" s="52">
        <f t="shared" si="21"/>
        <v>297600</v>
      </c>
      <c r="W117" s="52">
        <f t="shared" si="20"/>
        <v>0</v>
      </c>
      <c r="X117" s="52">
        <f t="shared" si="14"/>
        <v>9218400</v>
      </c>
      <c r="Y117" s="52">
        <f>+VLOOKUP(E117,[2]Sheet1!$B$11:$J$400,9,0)</f>
        <v>8143200</v>
      </c>
      <c r="Z117" s="52"/>
      <c r="AA117" s="53" t="s">
        <v>1612</v>
      </c>
      <c r="AB117" s="72" t="s">
        <v>864</v>
      </c>
      <c r="AC117" s="45" t="str">
        <f>+VLOOKUP(E117,[3]Sheet1!$B$11:$I$388,8,0)</f>
        <v>79 - 034</v>
      </c>
      <c r="AD117" s="72" t="s">
        <v>1787</v>
      </c>
      <c r="AE117" s="72" t="s">
        <v>2804</v>
      </c>
      <c r="AF117" s="66">
        <v>164106424</v>
      </c>
      <c r="AG117" s="45">
        <f t="shared" si="22"/>
        <v>164106424</v>
      </c>
      <c r="AH117" s="72" t="s">
        <v>1058</v>
      </c>
      <c r="AI117" s="72" t="s">
        <v>937</v>
      </c>
      <c r="AJ117" s="72" t="s">
        <v>1059</v>
      </c>
      <c r="AK117" s="76" t="s">
        <v>1060</v>
      </c>
      <c r="AL117" s="72"/>
      <c r="AM117" s="72" t="s">
        <v>96</v>
      </c>
      <c r="AN117" s="72"/>
      <c r="AO117" s="72"/>
      <c r="AP117" s="72"/>
      <c r="AQ117" s="72"/>
      <c r="AR117" s="72"/>
      <c r="AS117" s="72"/>
      <c r="AT117" s="72"/>
      <c r="AU117" s="72"/>
      <c r="AV117" s="72"/>
      <c r="AW117" s="77" t="s">
        <v>2211</v>
      </c>
      <c r="AX117" s="55" t="s">
        <v>1517</v>
      </c>
    </row>
    <row r="118" spans="1:100" x14ac:dyDescent="0.3">
      <c r="A118" s="43">
        <v>117</v>
      </c>
      <c r="B118" s="43">
        <v>60</v>
      </c>
      <c r="C118" s="70" t="s">
        <v>2541</v>
      </c>
      <c r="D118" s="126">
        <v>7</v>
      </c>
      <c r="E118" s="65" t="s">
        <v>145</v>
      </c>
      <c r="F118" s="66" t="s">
        <v>361</v>
      </c>
      <c r="G118" s="67">
        <v>27934</v>
      </c>
      <c r="H118" s="47">
        <f t="shared" si="23"/>
        <v>48753</v>
      </c>
      <c r="I118" s="48">
        <f t="shared" si="24"/>
        <v>48761</v>
      </c>
      <c r="J118" s="48">
        <v>48761</v>
      </c>
      <c r="K118" s="67">
        <v>34820</v>
      </c>
      <c r="L118" s="152" t="s">
        <v>717</v>
      </c>
      <c r="M118" s="105" t="s">
        <v>287</v>
      </c>
      <c r="N118" s="70" t="s">
        <v>281</v>
      </c>
      <c r="O118" s="67">
        <v>43405</v>
      </c>
      <c r="P118" s="68" t="s">
        <v>3238</v>
      </c>
      <c r="Q118" s="68" t="s">
        <v>74</v>
      </c>
      <c r="R118" s="70">
        <v>1.68</v>
      </c>
      <c r="S118" s="71">
        <v>0.04</v>
      </c>
      <c r="T118" s="72"/>
      <c r="U118" s="52">
        <f t="shared" si="15"/>
        <v>8920800</v>
      </c>
      <c r="V118" s="52">
        <f t="shared" si="21"/>
        <v>198400</v>
      </c>
      <c r="W118" s="52">
        <f t="shared" si="20"/>
        <v>0</v>
      </c>
      <c r="X118" s="52">
        <f t="shared" si="14"/>
        <v>9119200</v>
      </c>
      <c r="Y118" s="52">
        <f>+VLOOKUP(E118,[2]Sheet1!$B$11:$J$400,9,0)</f>
        <v>7394400</v>
      </c>
      <c r="Z118" s="52"/>
      <c r="AA118" s="53" t="s">
        <v>1631</v>
      </c>
      <c r="AB118" s="72" t="s">
        <v>1106</v>
      </c>
      <c r="AC118" s="45" t="str">
        <f>+VLOOKUP(E118,[3]Sheet1!$B$11:$I$388,8,0)</f>
        <v>79 - 034</v>
      </c>
      <c r="AD118" s="72" t="s">
        <v>1787</v>
      </c>
      <c r="AE118" s="72" t="s">
        <v>2806</v>
      </c>
      <c r="AF118" s="66">
        <v>272429292</v>
      </c>
      <c r="AG118" s="45">
        <f>+VALUE(AF118:AF540)</f>
        <v>272429292</v>
      </c>
      <c r="AH118" s="72" t="s">
        <v>1117</v>
      </c>
      <c r="AI118" s="72" t="s">
        <v>519</v>
      </c>
      <c r="AJ118" s="72" t="s">
        <v>1118</v>
      </c>
      <c r="AK118" s="76" t="s">
        <v>1119</v>
      </c>
      <c r="AL118" s="72"/>
      <c r="AM118" s="72"/>
      <c r="AN118" s="72"/>
      <c r="AO118" s="72"/>
      <c r="AP118" s="72" t="s">
        <v>511</v>
      </c>
      <c r="AQ118" s="72"/>
      <c r="AR118" s="72"/>
      <c r="AS118" s="72"/>
      <c r="AT118" s="72"/>
      <c r="AU118" s="72"/>
      <c r="AV118" s="72"/>
      <c r="AW118" s="55" t="s">
        <v>2230</v>
      </c>
      <c r="AX118" s="55" t="s">
        <v>1517</v>
      </c>
    </row>
    <row r="119" spans="1:100" x14ac:dyDescent="0.3">
      <c r="A119" s="43">
        <v>118</v>
      </c>
      <c r="B119" s="43">
        <v>61</v>
      </c>
      <c r="C119" s="70" t="s">
        <v>2541</v>
      </c>
      <c r="D119" s="126">
        <v>8</v>
      </c>
      <c r="E119" s="65" t="s">
        <v>135</v>
      </c>
      <c r="F119" s="66" t="s">
        <v>345</v>
      </c>
      <c r="G119" s="67">
        <v>29723</v>
      </c>
      <c r="H119" s="47">
        <f t="shared" si="23"/>
        <v>50542</v>
      </c>
      <c r="I119" s="48">
        <f t="shared" si="24"/>
        <v>50557</v>
      </c>
      <c r="J119" s="48">
        <v>50557</v>
      </c>
      <c r="K119" s="67">
        <v>39479</v>
      </c>
      <c r="L119" s="152" t="s">
        <v>717</v>
      </c>
      <c r="M119" s="105" t="s">
        <v>287</v>
      </c>
      <c r="N119" s="70" t="s">
        <v>281</v>
      </c>
      <c r="O119" s="67">
        <v>41640</v>
      </c>
      <c r="P119" s="68"/>
      <c r="Q119" s="68" t="s">
        <v>71</v>
      </c>
      <c r="R119" s="70">
        <v>1.49</v>
      </c>
      <c r="S119" s="71"/>
      <c r="T119" s="72"/>
      <c r="U119" s="52">
        <f t="shared" si="15"/>
        <v>7911900</v>
      </c>
      <c r="V119" s="52">
        <f t="shared" si="21"/>
        <v>0</v>
      </c>
      <c r="W119" s="52">
        <f t="shared" si="20"/>
        <v>0</v>
      </c>
      <c r="X119" s="52">
        <f t="shared" si="14"/>
        <v>7911900</v>
      </c>
      <c r="Y119" s="52">
        <f>+VLOOKUP(E119,[2]Sheet1!$B$11:$J$400,9,0)</f>
        <v>6973200</v>
      </c>
      <c r="Z119" s="52"/>
      <c r="AA119" s="53" t="s">
        <v>1615</v>
      </c>
      <c r="AB119" s="72" t="s">
        <v>595</v>
      </c>
      <c r="AC119" s="45" t="str">
        <f>+VLOOKUP(E119,[3]Sheet1!$B$11:$I$388,8,0)</f>
        <v>79 - 037</v>
      </c>
      <c r="AD119" s="72" t="s">
        <v>1787</v>
      </c>
      <c r="AE119" s="72" t="s">
        <v>2807</v>
      </c>
      <c r="AF119" s="66">
        <v>281012111</v>
      </c>
      <c r="AG119" s="45">
        <f>+VALUE(AF119:AF518)</f>
        <v>281012111</v>
      </c>
      <c r="AH119" s="72" t="s">
        <v>1068</v>
      </c>
      <c r="AI119" s="72" t="s">
        <v>579</v>
      </c>
      <c r="AJ119" s="72" t="s">
        <v>1069</v>
      </c>
      <c r="AK119" s="76" t="s">
        <v>1070</v>
      </c>
      <c r="AL119" s="72"/>
      <c r="AM119" s="72"/>
      <c r="AN119" s="72"/>
      <c r="AO119" s="72" t="s">
        <v>504</v>
      </c>
      <c r="AP119" s="72"/>
      <c r="AQ119" s="72"/>
      <c r="AR119" s="72"/>
      <c r="AS119" s="72"/>
      <c r="AT119" s="72"/>
      <c r="AU119" s="72"/>
      <c r="AV119" s="72"/>
      <c r="AW119" s="77" t="s">
        <v>2213</v>
      </c>
      <c r="AX119" s="55" t="s">
        <v>1517</v>
      </c>
    </row>
    <row r="120" spans="1:100" x14ac:dyDescent="0.3">
      <c r="A120" s="43">
        <v>119</v>
      </c>
      <c r="B120" s="43">
        <v>62</v>
      </c>
      <c r="C120" s="70" t="s">
        <v>2541</v>
      </c>
      <c r="D120" s="126">
        <v>9</v>
      </c>
      <c r="E120" s="65" t="s">
        <v>139</v>
      </c>
      <c r="F120" s="66" t="s">
        <v>352</v>
      </c>
      <c r="G120" s="67">
        <v>34268</v>
      </c>
      <c r="H120" s="47">
        <f t="shared" si="23"/>
        <v>55087</v>
      </c>
      <c r="I120" s="48">
        <f t="shared" si="24"/>
        <v>55093</v>
      </c>
      <c r="J120" s="48">
        <v>55093</v>
      </c>
      <c r="K120" s="67">
        <v>41671</v>
      </c>
      <c r="L120" s="152" t="s">
        <v>717</v>
      </c>
      <c r="M120" s="105" t="s">
        <v>287</v>
      </c>
      <c r="N120" s="70" t="s">
        <v>281</v>
      </c>
      <c r="O120" s="67">
        <v>42370</v>
      </c>
      <c r="P120" s="68"/>
      <c r="Q120" s="124" t="s">
        <v>71</v>
      </c>
      <c r="R120" s="70">
        <v>1.49</v>
      </c>
      <c r="S120" s="71"/>
      <c r="T120" s="72"/>
      <c r="U120" s="52">
        <f t="shared" si="15"/>
        <v>7911900</v>
      </c>
      <c r="V120" s="52">
        <f t="shared" si="21"/>
        <v>0</v>
      </c>
      <c r="W120" s="52">
        <f t="shared" si="20"/>
        <v>0</v>
      </c>
      <c r="X120" s="52">
        <f t="shared" si="14"/>
        <v>7911900</v>
      </c>
      <c r="Y120" s="52">
        <f>+VLOOKUP(E120,[2]Sheet1!$B$11:$J$400,9,0)</f>
        <v>6973200</v>
      </c>
      <c r="Z120" s="52"/>
      <c r="AA120" s="53" t="s">
        <v>1622</v>
      </c>
      <c r="AB120" s="72" t="s">
        <v>1088</v>
      </c>
      <c r="AC120" s="45" t="str">
        <f>+VLOOKUP(E120,[3]Sheet1!$B$11:$I$388,8,0)</f>
        <v>79 - 034</v>
      </c>
      <c r="AD120" s="72" t="s">
        <v>1787</v>
      </c>
      <c r="AE120" s="72" t="s">
        <v>2808</v>
      </c>
      <c r="AF120" s="66">
        <v>145489239</v>
      </c>
      <c r="AG120" s="45">
        <f ca="1">+VALUE(AG120:AG516)</f>
        <v>145489239</v>
      </c>
      <c r="AH120" s="72" t="s">
        <v>1089</v>
      </c>
      <c r="AI120" s="72" t="s">
        <v>1090</v>
      </c>
      <c r="AJ120" s="72" t="s">
        <v>1091</v>
      </c>
      <c r="AK120" s="76" t="s">
        <v>769</v>
      </c>
      <c r="AL120" s="72"/>
      <c r="AM120" s="72"/>
      <c r="AN120" s="72"/>
      <c r="AO120" s="72"/>
      <c r="AP120" s="72" t="s">
        <v>511</v>
      </c>
      <c r="AQ120" s="72"/>
      <c r="AR120" s="72"/>
      <c r="AS120" s="72"/>
      <c r="AT120" s="72"/>
      <c r="AU120" s="72"/>
      <c r="AV120" s="72"/>
      <c r="AW120" s="77" t="s">
        <v>2214</v>
      </c>
      <c r="AX120" s="55" t="s">
        <v>1517</v>
      </c>
    </row>
    <row r="121" spans="1:100" x14ac:dyDescent="0.3">
      <c r="A121" s="43">
        <v>120</v>
      </c>
      <c r="B121" s="43">
        <v>63</v>
      </c>
      <c r="C121" s="70" t="s">
        <v>2541</v>
      </c>
      <c r="D121" s="126">
        <v>10</v>
      </c>
      <c r="E121" s="65" t="s">
        <v>3169</v>
      </c>
      <c r="F121" s="66" t="s">
        <v>3170</v>
      </c>
      <c r="G121" s="67">
        <v>36728</v>
      </c>
      <c r="H121" s="47">
        <f t="shared" si="23"/>
        <v>57547</v>
      </c>
      <c r="I121" s="48">
        <f t="shared" si="24"/>
        <v>57558</v>
      </c>
      <c r="J121" s="48">
        <v>57194</v>
      </c>
      <c r="K121" s="67">
        <v>45413</v>
      </c>
      <c r="L121" s="152" t="s">
        <v>717</v>
      </c>
      <c r="M121" s="105" t="s">
        <v>287</v>
      </c>
      <c r="N121" s="70" t="s">
        <v>281</v>
      </c>
      <c r="O121" s="67">
        <v>45413</v>
      </c>
      <c r="P121" s="68"/>
      <c r="Q121" s="68" t="s">
        <v>72</v>
      </c>
      <c r="R121" s="70">
        <v>1.41</v>
      </c>
      <c r="S121" s="71"/>
      <c r="T121" s="72"/>
      <c r="U121" s="52">
        <f t="shared" si="15"/>
        <v>7487100</v>
      </c>
      <c r="V121" s="52">
        <f t="shared" si="21"/>
        <v>0</v>
      </c>
      <c r="W121" s="52">
        <f t="shared" si="20"/>
        <v>0</v>
      </c>
      <c r="X121" s="52">
        <f t="shared" si="14"/>
        <v>7487100</v>
      </c>
      <c r="Y121" s="52">
        <v>6598800</v>
      </c>
      <c r="Z121" s="52"/>
      <c r="AA121" s="153" t="s">
        <v>3207</v>
      </c>
      <c r="AB121" s="72" t="s">
        <v>3271</v>
      </c>
      <c r="AC121" s="45" t="e">
        <f>+VLOOKUP(E121,[3]Sheet1!$B$11:$I$388,8,0)</f>
        <v>#N/A</v>
      </c>
      <c r="AD121" s="72" t="s">
        <v>1787</v>
      </c>
      <c r="AE121" s="79" t="s">
        <v>3171</v>
      </c>
      <c r="AF121" s="66"/>
      <c r="AG121" s="45"/>
      <c r="AH121" s="80" t="s">
        <v>2522</v>
      </c>
      <c r="AI121" s="72" t="s">
        <v>2427</v>
      </c>
      <c r="AJ121" s="72" t="s">
        <v>2518</v>
      </c>
      <c r="AK121" s="76">
        <v>23119</v>
      </c>
      <c r="AL121" s="72"/>
      <c r="AM121" s="72"/>
      <c r="AN121" s="72" t="s">
        <v>3172</v>
      </c>
      <c r="AO121" s="72"/>
      <c r="AP121" s="72"/>
      <c r="AQ121" s="67">
        <v>45413</v>
      </c>
      <c r="AR121" s="72"/>
      <c r="AS121" s="67">
        <v>45444</v>
      </c>
      <c r="AT121" s="67"/>
      <c r="AU121" s="72"/>
      <c r="AV121" s="67"/>
      <c r="AW121" s="77" t="s">
        <v>3173</v>
      </c>
      <c r="AX121" s="55" t="s">
        <v>1517</v>
      </c>
    </row>
    <row r="122" spans="1:100" x14ac:dyDescent="0.3">
      <c r="A122" s="43">
        <v>121</v>
      </c>
      <c r="B122" s="43">
        <v>64</v>
      </c>
      <c r="C122" s="70" t="s">
        <v>2541</v>
      </c>
      <c r="D122" s="126">
        <v>11</v>
      </c>
      <c r="E122" s="65" t="s">
        <v>3175</v>
      </c>
      <c r="F122" s="66" t="s">
        <v>3176</v>
      </c>
      <c r="G122" s="67">
        <v>34262</v>
      </c>
      <c r="H122" s="47">
        <f t="shared" si="23"/>
        <v>55081</v>
      </c>
      <c r="I122" s="48">
        <f t="shared" si="24"/>
        <v>55093</v>
      </c>
      <c r="J122" s="48">
        <v>57195</v>
      </c>
      <c r="K122" s="67">
        <v>45413</v>
      </c>
      <c r="L122" s="152" t="s">
        <v>717</v>
      </c>
      <c r="M122" s="105" t="s">
        <v>287</v>
      </c>
      <c r="N122" s="70" t="s">
        <v>281</v>
      </c>
      <c r="O122" s="67">
        <v>45413</v>
      </c>
      <c r="P122" s="68"/>
      <c r="Q122" s="68" t="s">
        <v>72</v>
      </c>
      <c r="R122" s="70">
        <v>1.41</v>
      </c>
      <c r="S122" s="71"/>
      <c r="T122" s="72"/>
      <c r="U122" s="52">
        <f t="shared" si="15"/>
        <v>7487100</v>
      </c>
      <c r="V122" s="52">
        <f t="shared" si="21"/>
        <v>0</v>
      </c>
      <c r="W122" s="52">
        <f t="shared" si="20"/>
        <v>0</v>
      </c>
      <c r="X122" s="52">
        <f t="shared" si="14"/>
        <v>7487100</v>
      </c>
      <c r="Y122" s="52">
        <v>6598800</v>
      </c>
      <c r="Z122" s="52"/>
      <c r="AA122" s="53" t="s">
        <v>3208</v>
      </c>
      <c r="AB122" s="72"/>
      <c r="AC122" s="45" t="e">
        <f>+VLOOKUP(E122,[3]Sheet1!$B$11:$I$388,8,0)</f>
        <v>#N/A</v>
      </c>
      <c r="AD122" s="72" t="s">
        <v>1787</v>
      </c>
      <c r="AE122" s="79" t="s">
        <v>3177</v>
      </c>
      <c r="AF122" s="66"/>
      <c r="AG122" s="45"/>
      <c r="AH122" s="80" t="s">
        <v>3178</v>
      </c>
      <c r="AI122" s="72" t="s">
        <v>2427</v>
      </c>
      <c r="AJ122" s="72" t="s">
        <v>3180</v>
      </c>
      <c r="AK122" s="72" t="s">
        <v>3179</v>
      </c>
      <c r="AL122" s="72"/>
      <c r="AM122" s="72"/>
      <c r="AN122" s="72"/>
      <c r="AO122" s="72" t="s">
        <v>564</v>
      </c>
      <c r="AP122" s="72"/>
      <c r="AQ122" s="67">
        <v>45413</v>
      </c>
      <c r="AR122" s="72"/>
      <c r="AS122" s="67">
        <v>45444</v>
      </c>
      <c r="AT122" s="67"/>
      <c r="AU122" s="72"/>
      <c r="AV122" s="67"/>
      <c r="AW122" s="77" t="s">
        <v>3181</v>
      </c>
      <c r="AX122" s="55" t="s">
        <v>1517</v>
      </c>
    </row>
    <row r="123" spans="1:100" x14ac:dyDescent="0.3">
      <c r="A123" s="43">
        <v>122</v>
      </c>
      <c r="B123" s="43">
        <v>65</v>
      </c>
      <c r="C123" s="70" t="s">
        <v>2541</v>
      </c>
      <c r="D123" s="126">
        <v>12</v>
      </c>
      <c r="E123" s="78" t="s">
        <v>3087</v>
      </c>
      <c r="F123" s="66" t="s">
        <v>3088</v>
      </c>
      <c r="G123" s="67">
        <v>33310</v>
      </c>
      <c r="H123" s="47">
        <f>+DATE(YEAR(G123)+57,MONTH(G123),DAY(G123))</f>
        <v>54130</v>
      </c>
      <c r="I123" s="48">
        <v>55975</v>
      </c>
      <c r="J123" s="48">
        <v>55975</v>
      </c>
      <c r="K123" s="67">
        <v>45261</v>
      </c>
      <c r="L123" s="152" t="s">
        <v>717</v>
      </c>
      <c r="M123" s="122" t="s">
        <v>287</v>
      </c>
      <c r="N123" s="70" t="s">
        <v>281</v>
      </c>
      <c r="O123" s="67">
        <v>45261</v>
      </c>
      <c r="P123" s="68"/>
      <c r="Q123" s="68" t="s">
        <v>72</v>
      </c>
      <c r="R123" s="70">
        <v>1.41</v>
      </c>
      <c r="S123" s="71"/>
      <c r="T123" s="72"/>
      <c r="U123" s="52">
        <f t="shared" si="15"/>
        <v>7487100</v>
      </c>
      <c r="V123" s="52">
        <f>+S123*4960000</f>
        <v>0</v>
      </c>
      <c r="W123" s="52">
        <f>+T123*2340000</f>
        <v>0</v>
      </c>
      <c r="X123" s="52">
        <f>+U123+V123+W123</f>
        <v>7487100</v>
      </c>
      <c r="Y123" s="52">
        <f>+VLOOKUP(E123,[2]Sheet1!$B$11:$J$400,9,0)</f>
        <v>6598800</v>
      </c>
      <c r="Z123" s="52"/>
      <c r="AA123" s="53" t="s">
        <v>3217</v>
      </c>
      <c r="AB123" s="72" t="s">
        <v>3430</v>
      </c>
      <c r="AC123" s="45" t="str">
        <f>+VLOOKUP(E123,[3]Sheet1!$B$11:$I$388,8,0)</f>
        <v>75 - 013</v>
      </c>
      <c r="AD123" s="72" t="s">
        <v>1787</v>
      </c>
      <c r="AE123" s="128" t="s">
        <v>3089</v>
      </c>
      <c r="AF123" s="66"/>
      <c r="AG123" s="72"/>
      <c r="AH123" s="80" t="s">
        <v>1828</v>
      </c>
      <c r="AI123" s="72" t="s">
        <v>2427</v>
      </c>
      <c r="AJ123" s="72" t="s">
        <v>3090</v>
      </c>
      <c r="AK123" s="72" t="s">
        <v>3090</v>
      </c>
      <c r="AL123" s="72"/>
      <c r="AM123" s="72" t="s">
        <v>89</v>
      </c>
      <c r="AN123" s="72"/>
      <c r="AO123" s="72"/>
      <c r="AP123" s="72"/>
      <c r="AQ123" s="67">
        <v>45261</v>
      </c>
      <c r="AR123" s="72"/>
      <c r="AS123" s="67">
        <v>45292</v>
      </c>
      <c r="AT123" s="72"/>
      <c r="AU123" s="72"/>
      <c r="AV123" s="67">
        <v>46023</v>
      </c>
      <c r="AW123" s="127" t="s">
        <v>3091</v>
      </c>
      <c r="AX123" s="82" t="s">
        <v>1517</v>
      </c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</row>
    <row r="124" spans="1:100" x14ac:dyDescent="0.3">
      <c r="A124" s="43">
        <v>123</v>
      </c>
      <c r="B124" s="43">
        <v>66</v>
      </c>
      <c r="C124" s="70" t="s">
        <v>2541</v>
      </c>
      <c r="D124" s="148">
        <v>1</v>
      </c>
      <c r="E124" s="65" t="s">
        <v>1819</v>
      </c>
      <c r="F124" s="66" t="s">
        <v>346</v>
      </c>
      <c r="G124" s="67">
        <v>26160</v>
      </c>
      <c r="H124" s="47">
        <f t="shared" si="23"/>
        <v>46980</v>
      </c>
      <c r="I124" s="48">
        <f t="shared" si="24"/>
        <v>46997</v>
      </c>
      <c r="J124" s="48">
        <v>46997</v>
      </c>
      <c r="K124" s="67">
        <v>34973</v>
      </c>
      <c r="L124" s="121" t="s">
        <v>718</v>
      </c>
      <c r="M124" s="105" t="s">
        <v>287</v>
      </c>
      <c r="N124" s="70" t="s">
        <v>284</v>
      </c>
      <c r="O124" s="67">
        <v>43908</v>
      </c>
      <c r="P124" s="68"/>
      <c r="Q124" s="68" t="s">
        <v>74</v>
      </c>
      <c r="R124" s="70">
        <v>1.68</v>
      </c>
      <c r="S124" s="71">
        <v>0.06</v>
      </c>
      <c r="T124" s="72"/>
      <c r="U124" s="52">
        <f t="shared" si="15"/>
        <v>8920800</v>
      </c>
      <c r="V124" s="52">
        <f t="shared" si="21"/>
        <v>297600</v>
      </c>
      <c r="W124" s="52">
        <f t="shared" si="20"/>
        <v>0</v>
      </c>
      <c r="X124" s="52">
        <f t="shared" si="14"/>
        <v>9218400</v>
      </c>
      <c r="Y124" s="52">
        <f>+VLOOKUP(E124,[2]Sheet1!$B$11:$J$400,9,0)</f>
        <v>8143200</v>
      </c>
      <c r="Z124" s="52"/>
      <c r="AA124" s="53" t="s">
        <v>1616</v>
      </c>
      <c r="AB124" s="72" t="s">
        <v>1071</v>
      </c>
      <c r="AC124" s="45" t="str">
        <f>+VLOOKUP(E124,[3]Sheet1!$B$11:$I$388,8,0)</f>
        <v>75 - 012</v>
      </c>
      <c r="AD124" s="72" t="s">
        <v>1787</v>
      </c>
      <c r="AE124" s="72" t="s">
        <v>2809</v>
      </c>
      <c r="AF124" s="66">
        <v>272624970</v>
      </c>
      <c r="AG124" s="45">
        <f>+VALUE(AF124:AF523)</f>
        <v>272624970</v>
      </c>
      <c r="AH124" s="72" t="s">
        <v>1072</v>
      </c>
      <c r="AI124" s="72" t="s">
        <v>519</v>
      </c>
      <c r="AJ124" s="72" t="s">
        <v>1073</v>
      </c>
      <c r="AK124" s="76" t="s">
        <v>1074</v>
      </c>
      <c r="AL124" s="72"/>
      <c r="AM124" s="72"/>
      <c r="AN124" s="72"/>
      <c r="AO124" s="72" t="s">
        <v>504</v>
      </c>
      <c r="AP124" s="72"/>
      <c r="AQ124" s="72"/>
      <c r="AR124" s="72"/>
      <c r="AS124" s="72"/>
      <c r="AT124" s="72"/>
      <c r="AU124" s="72"/>
      <c r="AV124" s="72"/>
      <c r="AW124" s="77" t="s">
        <v>2216</v>
      </c>
      <c r="AX124" s="55" t="s">
        <v>1517</v>
      </c>
    </row>
    <row r="125" spans="1:100" x14ac:dyDescent="0.3">
      <c r="A125" s="43">
        <v>124</v>
      </c>
      <c r="B125" s="43">
        <v>67</v>
      </c>
      <c r="C125" s="70" t="s">
        <v>2541</v>
      </c>
      <c r="D125" s="148">
        <v>2</v>
      </c>
      <c r="E125" s="65" t="s">
        <v>1820</v>
      </c>
      <c r="F125" s="66" t="s">
        <v>347</v>
      </c>
      <c r="G125" s="67">
        <v>26364</v>
      </c>
      <c r="H125" s="47">
        <f t="shared" si="23"/>
        <v>47183</v>
      </c>
      <c r="I125" s="48">
        <f t="shared" si="24"/>
        <v>47209</v>
      </c>
      <c r="J125" s="48">
        <v>47209</v>
      </c>
      <c r="K125" s="67">
        <v>35735</v>
      </c>
      <c r="L125" s="121" t="s">
        <v>718</v>
      </c>
      <c r="M125" s="105" t="s">
        <v>287</v>
      </c>
      <c r="N125" s="70" t="s">
        <v>281</v>
      </c>
      <c r="O125" s="67">
        <v>44078</v>
      </c>
      <c r="P125" s="68"/>
      <c r="Q125" s="68" t="s">
        <v>76</v>
      </c>
      <c r="R125" s="70">
        <v>1.58</v>
      </c>
      <c r="S125" s="71"/>
      <c r="T125" s="72"/>
      <c r="U125" s="52">
        <f t="shared" si="15"/>
        <v>8389800</v>
      </c>
      <c r="V125" s="52">
        <f t="shared" si="21"/>
        <v>0</v>
      </c>
      <c r="W125" s="52">
        <f t="shared" si="20"/>
        <v>0</v>
      </c>
      <c r="X125" s="52">
        <f t="shared" si="14"/>
        <v>8389800</v>
      </c>
      <c r="Y125" s="52">
        <f>+VLOOKUP(E125,[2]Sheet1!$B$11:$J$400,9,0)</f>
        <v>6973200</v>
      </c>
      <c r="Z125" s="52"/>
      <c r="AA125" s="53" t="s">
        <v>1617</v>
      </c>
      <c r="AB125" s="72" t="s">
        <v>1071</v>
      </c>
      <c r="AC125" s="45" t="str">
        <f>+VLOOKUP(E125,[3]Sheet1!$B$11:$I$388,8,0)</f>
        <v>75 - 250</v>
      </c>
      <c r="AD125" s="72" t="s">
        <v>1787</v>
      </c>
      <c r="AE125" s="72" t="s">
        <v>2810</v>
      </c>
      <c r="AF125" s="66">
        <v>272445141</v>
      </c>
      <c r="AG125" s="45">
        <f>+VALUE(AF125:AF524)</f>
        <v>272445141</v>
      </c>
      <c r="AH125" s="72" t="s">
        <v>1075</v>
      </c>
      <c r="AI125" s="72" t="s">
        <v>519</v>
      </c>
      <c r="AJ125" s="72" t="s">
        <v>1076</v>
      </c>
      <c r="AK125" s="76" t="s">
        <v>1077</v>
      </c>
      <c r="AL125" s="72"/>
      <c r="AM125" s="72"/>
      <c r="AN125" s="72"/>
      <c r="AO125" s="72" t="s">
        <v>504</v>
      </c>
      <c r="AP125" s="72"/>
      <c r="AQ125" s="72"/>
      <c r="AR125" s="72"/>
      <c r="AS125" s="72"/>
      <c r="AT125" s="72"/>
      <c r="AU125" s="72"/>
      <c r="AV125" s="72"/>
      <c r="AW125" s="77" t="s">
        <v>2217</v>
      </c>
      <c r="AX125" s="55" t="s">
        <v>1517</v>
      </c>
    </row>
    <row r="126" spans="1:100" x14ac:dyDescent="0.3">
      <c r="A126" s="43">
        <v>125</v>
      </c>
      <c r="B126" s="43">
        <v>68</v>
      </c>
      <c r="C126" s="70" t="s">
        <v>2541</v>
      </c>
      <c r="D126" s="148">
        <v>3</v>
      </c>
      <c r="E126" s="65" t="s">
        <v>1821</v>
      </c>
      <c r="F126" s="66" t="s">
        <v>348</v>
      </c>
      <c r="G126" s="67">
        <v>25849</v>
      </c>
      <c r="H126" s="47">
        <v>46575</v>
      </c>
      <c r="I126" s="48">
        <f t="shared" si="24"/>
        <v>46600</v>
      </c>
      <c r="J126" s="48">
        <v>46600</v>
      </c>
      <c r="K126" s="67">
        <v>34973</v>
      </c>
      <c r="L126" s="121" t="s">
        <v>718</v>
      </c>
      <c r="M126" s="105" t="s">
        <v>287</v>
      </c>
      <c r="N126" s="70" t="s">
        <v>281</v>
      </c>
      <c r="O126" s="67">
        <v>45261</v>
      </c>
      <c r="P126" s="68"/>
      <c r="Q126" s="68" t="s">
        <v>76</v>
      </c>
      <c r="R126" s="70">
        <v>1.58</v>
      </c>
      <c r="S126" s="71"/>
      <c r="T126" s="72"/>
      <c r="U126" s="52">
        <f t="shared" si="15"/>
        <v>8389800</v>
      </c>
      <c r="V126" s="52">
        <f t="shared" si="21"/>
        <v>0</v>
      </c>
      <c r="W126" s="52">
        <f t="shared" si="20"/>
        <v>0</v>
      </c>
      <c r="X126" s="52">
        <f t="shared" si="14"/>
        <v>8389800</v>
      </c>
      <c r="Y126" s="52">
        <f>+VLOOKUP(E126,[2]Sheet1!$B$11:$J$400,9,0)</f>
        <v>7394400</v>
      </c>
      <c r="Z126" s="52"/>
      <c r="AA126" s="53" t="s">
        <v>1618</v>
      </c>
      <c r="AB126" s="72" t="s">
        <v>1071</v>
      </c>
      <c r="AC126" s="45" t="str">
        <f>+VLOOKUP(E126,[3]Sheet1!$B$11:$I$388,8,0)</f>
        <v>75 - 012</v>
      </c>
      <c r="AD126" s="72" t="s">
        <v>1787</v>
      </c>
      <c r="AE126" s="72" t="s">
        <v>2811</v>
      </c>
      <c r="AF126" s="66">
        <v>171790816</v>
      </c>
      <c r="AG126" s="45">
        <f>+VALUE(AF126:AF525)</f>
        <v>171790816</v>
      </c>
      <c r="AH126" s="72" t="s">
        <v>1078</v>
      </c>
      <c r="AI126" s="72" t="s">
        <v>1062</v>
      </c>
      <c r="AJ126" s="72" t="s">
        <v>1073</v>
      </c>
      <c r="AK126" s="76" t="s">
        <v>1079</v>
      </c>
      <c r="AL126" s="72"/>
      <c r="AM126" s="72"/>
      <c r="AN126" s="72"/>
      <c r="AO126" s="72" t="s">
        <v>504</v>
      </c>
      <c r="AP126" s="72"/>
      <c r="AQ126" s="72"/>
      <c r="AR126" s="72"/>
      <c r="AS126" s="72"/>
      <c r="AT126" s="72"/>
      <c r="AU126" s="72"/>
      <c r="AV126" s="72"/>
      <c r="AW126" s="77" t="s">
        <v>2218</v>
      </c>
      <c r="AX126" s="55" t="s">
        <v>1517</v>
      </c>
    </row>
    <row r="127" spans="1:100" x14ac:dyDescent="0.3">
      <c r="A127" s="43">
        <v>126</v>
      </c>
      <c r="B127" s="43">
        <v>69</v>
      </c>
      <c r="C127" s="70" t="s">
        <v>2541</v>
      </c>
      <c r="D127" s="148">
        <v>4</v>
      </c>
      <c r="E127" s="78" t="s">
        <v>136</v>
      </c>
      <c r="F127" s="66" t="s">
        <v>349</v>
      </c>
      <c r="G127" s="67">
        <v>26460</v>
      </c>
      <c r="H127" s="47">
        <f t="shared" ref="H127:H139" si="25">+DATE(YEAR(G127)+57,MONTH(G127),DAY(G127))</f>
        <v>47279</v>
      </c>
      <c r="I127" s="48">
        <f t="shared" si="24"/>
        <v>47300</v>
      </c>
      <c r="J127" s="48">
        <v>47300</v>
      </c>
      <c r="K127" s="67">
        <v>34820</v>
      </c>
      <c r="L127" s="121" t="s">
        <v>718</v>
      </c>
      <c r="M127" s="105" t="s">
        <v>287</v>
      </c>
      <c r="N127" s="70" t="s">
        <v>281</v>
      </c>
      <c r="O127" s="67">
        <v>45444</v>
      </c>
      <c r="P127" s="68"/>
      <c r="Q127" s="68" t="s">
        <v>74</v>
      </c>
      <c r="R127" s="70">
        <v>1.68</v>
      </c>
      <c r="S127" s="71"/>
      <c r="T127" s="72"/>
      <c r="U127" s="52">
        <f t="shared" si="15"/>
        <v>8920800</v>
      </c>
      <c r="V127" s="52">
        <f t="shared" si="21"/>
        <v>0</v>
      </c>
      <c r="W127" s="52">
        <f t="shared" si="20"/>
        <v>0</v>
      </c>
      <c r="X127" s="52">
        <f t="shared" si="14"/>
        <v>8920800</v>
      </c>
      <c r="Y127" s="52">
        <f>+VLOOKUP(E127,[2]Sheet1!$B$11:$J$400,9,0)</f>
        <v>7862400</v>
      </c>
      <c r="Z127" s="52"/>
      <c r="AA127" s="53" t="s">
        <v>1619</v>
      </c>
      <c r="AB127" s="72" t="s">
        <v>1080</v>
      </c>
      <c r="AC127" s="45" t="str">
        <f>+VLOOKUP(E127,[3]Sheet1!$B$11:$I$388,8,0)</f>
        <v>75 - 012</v>
      </c>
      <c r="AD127" s="72" t="s">
        <v>1787</v>
      </c>
      <c r="AE127" s="72" t="s">
        <v>2812</v>
      </c>
      <c r="AF127" s="66">
        <v>151069785</v>
      </c>
      <c r="AG127" s="45">
        <f>+VALUE(AF127:AF526)</f>
        <v>151069785</v>
      </c>
      <c r="AH127" s="72" t="s">
        <v>1081</v>
      </c>
      <c r="AI127" s="72" t="s">
        <v>806</v>
      </c>
      <c r="AJ127" s="72" t="s">
        <v>1082</v>
      </c>
      <c r="AK127" s="76" t="s">
        <v>1079</v>
      </c>
      <c r="AL127" s="72"/>
      <c r="AM127" s="72"/>
      <c r="AN127" s="72"/>
      <c r="AO127" s="72" t="s">
        <v>504</v>
      </c>
      <c r="AP127" s="72"/>
      <c r="AQ127" s="72"/>
      <c r="AR127" s="72"/>
      <c r="AS127" s="72"/>
      <c r="AT127" s="72"/>
      <c r="AU127" s="72"/>
      <c r="AV127" s="72"/>
      <c r="AW127" s="77" t="s">
        <v>2219</v>
      </c>
      <c r="AX127" s="55" t="s">
        <v>1517</v>
      </c>
    </row>
    <row r="128" spans="1:100" s="82" customFormat="1" x14ac:dyDescent="0.3">
      <c r="A128" s="43">
        <v>127</v>
      </c>
      <c r="B128" s="43">
        <v>70</v>
      </c>
      <c r="C128" s="70" t="s">
        <v>2541</v>
      </c>
      <c r="D128" s="148">
        <v>5</v>
      </c>
      <c r="E128" s="65" t="s">
        <v>138</v>
      </c>
      <c r="F128" s="66" t="s">
        <v>351</v>
      </c>
      <c r="G128" s="67">
        <v>32386</v>
      </c>
      <c r="H128" s="47">
        <f t="shared" si="25"/>
        <v>53205</v>
      </c>
      <c r="I128" s="48">
        <f t="shared" si="24"/>
        <v>53206</v>
      </c>
      <c r="J128" s="48">
        <v>53206</v>
      </c>
      <c r="K128" s="67">
        <v>41671</v>
      </c>
      <c r="L128" s="121" t="s">
        <v>718</v>
      </c>
      <c r="M128" s="105" t="s">
        <v>287</v>
      </c>
      <c r="N128" s="70" t="s">
        <v>281</v>
      </c>
      <c r="O128" s="67">
        <v>45748</v>
      </c>
      <c r="P128" s="68"/>
      <c r="Q128" s="68" t="s">
        <v>76</v>
      </c>
      <c r="R128" s="70">
        <v>1.58</v>
      </c>
      <c r="S128" s="71"/>
      <c r="T128" s="72"/>
      <c r="U128" s="52">
        <f t="shared" si="15"/>
        <v>8389800</v>
      </c>
      <c r="V128" s="52">
        <f t="shared" si="21"/>
        <v>0</v>
      </c>
      <c r="W128" s="52">
        <f t="shared" si="20"/>
        <v>0</v>
      </c>
      <c r="X128" s="52">
        <f t="shared" si="14"/>
        <v>8389800</v>
      </c>
      <c r="Y128" s="52">
        <f>+VLOOKUP(E128,[2]Sheet1!$B$11:$J$400,9,0)</f>
        <v>6973200</v>
      </c>
      <c r="Z128" s="52"/>
      <c r="AA128" s="53" t="s">
        <v>1621</v>
      </c>
      <c r="AB128" s="72" t="s">
        <v>1086</v>
      </c>
      <c r="AC128" s="45" t="str">
        <f>+VLOOKUP(E128,[3]Sheet1!$B$11:$I$388,8,0)</f>
        <v>75 - 026</v>
      </c>
      <c r="AD128" s="72" t="s">
        <v>1787</v>
      </c>
      <c r="AE128" s="72" t="s">
        <v>2813</v>
      </c>
      <c r="AF128" s="66">
        <v>271784084</v>
      </c>
      <c r="AG128" s="45">
        <f>+VALUE(AF128:AF528)</f>
        <v>271784084</v>
      </c>
      <c r="AH128" s="72" t="s">
        <v>626</v>
      </c>
      <c r="AI128" s="72" t="s">
        <v>519</v>
      </c>
      <c r="AJ128" s="72" t="s">
        <v>1087</v>
      </c>
      <c r="AK128" s="76" t="s">
        <v>1074</v>
      </c>
      <c r="AL128" s="72"/>
      <c r="AM128" s="72"/>
      <c r="AN128" s="72"/>
      <c r="AO128" s="72"/>
      <c r="AP128" s="72" t="s">
        <v>511</v>
      </c>
      <c r="AQ128" s="72"/>
      <c r="AR128" s="72"/>
      <c r="AS128" s="72"/>
      <c r="AT128" s="72"/>
      <c r="AU128" s="72"/>
      <c r="AV128" s="72"/>
      <c r="AW128" s="55" t="s">
        <v>2221</v>
      </c>
      <c r="AX128" s="55" t="s">
        <v>1517</v>
      </c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  <c r="BJ128" s="55"/>
      <c r="BK128" s="55"/>
      <c r="BL128" s="55"/>
      <c r="BM128" s="55"/>
      <c r="BN128" s="55"/>
      <c r="BO128" s="55"/>
      <c r="BP128" s="55"/>
      <c r="BQ128" s="55"/>
      <c r="BR128" s="55"/>
      <c r="BS128" s="55"/>
      <c r="BT128" s="55"/>
      <c r="BU128" s="55"/>
      <c r="BV128" s="55"/>
      <c r="BW128" s="55"/>
      <c r="BX128" s="55"/>
      <c r="BY128" s="55"/>
      <c r="BZ128" s="55"/>
      <c r="CA128" s="55"/>
      <c r="CB128" s="55"/>
      <c r="CC128" s="55"/>
      <c r="CD128" s="55"/>
      <c r="CE128" s="55"/>
      <c r="CF128" s="55"/>
      <c r="CG128" s="55"/>
      <c r="CH128" s="55"/>
      <c r="CI128" s="55"/>
      <c r="CJ128" s="55"/>
      <c r="CK128" s="55"/>
      <c r="CL128" s="55"/>
      <c r="CM128" s="55"/>
      <c r="CN128" s="55"/>
      <c r="CO128" s="55"/>
      <c r="CP128" s="55"/>
      <c r="CQ128" s="55"/>
      <c r="CR128" s="55"/>
      <c r="CS128" s="55"/>
      <c r="CT128" s="55"/>
      <c r="CU128" s="55"/>
      <c r="CV128" s="55"/>
    </row>
    <row r="129" spans="1:100" s="82" customFormat="1" x14ac:dyDescent="0.3">
      <c r="A129" s="43">
        <v>128</v>
      </c>
      <c r="B129" s="43">
        <v>71</v>
      </c>
      <c r="C129" s="70" t="s">
        <v>2541</v>
      </c>
      <c r="D129" s="148">
        <v>6</v>
      </c>
      <c r="E129" s="78" t="s">
        <v>140</v>
      </c>
      <c r="F129" s="66" t="s">
        <v>353</v>
      </c>
      <c r="G129" s="67">
        <v>29501</v>
      </c>
      <c r="H129" s="47">
        <f t="shared" si="25"/>
        <v>50320</v>
      </c>
      <c r="I129" s="48">
        <f t="shared" si="24"/>
        <v>50345</v>
      </c>
      <c r="J129" s="48">
        <v>50345</v>
      </c>
      <c r="K129" s="67">
        <v>37622</v>
      </c>
      <c r="L129" s="121" t="s">
        <v>718</v>
      </c>
      <c r="M129" s="105" t="s">
        <v>287</v>
      </c>
      <c r="N129" s="70" t="s">
        <v>281</v>
      </c>
      <c r="O129" s="67">
        <v>44027</v>
      </c>
      <c r="P129" s="68"/>
      <c r="Q129" s="68" t="s">
        <v>76</v>
      </c>
      <c r="R129" s="70">
        <v>1.58</v>
      </c>
      <c r="S129" s="71"/>
      <c r="T129" s="72"/>
      <c r="U129" s="52">
        <f t="shared" si="15"/>
        <v>8389800</v>
      </c>
      <c r="V129" s="52">
        <f t="shared" si="21"/>
        <v>0</v>
      </c>
      <c r="W129" s="52">
        <f t="shared" si="20"/>
        <v>0</v>
      </c>
      <c r="X129" s="52">
        <f t="shared" si="14"/>
        <v>8389800</v>
      </c>
      <c r="Y129" s="52">
        <f>+VLOOKUP(E129,[2]Sheet1!$B$11:$J$400,9,0)</f>
        <v>7394400</v>
      </c>
      <c r="Z129" s="52"/>
      <c r="AA129" s="53" t="s">
        <v>1623</v>
      </c>
      <c r="AB129" s="72" t="s">
        <v>1092</v>
      </c>
      <c r="AC129" s="45" t="str">
        <f>+VLOOKUP(E129,[3]Sheet1!$B$11:$I$388,8,0)</f>
        <v>75 - 012</v>
      </c>
      <c r="AD129" s="72" t="s">
        <v>1787</v>
      </c>
      <c r="AE129" s="72" t="s">
        <v>2814</v>
      </c>
      <c r="AF129" s="66">
        <v>272720899</v>
      </c>
      <c r="AG129" s="45">
        <f>+VALUE(AF129:AF529)</f>
        <v>272720899</v>
      </c>
      <c r="AH129" s="72" t="s">
        <v>1093</v>
      </c>
      <c r="AI129" s="72" t="s">
        <v>519</v>
      </c>
      <c r="AJ129" s="72" t="s">
        <v>1094</v>
      </c>
      <c r="AK129" s="76" t="s">
        <v>1095</v>
      </c>
      <c r="AL129" s="72"/>
      <c r="AM129" s="72"/>
      <c r="AN129" s="72"/>
      <c r="AO129" s="72" t="s">
        <v>504</v>
      </c>
      <c r="AP129" s="72"/>
      <c r="AQ129" s="72"/>
      <c r="AR129" s="72"/>
      <c r="AS129" s="72"/>
      <c r="AT129" s="72"/>
      <c r="AU129" s="72"/>
      <c r="AV129" s="72"/>
      <c r="AW129" s="55" t="s">
        <v>2222</v>
      </c>
      <c r="AX129" s="55" t="s">
        <v>1517</v>
      </c>
      <c r="AY129" s="55"/>
      <c r="AZ129" s="55"/>
      <c r="BA129" s="55"/>
      <c r="BB129" s="55"/>
      <c r="BC129" s="55"/>
      <c r="BD129" s="55"/>
      <c r="BE129" s="55"/>
      <c r="BF129" s="55"/>
      <c r="BG129" s="55"/>
      <c r="BH129" s="55"/>
      <c r="BI129" s="55"/>
      <c r="BJ129" s="55"/>
      <c r="BK129" s="55"/>
      <c r="BL129" s="55"/>
      <c r="BM129" s="55"/>
      <c r="BN129" s="55"/>
      <c r="BO129" s="55"/>
      <c r="BP129" s="55"/>
      <c r="BQ129" s="55"/>
      <c r="BR129" s="55"/>
      <c r="BS129" s="55"/>
      <c r="BT129" s="55"/>
      <c r="BU129" s="55"/>
      <c r="BV129" s="55"/>
      <c r="BW129" s="55"/>
      <c r="BX129" s="55"/>
      <c r="BY129" s="55"/>
      <c r="BZ129" s="55"/>
      <c r="CA129" s="55"/>
      <c r="CB129" s="55"/>
      <c r="CC129" s="55"/>
      <c r="CD129" s="55"/>
      <c r="CE129" s="55"/>
      <c r="CF129" s="55"/>
      <c r="CG129" s="55"/>
      <c r="CH129" s="55"/>
      <c r="CI129" s="55"/>
      <c r="CJ129" s="55"/>
      <c r="CK129" s="55"/>
      <c r="CL129" s="55"/>
      <c r="CM129" s="55"/>
      <c r="CN129" s="55"/>
      <c r="CO129" s="55"/>
      <c r="CP129" s="55"/>
      <c r="CQ129" s="55"/>
      <c r="CR129" s="55"/>
      <c r="CS129" s="55"/>
      <c r="CT129" s="55"/>
      <c r="CU129" s="55"/>
      <c r="CV129" s="55"/>
    </row>
    <row r="130" spans="1:100" x14ac:dyDescent="0.3">
      <c r="A130" s="43">
        <v>129</v>
      </c>
      <c r="B130" s="43">
        <v>72</v>
      </c>
      <c r="C130" s="70" t="s">
        <v>2541</v>
      </c>
      <c r="D130" s="148">
        <v>7</v>
      </c>
      <c r="E130" s="78" t="s">
        <v>1885</v>
      </c>
      <c r="F130" s="66" t="s">
        <v>1891</v>
      </c>
      <c r="G130" s="67">
        <v>35273</v>
      </c>
      <c r="H130" s="47">
        <f t="shared" si="25"/>
        <v>56092</v>
      </c>
      <c r="I130" s="48">
        <f t="shared" si="24"/>
        <v>56097</v>
      </c>
      <c r="J130" s="48">
        <v>56097</v>
      </c>
      <c r="K130" s="67">
        <v>43476</v>
      </c>
      <c r="L130" s="121" t="s">
        <v>718</v>
      </c>
      <c r="M130" s="122" t="s">
        <v>287</v>
      </c>
      <c r="N130" s="106" t="s">
        <v>281</v>
      </c>
      <c r="O130" s="68" t="s">
        <v>3238</v>
      </c>
      <c r="P130" s="68"/>
      <c r="Q130" s="124" t="s">
        <v>71</v>
      </c>
      <c r="R130" s="70">
        <v>1.49</v>
      </c>
      <c r="S130" s="71"/>
      <c r="T130" s="72"/>
      <c r="U130" s="52">
        <f t="shared" si="15"/>
        <v>7911900</v>
      </c>
      <c r="V130" s="52">
        <f t="shared" si="21"/>
        <v>0</v>
      </c>
      <c r="W130" s="52">
        <f t="shared" ref="W130:W161" si="26">+T130*2340000</f>
        <v>0</v>
      </c>
      <c r="X130" s="52">
        <f t="shared" ref="X130:X192" si="27">+U130+V130+W130</f>
        <v>7911900</v>
      </c>
      <c r="Y130" s="52">
        <f>+VLOOKUP(E130,[2]Sheet1!$B$11:$J$400,9,0)</f>
        <v>6598800</v>
      </c>
      <c r="Z130" s="52"/>
      <c r="AA130" s="53" t="s">
        <v>1970</v>
      </c>
      <c r="AB130" s="72" t="s">
        <v>1971</v>
      </c>
      <c r="AC130" s="45" t="str">
        <f>+VLOOKUP(E130,[3]Sheet1!$B$11:$I$388,8,0)</f>
        <v>75 - 012</v>
      </c>
      <c r="AD130" s="72" t="s">
        <v>1787</v>
      </c>
      <c r="AE130" s="72" t="s">
        <v>2816</v>
      </c>
      <c r="AF130" s="66" t="s">
        <v>1886</v>
      </c>
      <c r="AG130" s="45">
        <f>+VALUE(AF130:AF531)</f>
        <v>194578412</v>
      </c>
      <c r="AH130" s="80" t="s">
        <v>1887</v>
      </c>
      <c r="AI130" s="72" t="s">
        <v>1859</v>
      </c>
      <c r="AJ130" s="72" t="s">
        <v>1888</v>
      </c>
      <c r="AK130" s="76" t="s">
        <v>1890</v>
      </c>
      <c r="AL130" s="72"/>
      <c r="AM130" s="72"/>
      <c r="AN130" s="72"/>
      <c r="AO130" s="72" t="s">
        <v>670</v>
      </c>
      <c r="AP130" s="72"/>
      <c r="AQ130" s="72"/>
      <c r="AR130" s="72"/>
      <c r="AS130" s="72"/>
      <c r="AT130" s="72"/>
      <c r="AU130" s="72"/>
      <c r="AV130" s="72"/>
      <c r="AW130" s="77" t="s">
        <v>2411</v>
      </c>
      <c r="AX130" s="55" t="s">
        <v>1517</v>
      </c>
    </row>
    <row r="131" spans="1:100" x14ac:dyDescent="0.3">
      <c r="A131" s="43">
        <v>130</v>
      </c>
      <c r="B131" s="43">
        <v>73</v>
      </c>
      <c r="C131" s="70" t="s">
        <v>2541</v>
      </c>
      <c r="D131" s="148">
        <v>8</v>
      </c>
      <c r="E131" s="78" t="s">
        <v>2033</v>
      </c>
      <c r="F131" s="66" t="s">
        <v>2034</v>
      </c>
      <c r="G131" s="67">
        <v>36334</v>
      </c>
      <c r="H131" s="47">
        <f t="shared" si="25"/>
        <v>57154</v>
      </c>
      <c r="I131" s="48">
        <f t="shared" si="24"/>
        <v>57162</v>
      </c>
      <c r="J131" s="48">
        <v>57162</v>
      </c>
      <c r="K131" s="67">
        <v>43908</v>
      </c>
      <c r="L131" s="121" t="s">
        <v>718</v>
      </c>
      <c r="M131" s="122" t="s">
        <v>287</v>
      </c>
      <c r="N131" s="106" t="s">
        <v>281</v>
      </c>
      <c r="O131" s="68" t="s">
        <v>3238</v>
      </c>
      <c r="P131" s="68"/>
      <c r="Q131" s="108" t="s">
        <v>72</v>
      </c>
      <c r="R131" s="70">
        <v>1.41</v>
      </c>
      <c r="S131" s="71"/>
      <c r="T131" s="72"/>
      <c r="U131" s="52">
        <f t="shared" ref="U131:U158" si="28">+R131*5310000</f>
        <v>7487100</v>
      </c>
      <c r="V131" s="52">
        <f t="shared" si="21"/>
        <v>0</v>
      </c>
      <c r="W131" s="52">
        <f t="shared" si="26"/>
        <v>0</v>
      </c>
      <c r="X131" s="52">
        <f t="shared" si="27"/>
        <v>7487100</v>
      </c>
      <c r="Y131" s="52">
        <f>+VLOOKUP(E131,[2]Sheet1!$B$11:$J$400,9,0)</f>
        <v>6598800</v>
      </c>
      <c r="Z131" s="52"/>
      <c r="AA131" s="53" t="s">
        <v>2695</v>
      </c>
      <c r="AB131" s="72"/>
      <c r="AC131" s="45" t="str">
        <f>+VLOOKUP(E131,[3]Sheet1!$B$11:$I$388,8,0)</f>
        <v>75 - 012</v>
      </c>
      <c r="AD131" s="72" t="s">
        <v>1787</v>
      </c>
      <c r="AE131" s="72" t="s">
        <v>2817</v>
      </c>
      <c r="AF131" s="66" t="s">
        <v>2035</v>
      </c>
      <c r="AG131" s="45">
        <f>+VALUE(AF131:AF532)</f>
        <v>272695181</v>
      </c>
      <c r="AH131" s="80" t="s">
        <v>2036</v>
      </c>
      <c r="AI131" s="72" t="s">
        <v>519</v>
      </c>
      <c r="AJ131" s="72" t="s">
        <v>2037</v>
      </c>
      <c r="AK131" s="76"/>
      <c r="AL131" s="72"/>
      <c r="AM131" s="72"/>
      <c r="AN131" s="72"/>
      <c r="AO131" s="72" t="s">
        <v>564</v>
      </c>
      <c r="AP131" s="72"/>
      <c r="AQ131" s="72"/>
      <c r="AR131" s="72"/>
      <c r="AS131" s="72"/>
      <c r="AT131" s="67">
        <v>43907</v>
      </c>
      <c r="AU131" s="72"/>
      <c r="AV131" s="67">
        <v>44638</v>
      </c>
      <c r="AW131" s="55" t="s">
        <v>2224</v>
      </c>
      <c r="AX131" s="55" t="s">
        <v>1517</v>
      </c>
    </row>
    <row r="132" spans="1:100" x14ac:dyDescent="0.3">
      <c r="A132" s="43">
        <v>131</v>
      </c>
      <c r="B132" s="43">
        <v>74</v>
      </c>
      <c r="C132" s="70" t="s">
        <v>2541</v>
      </c>
      <c r="D132" s="148">
        <v>9</v>
      </c>
      <c r="E132" s="65" t="s">
        <v>2092</v>
      </c>
      <c r="F132" s="66" t="s">
        <v>2093</v>
      </c>
      <c r="G132" s="67">
        <v>34802</v>
      </c>
      <c r="H132" s="47">
        <f t="shared" si="25"/>
        <v>55622</v>
      </c>
      <c r="I132" s="48">
        <f t="shared" si="24"/>
        <v>55640</v>
      </c>
      <c r="J132" s="48">
        <v>55640</v>
      </c>
      <c r="K132" s="67">
        <v>44078</v>
      </c>
      <c r="L132" s="121" t="s">
        <v>718</v>
      </c>
      <c r="M132" s="105" t="s">
        <v>287</v>
      </c>
      <c r="N132" s="70" t="s">
        <v>281</v>
      </c>
      <c r="O132" s="67">
        <v>44078</v>
      </c>
      <c r="P132" s="68"/>
      <c r="Q132" s="68" t="s">
        <v>72</v>
      </c>
      <c r="R132" s="70">
        <v>1.41</v>
      </c>
      <c r="S132" s="71"/>
      <c r="T132" s="72"/>
      <c r="U132" s="52">
        <f t="shared" si="28"/>
        <v>7487100</v>
      </c>
      <c r="V132" s="52">
        <f t="shared" si="21"/>
        <v>0</v>
      </c>
      <c r="W132" s="52">
        <f t="shared" si="26"/>
        <v>0</v>
      </c>
      <c r="X132" s="52">
        <f t="shared" si="27"/>
        <v>7487100</v>
      </c>
      <c r="Y132" s="52">
        <f>+VLOOKUP(E132,[2]Sheet1!$B$11:$J$400,9,0)</f>
        <v>6598800</v>
      </c>
      <c r="Z132" s="52"/>
      <c r="AA132" s="53" t="s">
        <v>2696</v>
      </c>
      <c r="AB132" s="72"/>
      <c r="AC132" s="45" t="str">
        <f>+VLOOKUP(E132,[3]Sheet1!$B$11:$I$388,8,0)</f>
        <v>75 - 012</v>
      </c>
      <c r="AD132" s="72" t="s">
        <v>1787</v>
      </c>
      <c r="AE132" s="72" t="s">
        <v>2818</v>
      </c>
      <c r="AF132" s="66" t="s">
        <v>2094</v>
      </c>
      <c r="AG132" s="45">
        <f>+VALUE(AF121:AF521)</f>
        <v>272497360</v>
      </c>
      <c r="AH132" s="80" t="s">
        <v>2095</v>
      </c>
      <c r="AI132" s="72" t="s">
        <v>519</v>
      </c>
      <c r="AJ132" s="72" t="s">
        <v>2096</v>
      </c>
      <c r="AK132" s="76">
        <v>25987</v>
      </c>
      <c r="AL132" s="72"/>
      <c r="AM132" s="72"/>
      <c r="AN132" s="72"/>
      <c r="AO132" s="72" t="s">
        <v>564</v>
      </c>
      <c r="AP132" s="72"/>
      <c r="AQ132" s="72"/>
      <c r="AR132" s="72"/>
      <c r="AS132" s="72"/>
      <c r="AT132" s="67">
        <v>44077</v>
      </c>
      <c r="AU132" s="72"/>
      <c r="AV132" s="67">
        <v>44808</v>
      </c>
      <c r="AW132" s="77" t="s">
        <v>2215</v>
      </c>
      <c r="AX132" s="55" t="s">
        <v>1517</v>
      </c>
    </row>
    <row r="133" spans="1:100" x14ac:dyDescent="0.3">
      <c r="A133" s="43">
        <v>132</v>
      </c>
      <c r="B133" s="43">
        <v>75</v>
      </c>
      <c r="C133" s="70" t="s">
        <v>2541</v>
      </c>
      <c r="D133" s="148">
        <v>10</v>
      </c>
      <c r="E133" s="65" t="s">
        <v>2053</v>
      </c>
      <c r="F133" s="66" t="s">
        <v>2054</v>
      </c>
      <c r="G133" s="67">
        <v>33049</v>
      </c>
      <c r="H133" s="47">
        <f t="shared" si="25"/>
        <v>53868</v>
      </c>
      <c r="I133" s="48">
        <f t="shared" si="24"/>
        <v>53874</v>
      </c>
      <c r="J133" s="48">
        <v>53874</v>
      </c>
      <c r="K133" s="67">
        <v>43983</v>
      </c>
      <c r="L133" s="121" t="s">
        <v>718</v>
      </c>
      <c r="M133" s="105" t="s">
        <v>287</v>
      </c>
      <c r="N133" s="70" t="s">
        <v>285</v>
      </c>
      <c r="O133" s="68" t="s">
        <v>3238</v>
      </c>
      <c r="P133" s="68"/>
      <c r="Q133" s="68" t="s">
        <v>71</v>
      </c>
      <c r="R133" s="70">
        <v>1.49</v>
      </c>
      <c r="S133" s="71">
        <v>0.04</v>
      </c>
      <c r="T133" s="72"/>
      <c r="U133" s="52">
        <f t="shared" si="28"/>
        <v>7911900</v>
      </c>
      <c r="V133" s="52">
        <f t="shared" ref="V133:V158" si="29">+S133*4960000</f>
        <v>198400</v>
      </c>
      <c r="W133" s="52">
        <f t="shared" si="26"/>
        <v>0</v>
      </c>
      <c r="X133" s="52">
        <f t="shared" si="27"/>
        <v>8110300</v>
      </c>
      <c r="Y133" s="52">
        <f>+VLOOKUP(E133,[2]Sheet1!$B$11:$J$400,9,0)</f>
        <v>6786000</v>
      </c>
      <c r="Z133" s="52"/>
      <c r="AA133" s="53" t="s">
        <v>2062</v>
      </c>
      <c r="AB133" s="72" t="s">
        <v>2063</v>
      </c>
      <c r="AC133" s="45" t="str">
        <f>+VLOOKUP(E133,[3]Sheet1!$B$11:$I$388,8,0)</f>
        <v>75 - 013</v>
      </c>
      <c r="AD133" s="72" t="s">
        <v>1787</v>
      </c>
      <c r="AE133" s="72" t="s">
        <v>2819</v>
      </c>
      <c r="AF133" s="66" t="s">
        <v>2055</v>
      </c>
      <c r="AG133" s="45">
        <f>+VALUE(AF133:AF551)</f>
        <v>186904485</v>
      </c>
      <c r="AH133" s="80" t="s">
        <v>2057</v>
      </c>
      <c r="AI133" s="72" t="s">
        <v>754</v>
      </c>
      <c r="AJ133" s="72" t="s">
        <v>2058</v>
      </c>
      <c r="AK133" s="76" t="s">
        <v>2059</v>
      </c>
      <c r="AL133" s="72"/>
      <c r="AM133" s="72"/>
      <c r="AN133" s="72" t="s">
        <v>549</v>
      </c>
      <c r="AO133" s="72"/>
      <c r="AP133" s="72"/>
      <c r="AQ133" s="72"/>
      <c r="AR133" s="72"/>
      <c r="AS133" s="72"/>
      <c r="AT133" s="67">
        <v>43985</v>
      </c>
      <c r="AU133" s="72"/>
      <c r="AV133" s="67">
        <v>44716</v>
      </c>
      <c r="AW133" s="77" t="s">
        <v>2410</v>
      </c>
      <c r="AX133" s="55" t="s">
        <v>1517</v>
      </c>
    </row>
    <row r="134" spans="1:100" x14ac:dyDescent="0.3">
      <c r="A134" s="43">
        <v>133</v>
      </c>
      <c r="B134" s="43">
        <v>76</v>
      </c>
      <c r="C134" s="70" t="s">
        <v>2541</v>
      </c>
      <c r="D134" s="148">
        <v>11</v>
      </c>
      <c r="E134" s="65" t="s">
        <v>2654</v>
      </c>
      <c r="F134" s="66" t="s">
        <v>2655</v>
      </c>
      <c r="G134" s="67">
        <v>35647</v>
      </c>
      <c r="H134" s="47">
        <f t="shared" si="25"/>
        <v>56466</v>
      </c>
      <c r="I134" s="48">
        <f t="shared" si="24"/>
        <v>56493</v>
      </c>
      <c r="J134" s="48">
        <v>56493</v>
      </c>
      <c r="K134" s="67">
        <v>45261</v>
      </c>
      <c r="L134" s="121" t="s">
        <v>718</v>
      </c>
      <c r="M134" s="105" t="s">
        <v>287</v>
      </c>
      <c r="N134" s="70" t="s">
        <v>281</v>
      </c>
      <c r="O134" s="67">
        <v>45261</v>
      </c>
      <c r="P134" s="68"/>
      <c r="Q134" s="68" t="s">
        <v>72</v>
      </c>
      <c r="R134" s="70">
        <v>1.41</v>
      </c>
      <c r="S134" s="71"/>
      <c r="T134" s="72"/>
      <c r="U134" s="52">
        <f t="shared" si="28"/>
        <v>7487100</v>
      </c>
      <c r="V134" s="52">
        <f t="shared" si="29"/>
        <v>0</v>
      </c>
      <c r="W134" s="52">
        <f t="shared" si="26"/>
        <v>0</v>
      </c>
      <c r="X134" s="52">
        <f t="shared" si="27"/>
        <v>7487100</v>
      </c>
      <c r="Y134" s="52">
        <f>+VLOOKUP(E134,[2]Sheet1!$B$11:$J$400,9,0)</f>
        <v>6598800</v>
      </c>
      <c r="Z134" s="52"/>
      <c r="AA134" s="53" t="s">
        <v>2697</v>
      </c>
      <c r="AB134" s="72"/>
      <c r="AC134" s="45" t="str">
        <f>+VLOOKUP(E134,[3]Sheet1!$B$11:$I$388,8,0)</f>
        <v>75 - 012</v>
      </c>
      <c r="AD134" s="72" t="s">
        <v>1787</v>
      </c>
      <c r="AE134" s="72" t="s">
        <v>2656</v>
      </c>
      <c r="AF134" s="66" t="s">
        <v>2656</v>
      </c>
      <c r="AG134" s="45">
        <f>+VALUE(AF134:AF552)</f>
        <v>44097007279</v>
      </c>
      <c r="AH134" s="80" t="s">
        <v>2657</v>
      </c>
      <c r="AI134" s="72" t="s">
        <v>2427</v>
      </c>
      <c r="AJ134" s="72" t="s">
        <v>2658</v>
      </c>
      <c r="AK134" s="76" t="s">
        <v>2659</v>
      </c>
      <c r="AL134" s="72"/>
      <c r="AM134" s="72"/>
      <c r="AN134" s="72"/>
      <c r="AO134" s="72"/>
      <c r="AP134" s="72" t="s">
        <v>524</v>
      </c>
      <c r="AQ134" s="67">
        <v>44896</v>
      </c>
      <c r="AR134" s="72"/>
      <c r="AS134" s="72"/>
      <c r="AT134" s="67">
        <v>44927</v>
      </c>
      <c r="AU134" s="72"/>
      <c r="AV134" s="67"/>
      <c r="AW134" s="77" t="s">
        <v>2660</v>
      </c>
      <c r="AX134" s="55" t="s">
        <v>1517</v>
      </c>
    </row>
    <row r="135" spans="1:100" x14ac:dyDescent="0.3">
      <c r="A135" s="43">
        <v>134</v>
      </c>
      <c r="B135" s="43">
        <v>77</v>
      </c>
      <c r="C135" s="70" t="s">
        <v>2541</v>
      </c>
      <c r="D135" s="148">
        <v>12</v>
      </c>
      <c r="E135" s="65" t="s">
        <v>3191</v>
      </c>
      <c r="F135" s="66" t="s">
        <v>3192</v>
      </c>
      <c r="G135" s="67">
        <v>36684</v>
      </c>
      <c r="H135" s="47">
        <f t="shared" si="25"/>
        <v>57503</v>
      </c>
      <c r="I135" s="48">
        <f t="shared" si="24"/>
        <v>57527</v>
      </c>
      <c r="J135" s="48">
        <v>56494</v>
      </c>
      <c r="K135" s="67">
        <v>45444</v>
      </c>
      <c r="L135" s="121" t="s">
        <v>718</v>
      </c>
      <c r="M135" s="105" t="s">
        <v>287</v>
      </c>
      <c r="N135" s="70" t="s">
        <v>281</v>
      </c>
      <c r="O135" s="67">
        <v>45444</v>
      </c>
      <c r="P135" s="68"/>
      <c r="Q135" s="68" t="s">
        <v>72</v>
      </c>
      <c r="R135" s="70">
        <v>1.41</v>
      </c>
      <c r="S135" s="71"/>
      <c r="T135" s="72"/>
      <c r="U135" s="52">
        <f t="shared" si="28"/>
        <v>7487100</v>
      </c>
      <c r="V135" s="52">
        <f t="shared" si="29"/>
        <v>0</v>
      </c>
      <c r="W135" s="52">
        <f t="shared" si="26"/>
        <v>0</v>
      </c>
      <c r="X135" s="52">
        <f t="shared" si="27"/>
        <v>7487100</v>
      </c>
      <c r="Y135" s="52" t="e">
        <f>+VLOOKUP(E135,[2]Sheet1!$B$11:$J$400,9,0)</f>
        <v>#N/A</v>
      </c>
      <c r="Z135" s="52"/>
      <c r="AA135" s="53" t="s">
        <v>3210</v>
      </c>
      <c r="AB135" s="72"/>
      <c r="AC135" s="45"/>
      <c r="AD135" s="72" t="s">
        <v>1787</v>
      </c>
      <c r="AE135" s="128" t="s">
        <v>3193</v>
      </c>
      <c r="AF135" s="66"/>
      <c r="AG135" s="45"/>
      <c r="AH135" s="80" t="s">
        <v>3194</v>
      </c>
      <c r="AI135" s="72" t="s">
        <v>2427</v>
      </c>
      <c r="AJ135" s="72" t="s">
        <v>3195</v>
      </c>
      <c r="AK135" s="76" t="s">
        <v>3196</v>
      </c>
      <c r="AL135" s="72"/>
      <c r="AM135" s="72"/>
      <c r="AN135" s="72"/>
      <c r="AO135" s="72" t="s">
        <v>3197</v>
      </c>
      <c r="AP135" s="72"/>
      <c r="AQ135" s="67">
        <v>45444</v>
      </c>
      <c r="AR135" s="72"/>
      <c r="AS135" s="67">
        <v>45444</v>
      </c>
      <c r="AT135" s="67"/>
      <c r="AU135" s="72"/>
      <c r="AV135" s="67"/>
      <c r="AW135" s="77"/>
      <c r="AX135" s="82" t="s">
        <v>1517</v>
      </c>
    </row>
    <row r="136" spans="1:100" x14ac:dyDescent="0.3">
      <c r="A136" s="43">
        <v>135</v>
      </c>
      <c r="B136" s="43">
        <v>78</v>
      </c>
      <c r="C136" s="70" t="s">
        <v>2541</v>
      </c>
      <c r="D136" s="148">
        <v>13</v>
      </c>
      <c r="E136" s="65" t="s">
        <v>3371</v>
      </c>
      <c r="F136" s="66" t="s">
        <v>3376</v>
      </c>
      <c r="G136" s="67">
        <v>37262</v>
      </c>
      <c r="H136" s="47">
        <f t="shared" si="25"/>
        <v>58081</v>
      </c>
      <c r="I136" s="48">
        <f t="shared" si="24"/>
        <v>58107</v>
      </c>
      <c r="J136" s="48">
        <v>58107</v>
      </c>
      <c r="K136" s="67">
        <v>45748</v>
      </c>
      <c r="L136" s="121" t="s">
        <v>718</v>
      </c>
      <c r="M136" s="105" t="s">
        <v>287</v>
      </c>
      <c r="N136" s="70" t="s">
        <v>281</v>
      </c>
      <c r="O136" s="67">
        <v>45748</v>
      </c>
      <c r="P136" s="68"/>
      <c r="Q136" s="68" t="s">
        <v>72</v>
      </c>
      <c r="R136" s="70">
        <v>1.41</v>
      </c>
      <c r="S136" s="71"/>
      <c r="T136" s="72"/>
      <c r="U136" s="52">
        <f t="shared" si="28"/>
        <v>7487100</v>
      </c>
      <c r="V136" s="52">
        <f>+S136*4960000</f>
        <v>0</v>
      </c>
      <c r="W136" s="52">
        <f>+T136*2340000</f>
        <v>0</v>
      </c>
      <c r="X136" s="52">
        <f t="shared" si="27"/>
        <v>7487100</v>
      </c>
      <c r="Y136" s="52"/>
      <c r="Z136" s="52"/>
      <c r="AA136" s="73">
        <v>7527034146</v>
      </c>
      <c r="AB136" s="72" t="s">
        <v>3387</v>
      </c>
      <c r="AC136" s="45"/>
      <c r="AD136" s="72" t="s">
        <v>1787</v>
      </c>
      <c r="AE136" s="154" t="s">
        <v>3377</v>
      </c>
      <c r="AF136" s="66"/>
      <c r="AG136" s="45"/>
      <c r="AH136" s="80"/>
      <c r="AI136" s="72" t="s">
        <v>2427</v>
      </c>
      <c r="AJ136" s="72" t="s">
        <v>3378</v>
      </c>
      <c r="AK136" s="76"/>
      <c r="AL136" s="72"/>
      <c r="AM136" s="72" t="s">
        <v>3379</v>
      </c>
      <c r="AN136" s="72"/>
      <c r="AO136" s="72"/>
      <c r="AP136" s="72"/>
      <c r="AQ136" s="67">
        <v>45717</v>
      </c>
      <c r="AR136" s="72"/>
      <c r="AS136" s="67">
        <v>45748</v>
      </c>
      <c r="AT136" s="67"/>
      <c r="AU136" s="72"/>
      <c r="AV136" s="67"/>
      <c r="AW136" s="77"/>
      <c r="AX136" s="82" t="s">
        <v>1517</v>
      </c>
    </row>
    <row r="137" spans="1:100" x14ac:dyDescent="0.3">
      <c r="A137" s="43">
        <v>136</v>
      </c>
      <c r="B137" s="43">
        <v>79</v>
      </c>
      <c r="C137" s="70" t="s">
        <v>2541</v>
      </c>
      <c r="D137" s="155">
        <v>1</v>
      </c>
      <c r="E137" s="65" t="s">
        <v>1822</v>
      </c>
      <c r="F137" s="66" t="s">
        <v>356</v>
      </c>
      <c r="G137" s="67">
        <v>26370</v>
      </c>
      <c r="H137" s="47">
        <f t="shared" si="25"/>
        <v>47189</v>
      </c>
      <c r="I137" s="48">
        <f t="shared" si="24"/>
        <v>47209</v>
      </c>
      <c r="J137" s="48">
        <v>47209</v>
      </c>
      <c r="K137" s="67">
        <v>33117</v>
      </c>
      <c r="L137" s="121" t="s">
        <v>719</v>
      </c>
      <c r="M137" s="105" t="s">
        <v>287</v>
      </c>
      <c r="N137" s="70" t="s">
        <v>286</v>
      </c>
      <c r="O137" s="67">
        <v>41091</v>
      </c>
      <c r="P137" s="68"/>
      <c r="Q137" s="68" t="s">
        <v>74</v>
      </c>
      <c r="R137" s="70">
        <v>1.68</v>
      </c>
      <c r="S137" s="71">
        <v>0.06</v>
      </c>
      <c r="T137" s="72"/>
      <c r="U137" s="52">
        <f t="shared" si="28"/>
        <v>8920800</v>
      </c>
      <c r="V137" s="52">
        <f t="shared" si="29"/>
        <v>297600</v>
      </c>
      <c r="W137" s="52">
        <f t="shared" si="26"/>
        <v>0</v>
      </c>
      <c r="X137" s="52">
        <f t="shared" si="27"/>
        <v>9218400</v>
      </c>
      <c r="Y137" s="52">
        <f>+VLOOKUP(E137,[2]Sheet1!$B$11:$J$400,9,0)</f>
        <v>8143200</v>
      </c>
      <c r="Z137" s="52"/>
      <c r="AA137" s="53" t="s">
        <v>1626</v>
      </c>
      <c r="AB137" s="72" t="s">
        <v>605</v>
      </c>
      <c r="AC137" s="45" t="str">
        <f>+VLOOKUP(E137,[3]Sheet1!$B$11:$I$388,8,0)</f>
        <v>75 - 013</v>
      </c>
      <c r="AD137" s="72" t="s">
        <v>1787</v>
      </c>
      <c r="AE137" s="72" t="s">
        <v>2820</v>
      </c>
      <c r="AF137" s="66">
        <v>271148470</v>
      </c>
      <c r="AG137" s="45">
        <f>+VALUE(AF137:AF535)</f>
        <v>271148470</v>
      </c>
      <c r="AH137" s="72" t="s">
        <v>1103</v>
      </c>
      <c r="AI137" s="72" t="s">
        <v>519</v>
      </c>
      <c r="AJ137" s="72" t="s">
        <v>1104</v>
      </c>
      <c r="AK137" s="76" t="s">
        <v>1105</v>
      </c>
      <c r="AL137" s="72"/>
      <c r="AM137" s="72"/>
      <c r="AN137" s="72"/>
      <c r="AO137" s="72"/>
      <c r="AP137" s="72" t="s">
        <v>511</v>
      </c>
      <c r="AQ137" s="72"/>
      <c r="AR137" s="72"/>
      <c r="AS137" s="72"/>
      <c r="AT137" s="72"/>
      <c r="AU137" s="72"/>
      <c r="AV137" s="72"/>
      <c r="AW137" s="55" t="s">
        <v>2226</v>
      </c>
      <c r="AX137" s="55" t="s">
        <v>1517</v>
      </c>
    </row>
    <row r="138" spans="1:100" x14ac:dyDescent="0.3">
      <c r="A138" s="43">
        <v>137</v>
      </c>
      <c r="B138" s="43">
        <v>80</v>
      </c>
      <c r="C138" s="70" t="s">
        <v>2541</v>
      </c>
      <c r="D138" s="155">
        <v>2</v>
      </c>
      <c r="E138" s="65" t="s">
        <v>143</v>
      </c>
      <c r="F138" s="66" t="s">
        <v>357</v>
      </c>
      <c r="G138" s="67">
        <v>27734</v>
      </c>
      <c r="H138" s="47">
        <f t="shared" si="25"/>
        <v>48554</v>
      </c>
      <c r="I138" s="48">
        <f t="shared" si="24"/>
        <v>48580</v>
      </c>
      <c r="J138" s="48">
        <v>48580</v>
      </c>
      <c r="K138" s="67">
        <v>36586</v>
      </c>
      <c r="L138" s="121" t="s">
        <v>719</v>
      </c>
      <c r="M138" s="105" t="s">
        <v>287</v>
      </c>
      <c r="N138" s="70" t="s">
        <v>281</v>
      </c>
      <c r="O138" s="67">
        <v>41821</v>
      </c>
      <c r="P138" s="68"/>
      <c r="Q138" s="68" t="s">
        <v>71</v>
      </c>
      <c r="R138" s="70">
        <v>1.49</v>
      </c>
      <c r="S138" s="71"/>
      <c r="T138" s="72"/>
      <c r="U138" s="52">
        <f t="shared" si="28"/>
        <v>7911900</v>
      </c>
      <c r="V138" s="52">
        <f t="shared" si="29"/>
        <v>0</v>
      </c>
      <c r="W138" s="52">
        <f t="shared" si="26"/>
        <v>0</v>
      </c>
      <c r="X138" s="52">
        <f t="shared" si="27"/>
        <v>7911900</v>
      </c>
      <c r="Y138" s="52">
        <f>+VLOOKUP(E138,[2]Sheet1!$B$11:$J$400,9,0)</f>
        <v>6973200</v>
      </c>
      <c r="Z138" s="52"/>
      <c r="AA138" s="53" t="s">
        <v>1627</v>
      </c>
      <c r="AB138" s="72" t="s">
        <v>1106</v>
      </c>
      <c r="AC138" s="45" t="str">
        <f>+VLOOKUP(E138,[3]Sheet1!$B$11:$I$388,8,0)</f>
        <v>75 - 013</v>
      </c>
      <c r="AD138" s="72" t="s">
        <v>1787</v>
      </c>
      <c r="AE138" s="72" t="s">
        <v>2821</v>
      </c>
      <c r="AF138" s="66">
        <v>145001516</v>
      </c>
      <c r="AG138" s="45">
        <f>+VALUE(AF138:AF536)</f>
        <v>145001516</v>
      </c>
      <c r="AH138" s="72" t="s">
        <v>1107</v>
      </c>
      <c r="AI138" s="72" t="s">
        <v>1090</v>
      </c>
      <c r="AJ138" s="72" t="s">
        <v>1108</v>
      </c>
      <c r="AK138" s="76" t="s">
        <v>1109</v>
      </c>
      <c r="AL138" s="72"/>
      <c r="AM138" s="72"/>
      <c r="AN138" s="72"/>
      <c r="AO138" s="72"/>
      <c r="AP138" s="72" t="s">
        <v>511</v>
      </c>
      <c r="AQ138" s="72"/>
      <c r="AR138" s="72"/>
      <c r="AS138" s="72"/>
      <c r="AT138" s="72"/>
      <c r="AU138" s="72"/>
      <c r="AV138" s="72"/>
      <c r="AW138" s="55" t="s">
        <v>2227</v>
      </c>
      <c r="AX138" s="55" t="s">
        <v>1517</v>
      </c>
    </row>
    <row r="139" spans="1:100" x14ac:dyDescent="0.3">
      <c r="A139" s="43">
        <v>138</v>
      </c>
      <c r="B139" s="43">
        <v>81</v>
      </c>
      <c r="C139" s="70" t="s">
        <v>2541</v>
      </c>
      <c r="D139" s="155">
        <v>3</v>
      </c>
      <c r="E139" s="65" t="s">
        <v>1889</v>
      </c>
      <c r="F139" s="66" t="s">
        <v>358</v>
      </c>
      <c r="G139" s="67">
        <v>26384</v>
      </c>
      <c r="H139" s="47">
        <f t="shared" si="25"/>
        <v>47203</v>
      </c>
      <c r="I139" s="48">
        <f t="shared" si="24"/>
        <v>47209</v>
      </c>
      <c r="J139" s="48">
        <v>47209</v>
      </c>
      <c r="K139" s="67">
        <v>34608</v>
      </c>
      <c r="L139" s="121" t="s">
        <v>719</v>
      </c>
      <c r="M139" s="105" t="s">
        <v>287</v>
      </c>
      <c r="N139" s="70" t="s">
        <v>281</v>
      </c>
      <c r="O139" s="67">
        <v>42979</v>
      </c>
      <c r="P139" s="68"/>
      <c r="Q139" s="68" t="s">
        <v>74</v>
      </c>
      <c r="R139" s="70">
        <v>1.68</v>
      </c>
      <c r="S139" s="71"/>
      <c r="T139" s="72"/>
      <c r="U139" s="52">
        <f t="shared" si="28"/>
        <v>8920800</v>
      </c>
      <c r="V139" s="52">
        <f t="shared" si="29"/>
        <v>0</v>
      </c>
      <c r="W139" s="52">
        <f t="shared" si="26"/>
        <v>0</v>
      </c>
      <c r="X139" s="52">
        <f t="shared" si="27"/>
        <v>8920800</v>
      </c>
      <c r="Y139" s="52">
        <v>7862400</v>
      </c>
      <c r="Z139" s="52"/>
      <c r="AA139" s="53" t="s">
        <v>1628</v>
      </c>
      <c r="AB139" s="72" t="s">
        <v>605</v>
      </c>
      <c r="AC139" s="45" t="e">
        <f>+VLOOKUP(E139,[3]Sheet1!$B$11:$I$388,8,0)</f>
        <v>#N/A</v>
      </c>
      <c r="AD139" s="72" t="s">
        <v>1787</v>
      </c>
      <c r="AE139" s="72" t="s">
        <v>3003</v>
      </c>
      <c r="AF139" s="66">
        <v>271381052</v>
      </c>
      <c r="AG139" s="45">
        <f>+VALUE(AF139:AF537)</f>
        <v>271381052</v>
      </c>
      <c r="AH139" s="72" t="s">
        <v>1110</v>
      </c>
      <c r="AI139" s="72" t="s">
        <v>519</v>
      </c>
      <c r="AJ139" s="72" t="s">
        <v>1108</v>
      </c>
      <c r="AK139" s="76" t="s">
        <v>1111</v>
      </c>
      <c r="AL139" s="72"/>
      <c r="AM139" s="72"/>
      <c r="AN139" s="72"/>
      <c r="AO139" s="72"/>
      <c r="AP139" s="72" t="s">
        <v>511</v>
      </c>
      <c r="AQ139" s="72"/>
      <c r="AR139" s="72"/>
      <c r="AS139" s="72"/>
      <c r="AT139" s="72"/>
      <c r="AU139" s="72"/>
      <c r="AV139" s="72"/>
      <c r="AW139" s="77" t="s">
        <v>2408</v>
      </c>
      <c r="AX139" s="55" t="s">
        <v>1517</v>
      </c>
    </row>
    <row r="140" spans="1:100" x14ac:dyDescent="0.3">
      <c r="A140" s="43">
        <v>139</v>
      </c>
      <c r="B140" s="43">
        <v>82</v>
      </c>
      <c r="C140" s="70" t="s">
        <v>2541</v>
      </c>
      <c r="D140" s="155">
        <v>4</v>
      </c>
      <c r="E140" s="65" t="s">
        <v>144</v>
      </c>
      <c r="F140" s="66" t="s">
        <v>359</v>
      </c>
      <c r="G140" s="67">
        <v>26009</v>
      </c>
      <c r="H140" s="47">
        <v>46738</v>
      </c>
      <c r="I140" s="48">
        <f t="shared" si="24"/>
        <v>46753</v>
      </c>
      <c r="J140" s="48">
        <v>46753</v>
      </c>
      <c r="K140" s="67">
        <v>35370</v>
      </c>
      <c r="L140" s="121" t="s">
        <v>719</v>
      </c>
      <c r="M140" s="105" t="s">
        <v>287</v>
      </c>
      <c r="N140" s="70" t="s">
        <v>281</v>
      </c>
      <c r="O140" s="67">
        <v>41456</v>
      </c>
      <c r="P140" s="68"/>
      <c r="Q140" s="68" t="s">
        <v>76</v>
      </c>
      <c r="R140" s="70">
        <v>1.58</v>
      </c>
      <c r="S140" s="71"/>
      <c r="T140" s="72"/>
      <c r="U140" s="52">
        <f t="shared" si="28"/>
        <v>8389800</v>
      </c>
      <c r="V140" s="52">
        <f t="shared" si="29"/>
        <v>0</v>
      </c>
      <c r="W140" s="52">
        <f t="shared" si="26"/>
        <v>0</v>
      </c>
      <c r="X140" s="52">
        <f t="shared" si="27"/>
        <v>8389800</v>
      </c>
      <c r="Y140" s="52">
        <f>+VLOOKUP(E140,[2]Sheet1!$B$11:$J$400,9,0)</f>
        <v>7394400</v>
      </c>
      <c r="Z140" s="52"/>
      <c r="AA140" s="53" t="s">
        <v>1629</v>
      </c>
      <c r="AB140" s="72" t="s">
        <v>595</v>
      </c>
      <c r="AC140" s="45" t="str">
        <f>+VLOOKUP(E140,[3]Sheet1!$B$11:$I$388,8,0)</f>
        <v>75 - 013</v>
      </c>
      <c r="AD140" s="72" t="s">
        <v>1787</v>
      </c>
      <c r="AE140" s="72" t="s">
        <v>2822</v>
      </c>
      <c r="AF140" s="66" t="s">
        <v>1112</v>
      </c>
      <c r="AG140" s="45">
        <f>+VALUE(AF140:AF538)</f>
        <v>272786618</v>
      </c>
      <c r="AH140" s="72" t="s">
        <v>1113</v>
      </c>
      <c r="AI140" s="72" t="s">
        <v>519</v>
      </c>
      <c r="AJ140" s="72" t="s">
        <v>1108</v>
      </c>
      <c r="AK140" s="76" t="s">
        <v>1114</v>
      </c>
      <c r="AL140" s="72"/>
      <c r="AM140" s="72"/>
      <c r="AN140" s="72"/>
      <c r="AO140" s="72" t="s">
        <v>504</v>
      </c>
      <c r="AP140" s="72"/>
      <c r="AQ140" s="72"/>
      <c r="AR140" s="72"/>
      <c r="AS140" s="72"/>
      <c r="AT140" s="72"/>
      <c r="AU140" s="72"/>
      <c r="AV140" s="72"/>
      <c r="AW140" s="55" t="s">
        <v>2228</v>
      </c>
      <c r="AX140" s="55" t="s">
        <v>1517</v>
      </c>
    </row>
    <row r="141" spans="1:100" s="82" customFormat="1" x14ac:dyDescent="0.3">
      <c r="A141" s="43">
        <v>140</v>
      </c>
      <c r="B141" s="43">
        <v>83</v>
      </c>
      <c r="C141" s="70" t="s">
        <v>2541</v>
      </c>
      <c r="D141" s="155">
        <v>5</v>
      </c>
      <c r="E141" s="78" t="s">
        <v>3174</v>
      </c>
      <c r="F141" s="66" t="s">
        <v>360</v>
      </c>
      <c r="G141" s="67">
        <v>26978</v>
      </c>
      <c r="H141" s="47">
        <f t="shared" ref="H141:H155" si="30">+DATE(YEAR(G141)+57,MONTH(G141),DAY(G141))</f>
        <v>47797</v>
      </c>
      <c r="I141" s="48">
        <f t="shared" si="24"/>
        <v>47818</v>
      </c>
      <c r="J141" s="48">
        <v>47818</v>
      </c>
      <c r="K141" s="67">
        <v>34820</v>
      </c>
      <c r="L141" s="121" t="s">
        <v>719</v>
      </c>
      <c r="M141" s="105" t="s">
        <v>287</v>
      </c>
      <c r="N141" s="70" t="s">
        <v>281</v>
      </c>
      <c r="O141" s="67">
        <v>41091</v>
      </c>
      <c r="P141" s="68"/>
      <c r="Q141" s="68" t="s">
        <v>71</v>
      </c>
      <c r="R141" s="70">
        <v>1.49</v>
      </c>
      <c r="S141" s="71"/>
      <c r="T141" s="72"/>
      <c r="U141" s="52">
        <f t="shared" si="28"/>
        <v>7911900</v>
      </c>
      <c r="V141" s="52">
        <f t="shared" si="29"/>
        <v>0</v>
      </c>
      <c r="W141" s="52">
        <f t="shared" si="26"/>
        <v>0</v>
      </c>
      <c r="X141" s="52">
        <f t="shared" si="27"/>
        <v>7911900</v>
      </c>
      <c r="Y141" s="52">
        <v>6973200</v>
      </c>
      <c r="Z141" s="52"/>
      <c r="AA141" s="53" t="s">
        <v>1630</v>
      </c>
      <c r="AB141" s="72" t="s">
        <v>1106</v>
      </c>
      <c r="AC141" s="45" t="e">
        <f>+VLOOKUP(E141,[3]Sheet1!$B$11:$I$388,8,0)</f>
        <v>#N/A</v>
      </c>
      <c r="AD141" s="72" t="s">
        <v>1787</v>
      </c>
      <c r="AE141" s="72" t="s">
        <v>2823</v>
      </c>
      <c r="AF141" s="66">
        <v>272190192</v>
      </c>
      <c r="AG141" s="45">
        <f>+VALUE(AF141:AF539)</f>
        <v>272190192</v>
      </c>
      <c r="AH141" s="72" t="s">
        <v>1115</v>
      </c>
      <c r="AI141" s="72" t="s">
        <v>519</v>
      </c>
      <c r="AJ141" s="72" t="s">
        <v>1108</v>
      </c>
      <c r="AK141" s="76" t="s">
        <v>1116</v>
      </c>
      <c r="AL141" s="72"/>
      <c r="AM141" s="72"/>
      <c r="AN141" s="72"/>
      <c r="AO141" s="72" t="s">
        <v>504</v>
      </c>
      <c r="AP141" s="72"/>
      <c r="AQ141" s="72"/>
      <c r="AR141" s="72"/>
      <c r="AS141" s="72"/>
      <c r="AT141" s="72"/>
      <c r="AU141" s="72"/>
      <c r="AV141" s="72"/>
      <c r="AW141" s="55" t="s">
        <v>2229</v>
      </c>
      <c r="AX141" s="55" t="s">
        <v>1517</v>
      </c>
      <c r="AY141" s="55"/>
      <c r="AZ141" s="55"/>
      <c r="BA141" s="55"/>
      <c r="BB141" s="55"/>
      <c r="BC141" s="55"/>
      <c r="BD141" s="55"/>
      <c r="BE141" s="55"/>
      <c r="BF141" s="55"/>
      <c r="BG141" s="55"/>
      <c r="BH141" s="55"/>
      <c r="BI141" s="55"/>
      <c r="BJ141" s="55"/>
      <c r="BK141" s="55"/>
      <c r="BL141" s="55"/>
      <c r="BM141" s="55"/>
      <c r="BN141" s="55"/>
      <c r="BO141" s="55"/>
      <c r="BP141" s="55"/>
      <c r="BQ141" s="55"/>
      <c r="BR141" s="55"/>
      <c r="BS141" s="55"/>
      <c r="BT141" s="55"/>
      <c r="BU141" s="55"/>
      <c r="BV141" s="55"/>
      <c r="BW141" s="55"/>
      <c r="BX141" s="55"/>
      <c r="BY141" s="55"/>
      <c r="BZ141" s="55"/>
      <c r="CA141" s="55"/>
      <c r="CB141" s="55"/>
      <c r="CC141" s="55"/>
      <c r="CD141" s="55"/>
      <c r="CE141" s="55"/>
      <c r="CF141" s="55"/>
      <c r="CG141" s="55"/>
      <c r="CH141" s="55"/>
      <c r="CI141" s="55"/>
      <c r="CJ141" s="55"/>
      <c r="CK141" s="55"/>
      <c r="CL141" s="55"/>
      <c r="CM141" s="55"/>
      <c r="CN141" s="55"/>
      <c r="CO141" s="55"/>
      <c r="CP141" s="55"/>
      <c r="CQ141" s="55"/>
      <c r="CR141" s="55"/>
      <c r="CS141" s="55"/>
      <c r="CT141" s="55"/>
      <c r="CU141" s="55"/>
      <c r="CV141" s="55"/>
    </row>
    <row r="142" spans="1:100" x14ac:dyDescent="0.3">
      <c r="A142" s="43">
        <v>141</v>
      </c>
      <c r="B142" s="43">
        <v>84</v>
      </c>
      <c r="C142" s="70" t="s">
        <v>2541</v>
      </c>
      <c r="D142" s="155">
        <v>6</v>
      </c>
      <c r="E142" s="65" t="s">
        <v>146</v>
      </c>
      <c r="F142" s="66" t="s">
        <v>362</v>
      </c>
      <c r="G142" s="67">
        <v>28770</v>
      </c>
      <c r="H142" s="47">
        <f t="shared" si="30"/>
        <v>49589</v>
      </c>
      <c r="I142" s="48">
        <f t="shared" si="24"/>
        <v>49614</v>
      </c>
      <c r="J142" s="48">
        <v>49614</v>
      </c>
      <c r="K142" s="67">
        <v>37165</v>
      </c>
      <c r="L142" s="121" t="s">
        <v>719</v>
      </c>
      <c r="M142" s="105" t="s">
        <v>287</v>
      </c>
      <c r="N142" s="70" t="s">
        <v>281</v>
      </c>
      <c r="O142" s="67">
        <v>40360</v>
      </c>
      <c r="P142" s="68"/>
      <c r="Q142" s="68" t="s">
        <v>76</v>
      </c>
      <c r="R142" s="70">
        <v>1.58</v>
      </c>
      <c r="S142" s="71"/>
      <c r="T142" s="72"/>
      <c r="U142" s="52">
        <f t="shared" si="28"/>
        <v>8389800</v>
      </c>
      <c r="V142" s="52">
        <f t="shared" si="29"/>
        <v>0</v>
      </c>
      <c r="W142" s="52">
        <f t="shared" si="26"/>
        <v>0</v>
      </c>
      <c r="X142" s="52">
        <f t="shared" si="27"/>
        <v>8389800</v>
      </c>
      <c r="Y142" s="52">
        <f>+VLOOKUP(E142,[2]Sheet1!$B$11:$J$400,9,0)</f>
        <v>7394400</v>
      </c>
      <c r="Z142" s="52"/>
      <c r="AA142" s="53" t="s">
        <v>1632</v>
      </c>
      <c r="AB142" s="72" t="s">
        <v>595</v>
      </c>
      <c r="AC142" s="45" t="str">
        <f>+VLOOKUP(E142,[3]Sheet1!$B$11:$I$388,8,0)</f>
        <v>75 - 013</v>
      </c>
      <c r="AD142" s="72" t="s">
        <v>1787</v>
      </c>
      <c r="AE142" s="72" t="s">
        <v>2824</v>
      </c>
      <c r="AF142" s="66">
        <v>182285819</v>
      </c>
      <c r="AG142" s="45">
        <f>+VALUE(AF142:AF541)</f>
        <v>182285819</v>
      </c>
      <c r="AH142" s="72" t="s">
        <v>1120</v>
      </c>
      <c r="AI142" s="72" t="s">
        <v>754</v>
      </c>
      <c r="AJ142" s="72" t="s">
        <v>1108</v>
      </c>
      <c r="AK142" s="76" t="s">
        <v>1121</v>
      </c>
      <c r="AL142" s="72"/>
      <c r="AM142" s="72"/>
      <c r="AN142" s="72"/>
      <c r="AO142" s="72"/>
      <c r="AP142" s="72" t="s">
        <v>511</v>
      </c>
      <c r="AQ142" s="72"/>
      <c r="AR142" s="72"/>
      <c r="AS142" s="72"/>
      <c r="AT142" s="72"/>
      <c r="AU142" s="72"/>
      <c r="AV142" s="72"/>
      <c r="AW142" s="55" t="s">
        <v>2231</v>
      </c>
      <c r="AX142" s="55" t="s">
        <v>1517</v>
      </c>
    </row>
    <row r="143" spans="1:100" x14ac:dyDescent="0.3">
      <c r="A143" s="43">
        <v>142</v>
      </c>
      <c r="B143" s="43">
        <v>85</v>
      </c>
      <c r="C143" s="70" t="s">
        <v>2541</v>
      </c>
      <c r="D143" s="155">
        <v>7</v>
      </c>
      <c r="E143" s="78" t="s">
        <v>2066</v>
      </c>
      <c r="F143" s="66" t="s">
        <v>2067</v>
      </c>
      <c r="G143" s="80">
        <v>33571</v>
      </c>
      <c r="H143" s="47">
        <f t="shared" si="30"/>
        <v>54391</v>
      </c>
      <c r="I143" s="48">
        <f t="shared" si="24"/>
        <v>54393</v>
      </c>
      <c r="J143" s="48">
        <v>54393</v>
      </c>
      <c r="K143" s="67">
        <v>44027</v>
      </c>
      <c r="L143" s="121" t="s">
        <v>719</v>
      </c>
      <c r="M143" s="122" t="s">
        <v>287</v>
      </c>
      <c r="N143" s="106" t="s">
        <v>281</v>
      </c>
      <c r="O143" s="67">
        <v>44027</v>
      </c>
      <c r="P143" s="68"/>
      <c r="Q143" s="108" t="s">
        <v>72</v>
      </c>
      <c r="R143" s="70">
        <v>1.41</v>
      </c>
      <c r="S143" s="71"/>
      <c r="T143" s="72"/>
      <c r="U143" s="52">
        <f t="shared" si="28"/>
        <v>7487100</v>
      </c>
      <c r="V143" s="52">
        <f t="shared" si="29"/>
        <v>0</v>
      </c>
      <c r="W143" s="52">
        <f t="shared" si="26"/>
        <v>0</v>
      </c>
      <c r="X143" s="52">
        <f t="shared" si="27"/>
        <v>7487100</v>
      </c>
      <c r="Y143" s="52">
        <f>+VLOOKUP(E143,[2]Sheet1!$B$11:$J$400,9,0)</f>
        <v>6598800</v>
      </c>
      <c r="Z143" s="52"/>
      <c r="AA143" s="53" t="s">
        <v>2090</v>
      </c>
      <c r="AB143" s="72" t="s">
        <v>2091</v>
      </c>
      <c r="AC143" s="45" t="str">
        <f>+VLOOKUP(E143,[3]Sheet1!$B$11:$I$388,8,0)</f>
        <v>60 - 013</v>
      </c>
      <c r="AD143" s="72" t="s">
        <v>1787</v>
      </c>
      <c r="AE143" s="72" t="s">
        <v>2825</v>
      </c>
      <c r="AF143" s="66" t="s">
        <v>2068</v>
      </c>
      <c r="AG143" s="45">
        <f>+VALUE(AF132:AF534)</f>
        <v>261180643</v>
      </c>
      <c r="AH143" s="80" t="s">
        <v>2069</v>
      </c>
      <c r="AI143" s="72" t="s">
        <v>515</v>
      </c>
      <c r="AJ143" s="72" t="s">
        <v>2070</v>
      </c>
      <c r="AK143" s="76">
        <v>23182</v>
      </c>
      <c r="AL143" s="72"/>
      <c r="AM143" s="72"/>
      <c r="AN143" s="72" t="s">
        <v>562</v>
      </c>
      <c r="AO143" s="72"/>
      <c r="AP143" s="72"/>
      <c r="AQ143" s="72"/>
      <c r="AR143" s="72"/>
      <c r="AS143" s="72"/>
      <c r="AT143" s="67">
        <v>44026</v>
      </c>
      <c r="AU143" s="72"/>
      <c r="AV143" s="67">
        <v>44757</v>
      </c>
      <c r="AW143" s="55" t="s">
        <v>2225</v>
      </c>
      <c r="AX143" s="55" t="s">
        <v>1517</v>
      </c>
    </row>
    <row r="144" spans="1:100" x14ac:dyDescent="0.3">
      <c r="A144" s="43">
        <v>143</v>
      </c>
      <c r="B144" s="43">
        <v>86</v>
      </c>
      <c r="C144" s="70" t="s">
        <v>2541</v>
      </c>
      <c r="D144" s="155">
        <v>8</v>
      </c>
      <c r="E144" s="65" t="s">
        <v>148</v>
      </c>
      <c r="F144" s="66" t="s">
        <v>363</v>
      </c>
      <c r="G144" s="67">
        <v>33075</v>
      </c>
      <c r="H144" s="47">
        <f t="shared" si="30"/>
        <v>53894</v>
      </c>
      <c r="I144" s="48">
        <f t="shared" si="24"/>
        <v>53905</v>
      </c>
      <c r="J144" s="48">
        <v>53905</v>
      </c>
      <c r="K144" s="67">
        <v>41671</v>
      </c>
      <c r="L144" s="121" t="s">
        <v>719</v>
      </c>
      <c r="M144" s="122" t="s">
        <v>287</v>
      </c>
      <c r="N144" s="70" t="s">
        <v>285</v>
      </c>
      <c r="O144" s="67">
        <v>45839</v>
      </c>
      <c r="P144" s="68"/>
      <c r="Q144" s="68" t="s">
        <v>76</v>
      </c>
      <c r="R144" s="70">
        <v>1.58</v>
      </c>
      <c r="S144" s="71">
        <v>0.04</v>
      </c>
      <c r="T144" s="72"/>
      <c r="U144" s="52">
        <f t="shared" si="28"/>
        <v>8389800</v>
      </c>
      <c r="V144" s="52">
        <f t="shared" si="29"/>
        <v>198400</v>
      </c>
      <c r="W144" s="52">
        <f t="shared" si="26"/>
        <v>0</v>
      </c>
      <c r="X144" s="52">
        <f t="shared" si="27"/>
        <v>8588200</v>
      </c>
      <c r="Y144" s="52">
        <f>+VLOOKUP(E144,[2]Sheet1!$B$11:$J$400,9,0)</f>
        <v>7160400</v>
      </c>
      <c r="Z144" s="52"/>
      <c r="AA144" s="53" t="s">
        <v>1634</v>
      </c>
      <c r="AB144" s="72" t="s">
        <v>1122</v>
      </c>
      <c r="AC144" s="45" t="str">
        <f>+VLOOKUP(E144,[3]Sheet1!$B$11:$I$388,8,0)</f>
        <v>75 - 013</v>
      </c>
      <c r="AD144" s="72" t="s">
        <v>1787</v>
      </c>
      <c r="AE144" s="72" t="s">
        <v>2826</v>
      </c>
      <c r="AF144" s="66">
        <v>271899204</v>
      </c>
      <c r="AG144" s="45">
        <f>+VALUE(AF144:AF542)</f>
        <v>271899204</v>
      </c>
      <c r="AH144" s="72" t="s">
        <v>1123</v>
      </c>
      <c r="AI144" s="72" t="s">
        <v>519</v>
      </c>
      <c r="AJ144" s="72" t="s">
        <v>1124</v>
      </c>
      <c r="AK144" s="76" t="s">
        <v>1125</v>
      </c>
      <c r="AL144" s="72"/>
      <c r="AM144" s="72"/>
      <c r="AN144" s="72"/>
      <c r="AO144" s="72"/>
      <c r="AP144" s="72" t="s">
        <v>511</v>
      </c>
      <c r="AQ144" s="72"/>
      <c r="AR144" s="72"/>
      <c r="AS144" s="72"/>
      <c r="AT144" s="72"/>
      <c r="AU144" s="72"/>
      <c r="AV144" s="72"/>
      <c r="AW144" s="55" t="s">
        <v>2232</v>
      </c>
      <c r="AX144" s="55" t="s">
        <v>1517</v>
      </c>
    </row>
    <row r="145" spans="1:100" x14ac:dyDescent="0.3">
      <c r="A145" s="43">
        <v>144</v>
      </c>
      <c r="B145" s="43">
        <v>87</v>
      </c>
      <c r="C145" s="70" t="s">
        <v>2541</v>
      </c>
      <c r="D145" s="155">
        <v>9</v>
      </c>
      <c r="E145" s="65" t="s">
        <v>151</v>
      </c>
      <c r="F145" s="66" t="s">
        <v>366</v>
      </c>
      <c r="G145" s="67">
        <v>31600</v>
      </c>
      <c r="H145" s="47">
        <f t="shared" si="30"/>
        <v>52419</v>
      </c>
      <c r="I145" s="48">
        <f t="shared" si="24"/>
        <v>52444</v>
      </c>
      <c r="J145" s="48">
        <v>52444</v>
      </c>
      <c r="K145" s="67">
        <v>41671</v>
      </c>
      <c r="L145" s="121" t="s">
        <v>719</v>
      </c>
      <c r="M145" s="105" t="s">
        <v>287</v>
      </c>
      <c r="N145" s="70" t="s">
        <v>281</v>
      </c>
      <c r="O145" s="67">
        <v>45839</v>
      </c>
      <c r="P145" s="68"/>
      <c r="Q145" s="68" t="s">
        <v>76</v>
      </c>
      <c r="R145" s="70">
        <v>1.58</v>
      </c>
      <c r="S145" s="71"/>
      <c r="T145" s="72"/>
      <c r="U145" s="52">
        <f t="shared" si="28"/>
        <v>8389800</v>
      </c>
      <c r="V145" s="52">
        <f t="shared" si="29"/>
        <v>0</v>
      </c>
      <c r="W145" s="52">
        <f t="shared" si="26"/>
        <v>0</v>
      </c>
      <c r="X145" s="52">
        <f t="shared" si="27"/>
        <v>8389800</v>
      </c>
      <c r="Y145" s="52">
        <f>+VLOOKUP(E145,[2]Sheet1!$B$11:$J$400,9,0)</f>
        <v>6973200</v>
      </c>
      <c r="Z145" s="52"/>
      <c r="AA145" s="53" t="s">
        <v>1637</v>
      </c>
      <c r="AB145" s="72" t="s">
        <v>1131</v>
      </c>
      <c r="AC145" s="45" t="str">
        <f>+VLOOKUP(E145,[3]Sheet1!$B$11:$I$388,8,0)</f>
        <v>75 - 281</v>
      </c>
      <c r="AD145" s="72" t="s">
        <v>1787</v>
      </c>
      <c r="AE145" s="72" t="s">
        <v>2827</v>
      </c>
      <c r="AF145" s="66">
        <v>271774820</v>
      </c>
      <c r="AG145" s="45">
        <f>+VALUE(AF145:AF543)</f>
        <v>271774820</v>
      </c>
      <c r="AH145" s="72" t="s">
        <v>1132</v>
      </c>
      <c r="AI145" s="72" t="s">
        <v>519</v>
      </c>
      <c r="AJ145" s="72" t="s">
        <v>1133</v>
      </c>
      <c r="AK145" s="76" t="s">
        <v>750</v>
      </c>
      <c r="AL145" s="72"/>
      <c r="AM145" s="72"/>
      <c r="AN145" s="72"/>
      <c r="AO145" s="72"/>
      <c r="AP145" s="72" t="s">
        <v>511</v>
      </c>
      <c r="AQ145" s="72"/>
      <c r="AR145" s="72"/>
      <c r="AS145" s="72"/>
      <c r="AT145" s="72"/>
      <c r="AU145" s="72"/>
      <c r="AV145" s="72"/>
      <c r="AW145" s="55" t="s">
        <v>2233</v>
      </c>
      <c r="AX145" s="55" t="s">
        <v>1517</v>
      </c>
    </row>
    <row r="146" spans="1:100" x14ac:dyDescent="0.3">
      <c r="A146" s="43">
        <v>145</v>
      </c>
      <c r="B146" s="43">
        <v>88</v>
      </c>
      <c r="C146" s="70" t="s">
        <v>2541</v>
      </c>
      <c r="D146" s="155">
        <v>10</v>
      </c>
      <c r="E146" s="65" t="s">
        <v>2002</v>
      </c>
      <c r="F146" s="66" t="s">
        <v>2003</v>
      </c>
      <c r="G146" s="67">
        <v>33239</v>
      </c>
      <c r="H146" s="47">
        <f t="shared" si="30"/>
        <v>54058</v>
      </c>
      <c r="I146" s="48">
        <f t="shared" si="24"/>
        <v>54089</v>
      </c>
      <c r="J146" s="48">
        <v>54089</v>
      </c>
      <c r="K146" s="67">
        <v>43800</v>
      </c>
      <c r="L146" s="121" t="s">
        <v>719</v>
      </c>
      <c r="M146" s="105" t="s">
        <v>287</v>
      </c>
      <c r="N146" s="70" t="s">
        <v>281</v>
      </c>
      <c r="O146" s="67">
        <v>43800</v>
      </c>
      <c r="P146" s="68"/>
      <c r="Q146" s="68" t="s">
        <v>72</v>
      </c>
      <c r="R146" s="70">
        <v>1.41</v>
      </c>
      <c r="S146" s="71"/>
      <c r="T146" s="72"/>
      <c r="U146" s="52">
        <f t="shared" si="28"/>
        <v>7487100</v>
      </c>
      <c r="V146" s="52">
        <f t="shared" si="29"/>
        <v>0</v>
      </c>
      <c r="W146" s="52">
        <f t="shared" si="26"/>
        <v>0</v>
      </c>
      <c r="X146" s="52">
        <f t="shared" si="27"/>
        <v>7487100</v>
      </c>
      <c r="Y146" s="52">
        <f>+VLOOKUP(E146,[2]Sheet1!$B$11:$J$400,9,0)</f>
        <v>6598800</v>
      </c>
      <c r="Z146" s="52"/>
      <c r="AA146" s="53" t="s">
        <v>2699</v>
      </c>
      <c r="AB146" s="72"/>
      <c r="AC146" s="45" t="str">
        <f>+VLOOKUP(E146,[3]Sheet1!$B$11:$I$388,8,0)</f>
        <v>75 - 013</v>
      </c>
      <c r="AD146" s="72" t="s">
        <v>1787</v>
      </c>
      <c r="AE146" s="128" t="s">
        <v>3084</v>
      </c>
      <c r="AF146" s="66" t="s">
        <v>2004</v>
      </c>
      <c r="AG146" s="45">
        <f>+VALUE(AF146:AF544)</f>
        <v>272152251</v>
      </c>
      <c r="AH146" s="80" t="s">
        <v>2005</v>
      </c>
      <c r="AI146" s="72" t="s">
        <v>519</v>
      </c>
      <c r="AJ146" s="72" t="s">
        <v>1124</v>
      </c>
      <c r="AK146" s="76" t="s">
        <v>2013</v>
      </c>
      <c r="AL146" s="72"/>
      <c r="AM146" s="72"/>
      <c r="AN146" s="72" t="s">
        <v>2006</v>
      </c>
      <c r="AO146" s="72"/>
      <c r="AP146" s="72"/>
      <c r="AQ146" s="72"/>
      <c r="AR146" s="72"/>
      <c r="AS146" s="72"/>
      <c r="AT146" s="67">
        <v>43800</v>
      </c>
      <c r="AU146" s="72"/>
      <c r="AV146" s="67">
        <v>44531</v>
      </c>
      <c r="AW146" s="77" t="s">
        <v>2409</v>
      </c>
      <c r="AX146" s="55" t="s">
        <v>1517</v>
      </c>
    </row>
    <row r="147" spans="1:100" x14ac:dyDescent="0.3">
      <c r="A147" s="43">
        <v>146</v>
      </c>
      <c r="B147" s="43">
        <v>89</v>
      </c>
      <c r="C147" s="70" t="s">
        <v>2541</v>
      </c>
      <c r="D147" s="155">
        <v>11</v>
      </c>
      <c r="E147" s="65" t="s">
        <v>3198</v>
      </c>
      <c r="F147" s="66" t="s">
        <v>3199</v>
      </c>
      <c r="G147" s="67">
        <v>37570</v>
      </c>
      <c r="H147" s="47">
        <f t="shared" si="30"/>
        <v>58389</v>
      </c>
      <c r="I147" s="48">
        <f t="shared" si="24"/>
        <v>58410</v>
      </c>
      <c r="J147" s="48">
        <v>54090</v>
      </c>
      <c r="K147" s="67">
        <v>45444</v>
      </c>
      <c r="L147" s="121" t="s">
        <v>719</v>
      </c>
      <c r="M147" s="105" t="s">
        <v>287</v>
      </c>
      <c r="N147" s="70" t="s">
        <v>281</v>
      </c>
      <c r="O147" s="67">
        <v>45444</v>
      </c>
      <c r="P147" s="68"/>
      <c r="Q147" s="68" t="s">
        <v>72</v>
      </c>
      <c r="R147" s="70">
        <v>1.41</v>
      </c>
      <c r="S147" s="71"/>
      <c r="T147" s="72"/>
      <c r="U147" s="52">
        <f t="shared" si="28"/>
        <v>7487100</v>
      </c>
      <c r="V147" s="52">
        <f t="shared" si="29"/>
        <v>0</v>
      </c>
      <c r="W147" s="52">
        <f t="shared" si="26"/>
        <v>0</v>
      </c>
      <c r="X147" s="52">
        <f t="shared" si="27"/>
        <v>7487100</v>
      </c>
      <c r="Y147" s="52" t="e">
        <f>+VLOOKUP(E147,[2]Sheet1!$B$11:$J$400,9,0)</f>
        <v>#N/A</v>
      </c>
      <c r="Z147" s="52"/>
      <c r="AA147" s="53" t="s">
        <v>3211</v>
      </c>
      <c r="AB147" s="72"/>
      <c r="AC147" s="45"/>
      <c r="AD147" s="72" t="s">
        <v>1787</v>
      </c>
      <c r="AE147" s="128" t="s">
        <v>3200</v>
      </c>
      <c r="AF147" s="66"/>
      <c r="AG147" s="45"/>
      <c r="AH147" s="80" t="s">
        <v>3201</v>
      </c>
      <c r="AI147" s="72" t="s">
        <v>519</v>
      </c>
      <c r="AJ147" s="72" t="s">
        <v>3202</v>
      </c>
      <c r="AK147" s="76" t="s">
        <v>3203</v>
      </c>
      <c r="AL147" s="72"/>
      <c r="AM147" s="72"/>
      <c r="AN147" s="72" t="s">
        <v>3204</v>
      </c>
      <c r="AO147" s="72"/>
      <c r="AP147" s="72"/>
      <c r="AQ147" s="67">
        <v>45444</v>
      </c>
      <c r="AR147" s="72"/>
      <c r="AS147" s="67">
        <v>45474</v>
      </c>
      <c r="AT147" s="67"/>
      <c r="AU147" s="72"/>
      <c r="AV147" s="67"/>
      <c r="AW147" s="77" t="s">
        <v>3209</v>
      </c>
      <c r="AX147" s="82" t="s">
        <v>1517</v>
      </c>
    </row>
    <row r="148" spans="1:100" x14ac:dyDescent="0.3">
      <c r="A148" s="43">
        <v>147</v>
      </c>
      <c r="B148" s="43">
        <v>90</v>
      </c>
      <c r="C148" s="70" t="s">
        <v>2541</v>
      </c>
      <c r="D148" s="148">
        <v>1</v>
      </c>
      <c r="E148" s="65" t="s">
        <v>149</v>
      </c>
      <c r="F148" s="66" t="s">
        <v>364</v>
      </c>
      <c r="G148" s="67">
        <v>26092</v>
      </c>
      <c r="H148" s="47">
        <f t="shared" si="30"/>
        <v>46912</v>
      </c>
      <c r="I148" s="48">
        <f t="shared" si="24"/>
        <v>46935</v>
      </c>
      <c r="J148" s="48">
        <v>46935</v>
      </c>
      <c r="K148" s="67">
        <v>34820</v>
      </c>
      <c r="L148" s="152" t="s">
        <v>720</v>
      </c>
      <c r="M148" s="105" t="s">
        <v>287</v>
      </c>
      <c r="N148" s="70" t="s">
        <v>284</v>
      </c>
      <c r="O148" s="67">
        <v>42979</v>
      </c>
      <c r="P148" s="68"/>
      <c r="Q148" s="68" t="s">
        <v>74</v>
      </c>
      <c r="R148" s="70">
        <v>1.68</v>
      </c>
      <c r="S148" s="71">
        <v>0.06</v>
      </c>
      <c r="T148" s="72"/>
      <c r="U148" s="52">
        <f t="shared" si="28"/>
        <v>8920800</v>
      </c>
      <c r="V148" s="52">
        <f t="shared" si="29"/>
        <v>297600</v>
      </c>
      <c r="W148" s="52">
        <f t="shared" si="26"/>
        <v>0</v>
      </c>
      <c r="X148" s="52">
        <f t="shared" si="27"/>
        <v>9218400</v>
      </c>
      <c r="Y148" s="52">
        <f>+VLOOKUP(E148,[2]Sheet1!$B$11:$J$400,9,0)</f>
        <v>8143200</v>
      </c>
      <c r="Z148" s="52"/>
      <c r="AA148" s="53" t="s">
        <v>1635</v>
      </c>
      <c r="AB148" s="72" t="s">
        <v>1126</v>
      </c>
      <c r="AC148" s="45" t="str">
        <f>+VLOOKUP(E148,[3]Sheet1!$B$11:$I$388,8,0)</f>
        <v>75 - 281</v>
      </c>
      <c r="AD148" s="72" t="s">
        <v>1787</v>
      </c>
      <c r="AE148" s="72" t="s">
        <v>2828</v>
      </c>
      <c r="AF148" s="66">
        <v>272790024</v>
      </c>
      <c r="AG148" s="45">
        <f>+VALUE(AF148:AF545)</f>
        <v>272790024</v>
      </c>
      <c r="AH148" s="72" t="s">
        <v>923</v>
      </c>
      <c r="AI148" s="72" t="s">
        <v>519</v>
      </c>
      <c r="AJ148" s="72" t="s">
        <v>1127</v>
      </c>
      <c r="AK148" s="76" t="s">
        <v>1128</v>
      </c>
      <c r="AL148" s="72"/>
      <c r="AM148" s="72"/>
      <c r="AN148" s="72"/>
      <c r="AO148" s="72"/>
      <c r="AP148" s="72" t="s">
        <v>511</v>
      </c>
      <c r="AQ148" s="72"/>
      <c r="AR148" s="72"/>
      <c r="AS148" s="72"/>
      <c r="AT148" s="72"/>
      <c r="AU148" s="72"/>
      <c r="AV148" s="72"/>
      <c r="AW148" s="55" t="s">
        <v>2234</v>
      </c>
      <c r="AX148" s="55" t="s">
        <v>1517</v>
      </c>
    </row>
    <row r="149" spans="1:100" x14ac:dyDescent="0.3">
      <c r="A149" s="43">
        <v>148</v>
      </c>
      <c r="B149" s="43">
        <v>91</v>
      </c>
      <c r="C149" s="70" t="s">
        <v>2541</v>
      </c>
      <c r="D149" s="148">
        <v>2</v>
      </c>
      <c r="E149" s="65" t="s">
        <v>150</v>
      </c>
      <c r="F149" s="66" t="s">
        <v>365</v>
      </c>
      <c r="G149" s="67">
        <v>31248</v>
      </c>
      <c r="H149" s="47">
        <f t="shared" si="30"/>
        <v>52067</v>
      </c>
      <c r="I149" s="48">
        <f t="shared" ref="I149:I156" si="31">+EOMONTH(H149,0)+1</f>
        <v>52079</v>
      </c>
      <c r="J149" s="48">
        <v>52079</v>
      </c>
      <c r="K149" s="67">
        <v>41671</v>
      </c>
      <c r="L149" s="152" t="s">
        <v>720</v>
      </c>
      <c r="M149" s="122" t="s">
        <v>287</v>
      </c>
      <c r="N149" s="70" t="s">
        <v>281</v>
      </c>
      <c r="O149" s="67">
        <v>42370</v>
      </c>
      <c r="P149" s="68"/>
      <c r="Q149" s="124" t="s">
        <v>71</v>
      </c>
      <c r="R149" s="70">
        <v>1.49</v>
      </c>
      <c r="S149" s="71"/>
      <c r="T149" s="72"/>
      <c r="U149" s="52">
        <f t="shared" si="28"/>
        <v>7911900</v>
      </c>
      <c r="V149" s="52">
        <f t="shared" si="29"/>
        <v>0</v>
      </c>
      <c r="W149" s="52">
        <f t="shared" si="26"/>
        <v>0</v>
      </c>
      <c r="X149" s="52">
        <f t="shared" si="27"/>
        <v>7911900</v>
      </c>
      <c r="Y149" s="52">
        <f>+VLOOKUP(E149,[2]Sheet1!$B$11:$J$400,9,0)</f>
        <v>6973200</v>
      </c>
      <c r="Z149" s="52"/>
      <c r="AA149" s="53" t="s">
        <v>1636</v>
      </c>
      <c r="AB149" s="72" t="s">
        <v>1122</v>
      </c>
      <c r="AC149" s="45" t="str">
        <f>+VLOOKUP(E149,[3]Sheet1!$B$11:$I$388,8,0)</f>
        <v>75 - 281</v>
      </c>
      <c r="AD149" s="72" t="s">
        <v>1787</v>
      </c>
      <c r="AE149" s="72" t="s">
        <v>2829</v>
      </c>
      <c r="AF149" s="66">
        <v>271717015</v>
      </c>
      <c r="AG149" s="45">
        <f>+VALUE(AF149:AF548)</f>
        <v>271717015</v>
      </c>
      <c r="AH149" s="72" t="s">
        <v>1129</v>
      </c>
      <c r="AI149" s="72" t="s">
        <v>519</v>
      </c>
      <c r="AJ149" s="72" t="s">
        <v>1130</v>
      </c>
      <c r="AK149" s="76" t="s">
        <v>1840</v>
      </c>
      <c r="AL149" s="72"/>
      <c r="AM149" s="72"/>
      <c r="AN149" s="72" t="s">
        <v>588</v>
      </c>
      <c r="AO149" s="72"/>
      <c r="AP149" s="72"/>
      <c r="AQ149" s="72"/>
      <c r="AR149" s="72"/>
      <c r="AS149" s="72"/>
      <c r="AT149" s="72"/>
      <c r="AU149" s="72"/>
      <c r="AV149" s="72"/>
      <c r="AW149" s="55" t="s">
        <v>2235</v>
      </c>
      <c r="AX149" s="55" t="s">
        <v>1517</v>
      </c>
    </row>
    <row r="150" spans="1:100" x14ac:dyDescent="0.3">
      <c r="A150" s="43">
        <v>149</v>
      </c>
      <c r="B150" s="43">
        <v>92</v>
      </c>
      <c r="C150" s="70" t="s">
        <v>2541</v>
      </c>
      <c r="D150" s="148">
        <v>3</v>
      </c>
      <c r="E150" s="65" t="s">
        <v>147</v>
      </c>
      <c r="F150" s="66" t="s">
        <v>600</v>
      </c>
      <c r="G150" s="67">
        <v>35410</v>
      </c>
      <c r="H150" s="47">
        <f t="shared" si="30"/>
        <v>56229</v>
      </c>
      <c r="I150" s="48">
        <f t="shared" si="31"/>
        <v>56250</v>
      </c>
      <c r="J150" s="48">
        <v>56250</v>
      </c>
      <c r="K150" s="67">
        <v>43191</v>
      </c>
      <c r="L150" s="152" t="s">
        <v>720</v>
      </c>
      <c r="M150" s="105" t="s">
        <v>287</v>
      </c>
      <c r="N150" s="70" t="s">
        <v>281</v>
      </c>
      <c r="O150" s="67">
        <v>43160</v>
      </c>
      <c r="P150" s="68"/>
      <c r="Q150" s="124" t="s">
        <v>71</v>
      </c>
      <c r="R150" s="70">
        <v>1.49</v>
      </c>
      <c r="S150" s="71"/>
      <c r="T150" s="72"/>
      <c r="U150" s="52">
        <f t="shared" si="28"/>
        <v>7911900</v>
      </c>
      <c r="V150" s="52">
        <f t="shared" si="29"/>
        <v>0</v>
      </c>
      <c r="W150" s="52">
        <f t="shared" si="26"/>
        <v>0</v>
      </c>
      <c r="X150" s="52">
        <f t="shared" si="27"/>
        <v>7911900</v>
      </c>
      <c r="Y150" s="52">
        <f>+VLOOKUP(E150,[2]Sheet1!$B$11:$J$400,9,0)</f>
        <v>6973200</v>
      </c>
      <c r="Z150" s="52"/>
      <c r="AA150" s="53" t="s">
        <v>1633</v>
      </c>
      <c r="AB150" s="72" t="s">
        <v>605</v>
      </c>
      <c r="AC150" s="45" t="str">
        <f>+VLOOKUP(E150,[3]Sheet1!$B$11:$I$388,8,0)</f>
        <v>75 - 013</v>
      </c>
      <c r="AD150" s="72" t="s">
        <v>1787</v>
      </c>
      <c r="AE150" s="72" t="s">
        <v>2830</v>
      </c>
      <c r="AF150" s="66" t="s">
        <v>602</v>
      </c>
      <c r="AG150" s="45">
        <f>+VALUE(AF150:AF549)</f>
        <v>272558065</v>
      </c>
      <c r="AH150" s="80" t="s">
        <v>1969</v>
      </c>
      <c r="AI150" s="72" t="s">
        <v>519</v>
      </c>
      <c r="AJ150" s="72" t="s">
        <v>601</v>
      </c>
      <c r="AK150" s="76" t="e">
        <v>#N/A</v>
      </c>
      <c r="AL150" s="72"/>
      <c r="AM150" s="72"/>
      <c r="AN150" s="72" t="s">
        <v>562</v>
      </c>
      <c r="AO150" s="72"/>
      <c r="AP150" s="72"/>
      <c r="AQ150" s="72"/>
      <c r="AR150" s="72"/>
      <c r="AS150" s="72"/>
      <c r="AT150" s="72"/>
      <c r="AU150" s="72"/>
      <c r="AV150" s="72"/>
      <c r="AW150" s="55" t="s">
        <v>2236</v>
      </c>
      <c r="AX150" s="55" t="s">
        <v>1517</v>
      </c>
    </row>
    <row r="151" spans="1:100" x14ac:dyDescent="0.3">
      <c r="A151" s="43">
        <v>150</v>
      </c>
      <c r="B151" s="43">
        <v>93</v>
      </c>
      <c r="C151" s="70" t="s">
        <v>2541</v>
      </c>
      <c r="D151" s="148">
        <v>4</v>
      </c>
      <c r="E151" s="65" t="s">
        <v>586</v>
      </c>
      <c r="F151" s="66" t="s">
        <v>594</v>
      </c>
      <c r="G151" s="67">
        <v>33963</v>
      </c>
      <c r="H151" s="47">
        <f t="shared" si="30"/>
        <v>54782</v>
      </c>
      <c r="I151" s="48">
        <f t="shared" si="31"/>
        <v>54789</v>
      </c>
      <c r="J151" s="48">
        <v>54789</v>
      </c>
      <c r="K151" s="67">
        <v>43221</v>
      </c>
      <c r="L151" s="152" t="s">
        <v>720</v>
      </c>
      <c r="M151" s="105" t="s">
        <v>287</v>
      </c>
      <c r="N151" s="70" t="s">
        <v>285</v>
      </c>
      <c r="O151" s="67">
        <v>43221</v>
      </c>
      <c r="P151" s="68"/>
      <c r="Q151" s="124" t="s">
        <v>71</v>
      </c>
      <c r="R151" s="70">
        <v>1.49</v>
      </c>
      <c r="S151" s="71">
        <v>0.04</v>
      </c>
      <c r="T151" s="72"/>
      <c r="U151" s="52">
        <f t="shared" si="28"/>
        <v>7911900</v>
      </c>
      <c r="V151" s="52">
        <f t="shared" si="29"/>
        <v>198400</v>
      </c>
      <c r="W151" s="52">
        <f t="shared" si="26"/>
        <v>0</v>
      </c>
      <c r="X151" s="52">
        <f t="shared" si="27"/>
        <v>8110300</v>
      </c>
      <c r="Y151" s="52">
        <f>+VLOOKUP(E151,[2]Sheet1!$B$11:$J$400,9,0)</f>
        <v>7160400</v>
      </c>
      <c r="Z151" s="52"/>
      <c r="AA151" s="53" t="s">
        <v>1782</v>
      </c>
      <c r="AB151" s="72" t="s">
        <v>595</v>
      </c>
      <c r="AC151" s="45" t="str">
        <f>+VLOOKUP(E151,[3]Sheet1!$B$11:$I$388,8,0)</f>
        <v>75 - 281</v>
      </c>
      <c r="AD151" s="72" t="s">
        <v>1787</v>
      </c>
      <c r="AE151" s="72" t="s">
        <v>2831</v>
      </c>
      <c r="AF151" s="66" t="s">
        <v>596</v>
      </c>
      <c r="AG151" s="45">
        <f>+VALUE(AF151:AF550)</f>
        <v>272152207</v>
      </c>
      <c r="AH151" s="80" t="s">
        <v>2056</v>
      </c>
      <c r="AI151" s="72" t="s">
        <v>519</v>
      </c>
      <c r="AJ151" s="72" t="s">
        <v>597</v>
      </c>
      <c r="AK151" s="76"/>
      <c r="AL151" s="72"/>
      <c r="AM151" s="72"/>
      <c r="AN151" s="72" t="s">
        <v>598</v>
      </c>
      <c r="AO151" s="72"/>
      <c r="AP151" s="72"/>
      <c r="AQ151" s="72"/>
      <c r="AR151" s="72"/>
      <c r="AS151" s="72"/>
      <c r="AT151" s="72"/>
      <c r="AU151" s="72"/>
      <c r="AV151" s="72"/>
      <c r="AW151" s="55" t="s">
        <v>2237</v>
      </c>
      <c r="AX151" s="55" t="s">
        <v>1517</v>
      </c>
    </row>
    <row r="152" spans="1:100" x14ac:dyDescent="0.3">
      <c r="A152" s="43">
        <v>151</v>
      </c>
      <c r="B152" s="43">
        <v>94</v>
      </c>
      <c r="C152" s="70" t="s">
        <v>2541</v>
      </c>
      <c r="D152" s="148">
        <v>5</v>
      </c>
      <c r="E152" s="72" t="s">
        <v>137</v>
      </c>
      <c r="F152" s="66" t="s">
        <v>350</v>
      </c>
      <c r="G152" s="67">
        <v>30947</v>
      </c>
      <c r="H152" s="47">
        <f t="shared" si="30"/>
        <v>51766</v>
      </c>
      <c r="I152" s="48">
        <f t="shared" si="31"/>
        <v>51775</v>
      </c>
      <c r="J152" s="48">
        <v>51775</v>
      </c>
      <c r="K152" s="67">
        <v>39479</v>
      </c>
      <c r="L152" s="152" t="s">
        <v>720</v>
      </c>
      <c r="M152" s="105" t="s">
        <v>287</v>
      </c>
      <c r="N152" s="70" t="s">
        <v>281</v>
      </c>
      <c r="O152" s="67">
        <v>41640</v>
      </c>
      <c r="P152" s="92"/>
      <c r="Q152" s="92" t="s">
        <v>71</v>
      </c>
      <c r="R152" s="70">
        <v>1.49</v>
      </c>
      <c r="S152" s="71"/>
      <c r="T152" s="72"/>
      <c r="U152" s="52">
        <f t="shared" si="28"/>
        <v>7911900</v>
      </c>
      <c r="V152" s="52">
        <f t="shared" si="29"/>
        <v>0</v>
      </c>
      <c r="W152" s="52">
        <f t="shared" si="26"/>
        <v>0</v>
      </c>
      <c r="X152" s="52">
        <f t="shared" si="27"/>
        <v>7911900</v>
      </c>
      <c r="Y152" s="52">
        <f>+VLOOKUP(E152,[2]Sheet1!$B$11:$J$400,9,0)</f>
        <v>6973200</v>
      </c>
      <c r="Z152" s="52"/>
      <c r="AA152" s="53" t="s">
        <v>1620</v>
      </c>
      <c r="AB152" s="72" t="s">
        <v>1083</v>
      </c>
      <c r="AC152" s="45" t="str">
        <f>+VLOOKUP(E152,[3]Sheet1!$B$11:$I$388,8,0)</f>
        <v>75 - 281</v>
      </c>
      <c r="AD152" s="72" t="s">
        <v>1787</v>
      </c>
      <c r="AE152" s="72" t="s">
        <v>2832</v>
      </c>
      <c r="AF152" s="66">
        <v>271600964</v>
      </c>
      <c r="AG152" s="45">
        <f>+VALUE(AF128:AF527)</f>
        <v>271600964</v>
      </c>
      <c r="AH152" s="72" t="s">
        <v>1084</v>
      </c>
      <c r="AI152" s="72" t="s">
        <v>519</v>
      </c>
      <c r="AJ152" s="72" t="s">
        <v>1085</v>
      </c>
      <c r="AK152" s="76" t="s">
        <v>750</v>
      </c>
      <c r="AL152" s="72"/>
      <c r="AM152" s="72"/>
      <c r="AN152" s="72"/>
      <c r="AO152" s="72" t="s">
        <v>504</v>
      </c>
      <c r="AP152" s="72"/>
      <c r="AQ152" s="72"/>
      <c r="AR152" s="72"/>
      <c r="AS152" s="72"/>
      <c r="AT152" s="72"/>
      <c r="AU152" s="72"/>
      <c r="AV152" s="72"/>
      <c r="AW152" s="77" t="s">
        <v>2220</v>
      </c>
      <c r="AX152" s="55" t="s">
        <v>1517</v>
      </c>
    </row>
    <row r="153" spans="1:100" s="82" customFormat="1" x14ac:dyDescent="0.3">
      <c r="A153" s="43">
        <v>152</v>
      </c>
      <c r="B153" s="43">
        <v>95</v>
      </c>
      <c r="C153" s="70" t="s">
        <v>2541</v>
      </c>
      <c r="D153" s="148">
        <v>6</v>
      </c>
      <c r="E153" s="65" t="s">
        <v>2647</v>
      </c>
      <c r="F153" s="66" t="s">
        <v>2648</v>
      </c>
      <c r="G153" s="67">
        <v>37559</v>
      </c>
      <c r="H153" s="47">
        <f t="shared" si="30"/>
        <v>58378</v>
      </c>
      <c r="I153" s="48">
        <f t="shared" si="31"/>
        <v>58380</v>
      </c>
      <c r="J153" s="48">
        <v>58380</v>
      </c>
      <c r="K153" s="67">
        <v>44896</v>
      </c>
      <c r="L153" s="152" t="s">
        <v>720</v>
      </c>
      <c r="M153" s="105" t="s">
        <v>287</v>
      </c>
      <c r="N153" s="70" t="s">
        <v>281</v>
      </c>
      <c r="O153" s="67">
        <v>44896</v>
      </c>
      <c r="P153" s="68"/>
      <c r="Q153" s="68" t="s">
        <v>72</v>
      </c>
      <c r="R153" s="70">
        <v>1.41</v>
      </c>
      <c r="S153" s="71"/>
      <c r="T153" s="72"/>
      <c r="U153" s="52">
        <f t="shared" si="28"/>
        <v>7487100</v>
      </c>
      <c r="V153" s="52">
        <f t="shared" si="29"/>
        <v>0</v>
      </c>
      <c r="W153" s="52">
        <f t="shared" si="26"/>
        <v>0</v>
      </c>
      <c r="X153" s="52">
        <f t="shared" si="27"/>
        <v>7487100</v>
      </c>
      <c r="Y153" s="52">
        <f>+VLOOKUP(E153,[2]Sheet1!$B$11:$J$400,9,0)</f>
        <v>6598800</v>
      </c>
      <c r="Z153" s="52"/>
      <c r="AA153" s="53" t="s">
        <v>2700</v>
      </c>
      <c r="AB153" s="72"/>
      <c r="AC153" s="45" t="str">
        <f>+VLOOKUP(E153,[3]Sheet1!$B$11:$I$388,8,0)</f>
        <v>75 - 013</v>
      </c>
      <c r="AD153" s="72" t="s">
        <v>1787</v>
      </c>
      <c r="AE153" s="72" t="s">
        <v>2649</v>
      </c>
      <c r="AF153" s="66" t="s">
        <v>2649</v>
      </c>
      <c r="AG153" s="45">
        <f>+VALUE(AF153:AF554)</f>
        <v>42202007388</v>
      </c>
      <c r="AH153" s="80" t="s">
        <v>2650</v>
      </c>
      <c r="AI153" s="72" t="s">
        <v>2427</v>
      </c>
      <c r="AJ153" s="72" t="s">
        <v>2651</v>
      </c>
      <c r="AK153" s="76" t="s">
        <v>2652</v>
      </c>
      <c r="AL153" s="72"/>
      <c r="AM153" s="72"/>
      <c r="AN153" s="72"/>
      <c r="AO153" s="72"/>
      <c r="AP153" s="72" t="s">
        <v>524</v>
      </c>
      <c r="AQ153" s="67">
        <v>44896</v>
      </c>
      <c r="AR153" s="72"/>
      <c r="AS153" s="72"/>
      <c r="AT153" s="67">
        <v>44927</v>
      </c>
      <c r="AU153" s="72"/>
      <c r="AV153" s="67">
        <v>45658</v>
      </c>
      <c r="AW153" s="77" t="s">
        <v>2653</v>
      </c>
      <c r="AX153" s="55" t="s">
        <v>1517</v>
      </c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</row>
    <row r="154" spans="1:100" x14ac:dyDescent="0.3">
      <c r="A154" s="43">
        <v>153</v>
      </c>
      <c r="B154" s="43">
        <v>96</v>
      </c>
      <c r="C154" s="70" t="s">
        <v>2541</v>
      </c>
      <c r="D154" s="148">
        <v>7</v>
      </c>
      <c r="E154" s="65" t="s">
        <v>2682</v>
      </c>
      <c r="F154" s="66" t="s">
        <v>2683</v>
      </c>
      <c r="G154" s="67">
        <v>33098</v>
      </c>
      <c r="H154" s="47">
        <f t="shared" si="30"/>
        <v>53917</v>
      </c>
      <c r="I154" s="48">
        <f t="shared" si="31"/>
        <v>53936</v>
      </c>
      <c r="J154" s="48">
        <v>53936</v>
      </c>
      <c r="K154" s="67">
        <v>44896</v>
      </c>
      <c r="L154" s="152" t="s">
        <v>720</v>
      </c>
      <c r="M154" s="105" t="s">
        <v>287</v>
      </c>
      <c r="N154" s="70" t="s">
        <v>281</v>
      </c>
      <c r="O154" s="67">
        <v>44896</v>
      </c>
      <c r="P154" s="68"/>
      <c r="Q154" s="68" t="s">
        <v>72</v>
      </c>
      <c r="R154" s="70">
        <v>1.41</v>
      </c>
      <c r="S154" s="71"/>
      <c r="T154" s="72"/>
      <c r="U154" s="52">
        <f t="shared" si="28"/>
        <v>7487100</v>
      </c>
      <c r="V154" s="52">
        <f t="shared" si="29"/>
        <v>0</v>
      </c>
      <c r="W154" s="52">
        <f t="shared" si="26"/>
        <v>0</v>
      </c>
      <c r="X154" s="52">
        <f t="shared" si="27"/>
        <v>7487100</v>
      </c>
      <c r="Y154" s="52">
        <f>+VLOOKUP(E154,[2]Sheet1!$B$11:$J$400,9,0)</f>
        <v>6598800</v>
      </c>
      <c r="Z154" s="52"/>
      <c r="AA154" s="53" t="s">
        <v>2701</v>
      </c>
      <c r="AB154" s="72"/>
      <c r="AC154" s="45" t="str">
        <f>+VLOOKUP(E154,[3]Sheet1!$B$11:$I$388,8,0)</f>
        <v>75 - 281</v>
      </c>
      <c r="AD154" s="72" t="s">
        <v>1787</v>
      </c>
      <c r="AE154" s="72" t="s">
        <v>2833</v>
      </c>
      <c r="AF154" s="66" t="s">
        <v>2684</v>
      </c>
      <c r="AG154" s="72">
        <f>+VALUE(AF154:AF555)</f>
        <v>312163809</v>
      </c>
      <c r="AH154" s="80" t="s">
        <v>3075</v>
      </c>
      <c r="AI154" s="72" t="s">
        <v>2427</v>
      </c>
      <c r="AJ154" s="72" t="s">
        <v>2685</v>
      </c>
      <c r="AK154" s="76" t="s">
        <v>2686</v>
      </c>
      <c r="AL154" s="72"/>
      <c r="AM154" s="72"/>
      <c r="AN154" s="72"/>
      <c r="AO154" s="72"/>
      <c r="AP154" s="72" t="s">
        <v>3331</v>
      </c>
      <c r="AQ154" s="67">
        <v>44927</v>
      </c>
      <c r="AR154" s="72"/>
      <c r="AS154" s="72"/>
      <c r="AT154" s="67">
        <v>44958</v>
      </c>
      <c r="AU154" s="72"/>
      <c r="AV154" s="67">
        <v>45689</v>
      </c>
      <c r="AW154" s="127" t="s">
        <v>2687</v>
      </c>
      <c r="AX154" s="82" t="s">
        <v>1517</v>
      </c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</row>
    <row r="155" spans="1:100" s="82" customFormat="1" x14ac:dyDescent="0.3">
      <c r="A155" s="43">
        <v>154</v>
      </c>
      <c r="B155" s="43">
        <v>97</v>
      </c>
      <c r="C155" s="70" t="s">
        <v>2541</v>
      </c>
      <c r="D155" s="148">
        <v>8</v>
      </c>
      <c r="E155" s="78" t="s">
        <v>211</v>
      </c>
      <c r="F155" s="66" t="s">
        <v>418</v>
      </c>
      <c r="G155" s="67">
        <v>26602</v>
      </c>
      <c r="H155" s="47">
        <f t="shared" si="30"/>
        <v>47421</v>
      </c>
      <c r="I155" s="48">
        <f t="shared" si="31"/>
        <v>47423</v>
      </c>
      <c r="J155" s="48">
        <v>47423</v>
      </c>
      <c r="K155" s="67">
        <v>35370</v>
      </c>
      <c r="L155" s="152" t="s">
        <v>720</v>
      </c>
      <c r="M155" s="122" t="s">
        <v>287</v>
      </c>
      <c r="N155" s="70" t="s">
        <v>281</v>
      </c>
      <c r="O155" s="67">
        <v>42979</v>
      </c>
      <c r="P155" s="68"/>
      <c r="Q155" s="108" t="s">
        <v>74</v>
      </c>
      <c r="R155" s="70">
        <v>1.68</v>
      </c>
      <c r="S155" s="71"/>
      <c r="T155" s="72"/>
      <c r="U155" s="52">
        <f t="shared" si="28"/>
        <v>8920800</v>
      </c>
      <c r="V155" s="52">
        <f t="shared" si="29"/>
        <v>0</v>
      </c>
      <c r="W155" s="52">
        <f t="shared" si="26"/>
        <v>0</v>
      </c>
      <c r="X155" s="52">
        <f t="shared" si="27"/>
        <v>8920800</v>
      </c>
      <c r="Y155" s="52">
        <f>+VLOOKUP(E155,[2]Sheet1!$B$11:$J$400,9,0)</f>
        <v>7862400</v>
      </c>
      <c r="Z155" s="52"/>
      <c r="AA155" s="53" t="s">
        <v>1693</v>
      </c>
      <c r="AB155" s="72" t="s">
        <v>1257</v>
      </c>
      <c r="AC155" s="45" t="str">
        <f>+VLOOKUP(E155,[3]Sheet1!$B$11:$I$388,8,0)</f>
        <v>75 - 281</v>
      </c>
      <c r="AD155" s="72" t="s">
        <v>1787</v>
      </c>
      <c r="AE155" s="128" t="s">
        <v>2888</v>
      </c>
      <c r="AF155" s="66" t="s">
        <v>2476</v>
      </c>
      <c r="AG155" s="72">
        <f>+VALUE(AF155:AF624)</f>
        <v>260757960</v>
      </c>
      <c r="AH155" s="72" t="s">
        <v>1259</v>
      </c>
      <c r="AI155" s="72" t="s">
        <v>515</v>
      </c>
      <c r="AJ155" s="72" t="s">
        <v>1188</v>
      </c>
      <c r="AK155" s="76" t="s">
        <v>1260</v>
      </c>
      <c r="AL155" s="72"/>
      <c r="AM155" s="72"/>
      <c r="AN155" s="72"/>
      <c r="AO155" s="72"/>
      <c r="AP155" s="72" t="s">
        <v>538</v>
      </c>
      <c r="AQ155" s="72"/>
      <c r="AR155" s="72"/>
      <c r="AS155" s="72"/>
      <c r="AT155" s="72"/>
      <c r="AU155" s="72"/>
      <c r="AV155" s="72"/>
      <c r="AW155" s="82" t="s">
        <v>2297</v>
      </c>
      <c r="AX155" s="82" t="s">
        <v>1517</v>
      </c>
      <c r="BJ155" s="55"/>
      <c r="BK155" s="55"/>
      <c r="BL155" s="55"/>
      <c r="BM155" s="55"/>
      <c r="BN155" s="55"/>
      <c r="BO155" s="55"/>
      <c r="BP155" s="55"/>
      <c r="BQ155" s="55"/>
      <c r="BR155" s="55"/>
      <c r="BS155" s="55"/>
      <c r="BT155" s="55"/>
      <c r="BU155" s="55"/>
      <c r="BV155" s="55"/>
      <c r="BW155" s="55"/>
      <c r="BX155" s="55"/>
      <c r="BY155" s="55"/>
      <c r="BZ155" s="55"/>
      <c r="CA155" s="55"/>
      <c r="CB155" s="55"/>
      <c r="CC155" s="55"/>
      <c r="CD155" s="55"/>
      <c r="CE155" s="55"/>
      <c r="CF155" s="55"/>
      <c r="CG155" s="55"/>
      <c r="CH155" s="55"/>
      <c r="CI155" s="55"/>
      <c r="CJ155" s="55"/>
      <c r="CK155" s="55"/>
      <c r="CL155" s="55"/>
      <c r="CM155" s="55"/>
      <c r="CN155" s="55"/>
      <c r="CO155" s="55"/>
      <c r="CP155" s="55"/>
      <c r="CQ155" s="55"/>
      <c r="CR155" s="55"/>
      <c r="CS155" s="55"/>
      <c r="CT155" s="55"/>
      <c r="CU155" s="55"/>
      <c r="CV155" s="55"/>
    </row>
    <row r="156" spans="1:100" s="82" customFormat="1" x14ac:dyDescent="0.3">
      <c r="A156" s="43">
        <v>155</v>
      </c>
      <c r="B156" s="43">
        <v>98</v>
      </c>
      <c r="C156" s="70" t="s">
        <v>2541</v>
      </c>
      <c r="D156" s="148">
        <v>9</v>
      </c>
      <c r="E156" s="78" t="s">
        <v>141</v>
      </c>
      <c r="F156" s="66" t="s">
        <v>354</v>
      </c>
      <c r="G156" s="67">
        <v>25805</v>
      </c>
      <c r="H156" s="47">
        <v>46532</v>
      </c>
      <c r="I156" s="48">
        <f t="shared" si="31"/>
        <v>46539</v>
      </c>
      <c r="J156" s="48">
        <v>46539</v>
      </c>
      <c r="K156" s="67">
        <v>34973</v>
      </c>
      <c r="L156" s="152" t="s">
        <v>720</v>
      </c>
      <c r="M156" s="105" t="s">
        <v>287</v>
      </c>
      <c r="N156" s="70" t="s">
        <v>281</v>
      </c>
      <c r="O156" s="67">
        <v>41091</v>
      </c>
      <c r="P156" s="68"/>
      <c r="Q156" s="68" t="s">
        <v>71</v>
      </c>
      <c r="R156" s="70">
        <v>1.49</v>
      </c>
      <c r="S156" s="71"/>
      <c r="T156" s="72"/>
      <c r="U156" s="52">
        <f t="shared" si="28"/>
        <v>7911900</v>
      </c>
      <c r="V156" s="52">
        <f t="shared" si="29"/>
        <v>0</v>
      </c>
      <c r="W156" s="52">
        <f t="shared" si="26"/>
        <v>0</v>
      </c>
      <c r="X156" s="52">
        <f t="shared" si="27"/>
        <v>7911900</v>
      </c>
      <c r="Y156" s="52">
        <f>+VLOOKUP(E156,[2]Sheet1!$B$11:$J$400,9,0)</f>
        <v>6973200</v>
      </c>
      <c r="Z156" s="52"/>
      <c r="AA156" s="53" t="s">
        <v>1624</v>
      </c>
      <c r="AB156" s="72" t="s">
        <v>1096</v>
      </c>
      <c r="AC156" s="45" t="str">
        <f>+VLOOKUP(E156,[3]Sheet1!$B$11:$I$388,8,0)</f>
        <v>75 - 026</v>
      </c>
      <c r="AD156" s="72" t="s">
        <v>1787</v>
      </c>
      <c r="AE156" s="72" t="s">
        <v>2815</v>
      </c>
      <c r="AF156" s="66">
        <v>271718115</v>
      </c>
      <c r="AG156" s="45">
        <f>+VALUE(AF130:AF530)</f>
        <v>271718115</v>
      </c>
      <c r="AH156" s="72" t="s">
        <v>1097</v>
      </c>
      <c r="AI156" s="72" t="s">
        <v>519</v>
      </c>
      <c r="AJ156" s="72" t="s">
        <v>1098</v>
      </c>
      <c r="AK156" s="76" t="s">
        <v>1099</v>
      </c>
      <c r="AL156" s="72"/>
      <c r="AM156" s="72"/>
      <c r="AN156" s="72"/>
      <c r="AO156" s="72" t="s">
        <v>504</v>
      </c>
      <c r="AP156" s="72"/>
      <c r="AQ156" s="72"/>
      <c r="AR156" s="72"/>
      <c r="AS156" s="72"/>
      <c r="AT156" s="72"/>
      <c r="AU156" s="72"/>
      <c r="AV156" s="72"/>
      <c r="AW156" s="55" t="s">
        <v>2223</v>
      </c>
      <c r="AX156" s="55" t="s">
        <v>1517</v>
      </c>
      <c r="AY156" s="55"/>
      <c r="AZ156" s="55"/>
      <c r="BA156" s="55"/>
      <c r="BB156" s="55"/>
      <c r="BC156" s="55"/>
      <c r="BD156" s="55"/>
      <c r="BE156" s="55"/>
      <c r="BF156" s="55"/>
      <c r="BG156" s="55"/>
      <c r="BH156" s="55"/>
      <c r="BI156" s="55"/>
    </row>
    <row r="157" spans="1:100" x14ac:dyDescent="0.3">
      <c r="A157" s="43">
        <v>156</v>
      </c>
      <c r="B157" s="43">
        <v>99</v>
      </c>
      <c r="C157" s="70" t="s">
        <v>2541</v>
      </c>
      <c r="D157" s="148">
        <v>11</v>
      </c>
      <c r="E157" s="78" t="s">
        <v>3267</v>
      </c>
      <c r="F157" s="66" t="s">
        <v>3268</v>
      </c>
      <c r="G157" s="67">
        <v>37617</v>
      </c>
      <c r="H157" s="47">
        <f>+DATE(YEAR(G157)+57,MONTH(G157),DAY(G157))</f>
        <v>58436</v>
      </c>
      <c r="I157" s="48">
        <v>58436</v>
      </c>
      <c r="J157" s="48">
        <v>58436</v>
      </c>
      <c r="K157" s="67">
        <v>45597</v>
      </c>
      <c r="L157" s="152" t="s">
        <v>720</v>
      </c>
      <c r="M157" s="122" t="s">
        <v>287</v>
      </c>
      <c r="N157" s="70" t="s">
        <v>281</v>
      </c>
      <c r="O157" s="67">
        <v>45597</v>
      </c>
      <c r="P157" s="68"/>
      <c r="Q157" s="68" t="s">
        <v>72</v>
      </c>
      <c r="R157" s="70">
        <v>1.41</v>
      </c>
      <c r="S157" s="71"/>
      <c r="T157" s="72"/>
      <c r="U157" s="52">
        <f t="shared" si="28"/>
        <v>7487100</v>
      </c>
      <c r="V157" s="52">
        <f t="shared" si="29"/>
        <v>0</v>
      </c>
      <c r="W157" s="52">
        <f t="shared" si="26"/>
        <v>0</v>
      </c>
      <c r="X157" s="52">
        <f t="shared" si="27"/>
        <v>7487100</v>
      </c>
      <c r="Y157" s="52"/>
      <c r="Z157" s="52"/>
      <c r="AA157" s="73">
        <v>7523859437</v>
      </c>
      <c r="AB157" s="72" t="s">
        <v>3271</v>
      </c>
      <c r="AC157" s="45"/>
      <c r="AD157" s="72" t="s">
        <v>1787</v>
      </c>
      <c r="AE157" s="79" t="s">
        <v>3275</v>
      </c>
      <c r="AF157" s="66"/>
      <c r="AG157" s="72"/>
      <c r="AH157" s="80"/>
      <c r="AI157" s="72"/>
      <c r="AJ157" s="72" t="s">
        <v>3269</v>
      </c>
      <c r="AK157" s="72"/>
      <c r="AL157" s="72"/>
      <c r="AM157" s="72" t="s">
        <v>3270</v>
      </c>
      <c r="AN157" s="72"/>
      <c r="AO157" s="72"/>
      <c r="AP157" s="72"/>
      <c r="AQ157" s="67"/>
      <c r="AR157" s="72"/>
      <c r="AS157" s="67">
        <v>45597</v>
      </c>
      <c r="AT157" s="72"/>
      <c r="AU157" s="72"/>
      <c r="AV157" s="67"/>
      <c r="AW157" s="156" t="s">
        <v>3276</v>
      </c>
      <c r="AX157" s="82" t="s">
        <v>1517</v>
      </c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</row>
    <row r="158" spans="1:100" x14ac:dyDescent="0.3">
      <c r="A158" s="43">
        <v>157</v>
      </c>
      <c r="B158" s="43">
        <v>100</v>
      </c>
      <c r="C158" s="70" t="s">
        <v>2541</v>
      </c>
      <c r="D158" s="148">
        <v>12</v>
      </c>
      <c r="E158" s="78" t="s">
        <v>3320</v>
      </c>
      <c r="F158" s="66" t="s">
        <v>3321</v>
      </c>
      <c r="G158" s="67">
        <v>32345</v>
      </c>
      <c r="H158" s="47">
        <f>+DATE(YEAR(G158)+57,MONTH(G158),DAY(G158))</f>
        <v>53164</v>
      </c>
      <c r="I158" s="48">
        <v>58437</v>
      </c>
      <c r="J158" s="48">
        <v>58437</v>
      </c>
      <c r="K158" s="67">
        <v>45689</v>
      </c>
      <c r="L158" s="152" t="s">
        <v>720</v>
      </c>
      <c r="M158" s="122" t="s">
        <v>287</v>
      </c>
      <c r="N158" s="70" t="s">
        <v>281</v>
      </c>
      <c r="O158" s="67">
        <v>45689</v>
      </c>
      <c r="P158" s="68"/>
      <c r="Q158" s="68" t="s">
        <v>72</v>
      </c>
      <c r="R158" s="70">
        <v>1.41</v>
      </c>
      <c r="S158" s="71"/>
      <c r="T158" s="72"/>
      <c r="U158" s="52">
        <f t="shared" si="28"/>
        <v>7487100</v>
      </c>
      <c r="V158" s="52">
        <f t="shared" si="29"/>
        <v>0</v>
      </c>
      <c r="W158" s="52">
        <f t="shared" si="26"/>
        <v>0</v>
      </c>
      <c r="X158" s="52">
        <f t="shared" si="27"/>
        <v>7487100</v>
      </c>
      <c r="Y158" s="52"/>
      <c r="Z158" s="52"/>
      <c r="AA158" s="73">
        <v>7524032353</v>
      </c>
      <c r="AB158" s="72" t="s">
        <v>3332</v>
      </c>
      <c r="AC158" s="45"/>
      <c r="AD158" s="72" t="s">
        <v>1787</v>
      </c>
      <c r="AE158" s="79" t="s">
        <v>3322</v>
      </c>
      <c r="AF158" s="66"/>
      <c r="AG158" s="72"/>
      <c r="AH158" s="75">
        <v>44420</v>
      </c>
      <c r="AI158" s="72" t="s">
        <v>2427</v>
      </c>
      <c r="AJ158" s="72" t="s">
        <v>3323</v>
      </c>
      <c r="AK158" s="72"/>
      <c r="AL158" s="72"/>
      <c r="AM158" s="72"/>
      <c r="AN158" s="72"/>
      <c r="AO158" s="72" t="s">
        <v>3324</v>
      </c>
      <c r="AP158" s="72"/>
      <c r="AQ158" s="67">
        <v>45658</v>
      </c>
      <c r="AR158" s="72"/>
      <c r="AS158" s="67">
        <v>45689</v>
      </c>
      <c r="AT158" s="72"/>
      <c r="AU158" s="72"/>
      <c r="AV158" s="67"/>
      <c r="AW158" s="156"/>
      <c r="AX158" s="82" t="s">
        <v>1517</v>
      </c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</row>
    <row r="159" spans="1:100" x14ac:dyDescent="0.3">
      <c r="A159" s="43">
        <v>158</v>
      </c>
      <c r="B159" s="43">
        <v>1</v>
      </c>
      <c r="C159" s="102" t="s">
        <v>2542</v>
      </c>
      <c r="D159" s="114">
        <v>1</v>
      </c>
      <c r="E159" s="157" t="s">
        <v>161</v>
      </c>
      <c r="F159" s="115" t="s">
        <v>368</v>
      </c>
      <c r="G159" s="109">
        <v>29709</v>
      </c>
      <c r="H159" s="47">
        <f>+DATE(YEAR(G159)+62,MONTH(G159),DAY(G159))</f>
        <v>52354</v>
      </c>
      <c r="I159" s="48">
        <f t="shared" ref="I159:I190" si="32">+EOMONTH(H159,0)+1</f>
        <v>52383</v>
      </c>
      <c r="J159" s="48">
        <f>+VLOOKUP(E159,'[1]DATA 06.2023'!$E$2:$J$390,6,0)</f>
        <v>52383</v>
      </c>
      <c r="K159" s="109">
        <v>38200</v>
      </c>
      <c r="L159" s="104" t="s">
        <v>730</v>
      </c>
      <c r="M159" s="112" t="s">
        <v>41</v>
      </c>
      <c r="N159" s="102" t="s">
        <v>3183</v>
      </c>
      <c r="O159" s="109">
        <v>44378</v>
      </c>
      <c r="P159" s="110" t="s">
        <v>2412</v>
      </c>
      <c r="Q159" s="158" t="s">
        <v>74</v>
      </c>
      <c r="R159" s="113">
        <v>1.89</v>
      </c>
      <c r="S159" s="113">
        <v>0.35</v>
      </c>
      <c r="T159" s="114"/>
      <c r="U159" s="52">
        <f>+R159*4730000</f>
        <v>8939700</v>
      </c>
      <c r="V159" s="52">
        <f t="shared" ref="V159:V167" si="33">+S159*4410000</f>
        <v>1543500</v>
      </c>
      <c r="W159" s="52">
        <f t="shared" si="26"/>
        <v>0</v>
      </c>
      <c r="X159" s="52">
        <f t="shared" si="27"/>
        <v>10483200</v>
      </c>
      <c r="Y159" s="52">
        <f>+VLOOKUP(E159,[2]Sheet1!$B$11:$J$400,9,0)</f>
        <v>8902400</v>
      </c>
      <c r="Z159" s="52"/>
      <c r="AA159" s="53" t="s">
        <v>1639</v>
      </c>
      <c r="AB159" s="114" t="s">
        <v>899</v>
      </c>
      <c r="AC159" s="45" t="str">
        <f>+VLOOKUP(E159,[3]Sheet1!$B$11:$I$388,8,0)</f>
        <v>58 - 114</v>
      </c>
      <c r="AD159" s="114" t="s">
        <v>1798</v>
      </c>
      <c r="AE159" s="114" t="s">
        <v>2435</v>
      </c>
      <c r="AF159" s="115" t="s">
        <v>2435</v>
      </c>
      <c r="AG159" s="45">
        <f>+VALUE(AF159:AF554)</f>
        <v>58081000194</v>
      </c>
      <c r="AH159" s="114" t="s">
        <v>650</v>
      </c>
      <c r="AI159" s="114" t="s">
        <v>503</v>
      </c>
      <c r="AJ159" s="114" t="s">
        <v>1137</v>
      </c>
      <c r="AK159" s="116" t="s">
        <v>1138</v>
      </c>
      <c r="AL159" s="114"/>
      <c r="AM159" s="114" t="s">
        <v>502</v>
      </c>
      <c r="AN159" s="114"/>
      <c r="AO159" s="114"/>
      <c r="AP159" s="114"/>
      <c r="AQ159" s="114"/>
      <c r="AR159" s="114"/>
      <c r="AS159" s="114"/>
      <c r="AT159" s="114"/>
      <c r="AU159" s="114"/>
      <c r="AV159" s="114"/>
      <c r="AW159" s="55" t="s">
        <v>2239</v>
      </c>
      <c r="AX159" s="55" t="s">
        <v>1518</v>
      </c>
    </row>
    <row r="160" spans="1:100" x14ac:dyDescent="0.3">
      <c r="A160" s="43">
        <v>159</v>
      </c>
      <c r="B160" s="43">
        <v>2</v>
      </c>
      <c r="C160" s="102" t="s">
        <v>2542</v>
      </c>
      <c r="D160" s="114">
        <v>2</v>
      </c>
      <c r="E160" s="157" t="s">
        <v>168</v>
      </c>
      <c r="F160" s="115" t="s">
        <v>375</v>
      </c>
      <c r="G160" s="109">
        <v>31648</v>
      </c>
      <c r="H160" s="47">
        <f>+DATE(YEAR(G160)+62,MONTH(G160),DAY(G160))</f>
        <v>54294</v>
      </c>
      <c r="I160" s="48">
        <f t="shared" si="32"/>
        <v>54302</v>
      </c>
      <c r="J160" s="48">
        <v>52475</v>
      </c>
      <c r="K160" s="109">
        <v>39234</v>
      </c>
      <c r="L160" s="104" t="s">
        <v>730</v>
      </c>
      <c r="M160" s="112" t="s">
        <v>43</v>
      </c>
      <c r="N160" s="102" t="s">
        <v>279</v>
      </c>
      <c r="O160" s="109">
        <v>41456</v>
      </c>
      <c r="P160" s="110"/>
      <c r="Q160" s="110" t="s">
        <v>72</v>
      </c>
      <c r="R160" s="102">
        <v>1.59</v>
      </c>
      <c r="S160" s="113"/>
      <c r="T160" s="114"/>
      <c r="U160" s="52">
        <f t="shared" ref="U160:U223" si="34">+R160*4730000</f>
        <v>7520700</v>
      </c>
      <c r="V160" s="52">
        <f t="shared" si="33"/>
        <v>0</v>
      </c>
      <c r="W160" s="52">
        <f t="shared" si="26"/>
        <v>0</v>
      </c>
      <c r="X160" s="52">
        <f t="shared" si="27"/>
        <v>7520700</v>
      </c>
      <c r="Y160" s="52">
        <f>+VLOOKUP(E160,[2]Sheet1!$B$11:$J$400,9,0)</f>
        <v>6614400</v>
      </c>
      <c r="Z160" s="52"/>
      <c r="AA160" s="53" t="s">
        <v>1646</v>
      </c>
      <c r="AB160" s="114" t="s">
        <v>899</v>
      </c>
      <c r="AC160" s="45" t="str">
        <f>+VLOOKUP(E160,[3]Sheet1!$B$11:$I$388,8,0)</f>
        <v>58 - 114</v>
      </c>
      <c r="AD160" s="114" t="s">
        <v>1793</v>
      </c>
      <c r="AE160" s="114" t="s">
        <v>2838</v>
      </c>
      <c r="AF160" s="115" t="s">
        <v>2440</v>
      </c>
      <c r="AG160" s="45">
        <f>+VALUE(AF160:AF560)</f>
        <v>264276166</v>
      </c>
      <c r="AH160" s="114" t="s">
        <v>1150</v>
      </c>
      <c r="AI160" s="114" t="s">
        <v>503</v>
      </c>
      <c r="AJ160" s="114" t="s">
        <v>1151</v>
      </c>
      <c r="AK160" s="116" t="s">
        <v>1152</v>
      </c>
      <c r="AL160" s="114"/>
      <c r="AM160" s="114" t="s">
        <v>502</v>
      </c>
      <c r="AN160" s="114"/>
      <c r="AO160" s="114"/>
      <c r="AP160" s="114"/>
      <c r="AQ160" s="114"/>
      <c r="AR160" s="114"/>
      <c r="AS160" s="114"/>
      <c r="AT160" s="114"/>
      <c r="AU160" s="114"/>
      <c r="AV160" s="114"/>
      <c r="AW160" s="55" t="s">
        <v>2245</v>
      </c>
      <c r="AX160" s="55" t="s">
        <v>1518</v>
      </c>
    </row>
    <row r="161" spans="1:61" x14ac:dyDescent="0.3">
      <c r="A161" s="43">
        <v>160</v>
      </c>
      <c r="B161" s="43">
        <v>3</v>
      </c>
      <c r="C161" s="102" t="s">
        <v>2542</v>
      </c>
      <c r="D161" s="114">
        <v>3</v>
      </c>
      <c r="E161" s="157" t="s">
        <v>181</v>
      </c>
      <c r="F161" s="115" t="s">
        <v>390</v>
      </c>
      <c r="G161" s="109">
        <v>28419</v>
      </c>
      <c r="H161" s="47">
        <f>+DATE(YEAR(G161)+62,MONTH(G161),DAY(G161))</f>
        <v>51064</v>
      </c>
      <c r="I161" s="48">
        <f t="shared" si="32"/>
        <v>51075</v>
      </c>
      <c r="J161" s="48">
        <f>+VLOOKUP(E161,'[1]DATA 06.2023'!$E$2:$J$390,6,0)</f>
        <v>49249</v>
      </c>
      <c r="K161" s="109">
        <v>35735</v>
      </c>
      <c r="L161" s="104" t="s">
        <v>730</v>
      </c>
      <c r="M161" s="112" t="s">
        <v>41</v>
      </c>
      <c r="N161" s="102" t="s">
        <v>278</v>
      </c>
      <c r="O161" s="109">
        <v>40725</v>
      </c>
      <c r="P161" s="110"/>
      <c r="Q161" s="159" t="s">
        <v>71</v>
      </c>
      <c r="R161" s="102">
        <v>1.69</v>
      </c>
      <c r="S161" s="113">
        <v>0.25</v>
      </c>
      <c r="T161" s="114"/>
      <c r="U161" s="52">
        <f t="shared" si="34"/>
        <v>7993700</v>
      </c>
      <c r="V161" s="52">
        <f t="shared" si="33"/>
        <v>1102500</v>
      </c>
      <c r="W161" s="52">
        <f t="shared" si="26"/>
        <v>0</v>
      </c>
      <c r="X161" s="52">
        <f t="shared" si="27"/>
        <v>9096200</v>
      </c>
      <c r="Y161" s="52">
        <f>+VLOOKUP(E161,[2]Sheet1!$B$11:$J$400,9,0)</f>
        <v>8070400</v>
      </c>
      <c r="Z161" s="52"/>
      <c r="AA161" s="53" t="s">
        <v>1660</v>
      </c>
      <c r="AB161" s="114" t="s">
        <v>899</v>
      </c>
      <c r="AC161" s="45" t="str">
        <f>+VLOOKUP(E161,[3]Sheet1!$B$11:$I$388,8,0)</f>
        <v>58 - 114</v>
      </c>
      <c r="AD161" s="114" t="s">
        <v>3308</v>
      </c>
      <c r="AE161" s="114" t="s">
        <v>2852</v>
      </c>
      <c r="AF161" s="115" t="s">
        <v>2452</v>
      </c>
      <c r="AG161" s="45">
        <f>+VALUE(AF161:AF579)</f>
        <v>264396344</v>
      </c>
      <c r="AH161" s="114" t="s">
        <v>1191</v>
      </c>
      <c r="AI161" s="114" t="s">
        <v>503</v>
      </c>
      <c r="AJ161" s="114" t="s">
        <v>1140</v>
      </c>
      <c r="AK161" s="116" t="s">
        <v>1192</v>
      </c>
      <c r="AL161" s="114"/>
      <c r="AM161" s="114" t="s">
        <v>89</v>
      </c>
      <c r="AN161" s="114"/>
      <c r="AO161" s="114" t="s">
        <v>521</v>
      </c>
      <c r="AP161" s="114"/>
      <c r="AQ161" s="114"/>
      <c r="AR161" s="114"/>
      <c r="AS161" s="114"/>
      <c r="AT161" s="114"/>
      <c r="AU161" s="114"/>
      <c r="AV161" s="114"/>
      <c r="AW161" s="55" t="s">
        <v>2258</v>
      </c>
      <c r="AX161" s="55" t="s">
        <v>1518</v>
      </c>
    </row>
    <row r="162" spans="1:61" s="161" customFormat="1" x14ac:dyDescent="0.3">
      <c r="A162" s="43">
        <v>161</v>
      </c>
      <c r="B162" s="43">
        <v>4</v>
      </c>
      <c r="C162" s="102" t="s">
        <v>2542</v>
      </c>
      <c r="D162" s="114">
        <v>4</v>
      </c>
      <c r="E162" s="157" t="s">
        <v>163</v>
      </c>
      <c r="F162" s="115" t="s">
        <v>370</v>
      </c>
      <c r="G162" s="109">
        <v>30168</v>
      </c>
      <c r="H162" s="47">
        <f>+DATE(YEAR(G162)+62,MONTH(G162),DAY(G162))</f>
        <v>52814</v>
      </c>
      <c r="I162" s="48">
        <f t="shared" si="32"/>
        <v>52841</v>
      </c>
      <c r="J162" s="48">
        <f>+VLOOKUP(E162,'[1]DATA 06.2023'!$E$2:$J$390,6,0)</f>
        <v>52841</v>
      </c>
      <c r="K162" s="109">
        <v>38261</v>
      </c>
      <c r="L162" s="104" t="s">
        <v>730</v>
      </c>
      <c r="M162" s="112" t="s">
        <v>43</v>
      </c>
      <c r="N162" s="102" t="s">
        <v>280</v>
      </c>
      <c r="O162" s="109">
        <v>42370</v>
      </c>
      <c r="P162" s="110" t="s">
        <v>1514</v>
      </c>
      <c r="Q162" s="160" t="s">
        <v>74</v>
      </c>
      <c r="R162" s="102">
        <v>1.89</v>
      </c>
      <c r="S162" s="113"/>
      <c r="T162" s="114"/>
      <c r="U162" s="52">
        <f t="shared" si="34"/>
        <v>8939700</v>
      </c>
      <c r="V162" s="52">
        <f t="shared" si="33"/>
        <v>0</v>
      </c>
      <c r="W162" s="52">
        <f t="shared" ref="W162:W167" si="35">+T162*2340000</f>
        <v>0</v>
      </c>
      <c r="X162" s="52">
        <f t="shared" si="27"/>
        <v>8939700</v>
      </c>
      <c r="Y162" s="52">
        <f>+VLOOKUP(E162,[2]Sheet1!$B$11:$J$400,9,0)</f>
        <v>7446400</v>
      </c>
      <c r="Z162" s="52"/>
      <c r="AA162" s="53" t="s">
        <v>1641</v>
      </c>
      <c r="AB162" s="114" t="s">
        <v>899</v>
      </c>
      <c r="AC162" s="45" t="str">
        <f>+VLOOKUP(E162,[3]Sheet1!$B$11:$I$388,8,0)</f>
        <v>58 - 114</v>
      </c>
      <c r="AD162" s="114" t="s">
        <v>40</v>
      </c>
      <c r="AE162" s="114" t="s">
        <v>2835</v>
      </c>
      <c r="AF162" s="115" t="s">
        <v>2437</v>
      </c>
      <c r="AG162" s="45">
        <f>+VALUE(AF162:AF556)</f>
        <v>264191981</v>
      </c>
      <c r="AH162" s="114" t="s">
        <v>1072</v>
      </c>
      <c r="AI162" s="114" t="s">
        <v>503</v>
      </c>
      <c r="AJ162" s="114" t="s">
        <v>1141</v>
      </c>
      <c r="AK162" s="116" t="s">
        <v>917</v>
      </c>
      <c r="AL162" s="114"/>
      <c r="AM162" s="114" t="s">
        <v>96</v>
      </c>
      <c r="AN162" s="114"/>
      <c r="AO162" s="114"/>
      <c r="AP162" s="114"/>
      <c r="AQ162" s="114"/>
      <c r="AR162" s="114"/>
      <c r="AS162" s="114"/>
      <c r="AT162" s="114"/>
      <c r="AU162" s="114"/>
      <c r="AV162" s="114"/>
      <c r="AW162" s="55" t="s">
        <v>2241</v>
      </c>
      <c r="AX162" s="55" t="s">
        <v>1518</v>
      </c>
      <c r="AY162" s="55"/>
      <c r="AZ162" s="55"/>
      <c r="BA162" s="55"/>
      <c r="BB162" s="55"/>
      <c r="BC162" s="55"/>
      <c r="BD162" s="55"/>
      <c r="BE162" s="55"/>
      <c r="BF162" s="55"/>
      <c r="BG162" s="55"/>
      <c r="BH162" s="55"/>
      <c r="BI162" s="55"/>
    </row>
    <row r="163" spans="1:61" x14ac:dyDescent="0.3">
      <c r="A163" s="43">
        <v>162</v>
      </c>
      <c r="B163" s="43">
        <v>5</v>
      </c>
      <c r="C163" s="102" t="s">
        <v>2542</v>
      </c>
      <c r="D163" s="114">
        <v>5</v>
      </c>
      <c r="E163" s="157" t="s">
        <v>165</v>
      </c>
      <c r="F163" s="115" t="s">
        <v>372</v>
      </c>
      <c r="G163" s="109">
        <v>26654</v>
      </c>
      <c r="H163" s="47">
        <f>+DATE(YEAR(G163)+62,MONTH(G163),DAY(G163))</f>
        <v>49299</v>
      </c>
      <c r="I163" s="48">
        <f t="shared" si="32"/>
        <v>49310</v>
      </c>
      <c r="J163" s="48">
        <f>+VLOOKUP(E163,'[1]DATA 06.2023'!$E$2:$J$390,6,0)</f>
        <v>49310</v>
      </c>
      <c r="K163" s="109">
        <v>34851</v>
      </c>
      <c r="L163" s="104" t="s">
        <v>730</v>
      </c>
      <c r="M163" s="112" t="s">
        <v>43</v>
      </c>
      <c r="N163" s="102" t="s">
        <v>36</v>
      </c>
      <c r="O163" s="109">
        <v>43101</v>
      </c>
      <c r="P163" s="110" t="s">
        <v>1515</v>
      </c>
      <c r="Q163" s="162" t="s">
        <v>75</v>
      </c>
      <c r="R163" s="102">
        <v>1.58</v>
      </c>
      <c r="S163" s="113"/>
      <c r="T163" s="114"/>
      <c r="U163" s="52">
        <f t="shared" si="34"/>
        <v>7473400</v>
      </c>
      <c r="V163" s="52">
        <f t="shared" si="33"/>
        <v>0</v>
      </c>
      <c r="W163" s="52">
        <f t="shared" si="35"/>
        <v>0</v>
      </c>
      <c r="X163" s="52">
        <f t="shared" si="27"/>
        <v>7473400</v>
      </c>
      <c r="Y163" s="52">
        <f>+VLOOKUP(E163,[2]Sheet1!$B$11:$J$400,9,0)</f>
        <v>6572800</v>
      </c>
      <c r="Z163" s="52"/>
      <c r="AA163" s="53" t="s">
        <v>1643</v>
      </c>
      <c r="AB163" s="114" t="s">
        <v>899</v>
      </c>
      <c r="AC163" s="45" t="str">
        <f>+VLOOKUP(E163,[3]Sheet1!$B$11:$I$388,8,0)</f>
        <v>58 - 114</v>
      </c>
      <c r="AD163" s="114" t="s">
        <v>36</v>
      </c>
      <c r="AE163" s="114" t="s">
        <v>2836</v>
      </c>
      <c r="AF163" s="115">
        <v>264499078</v>
      </c>
      <c r="AG163" s="45">
        <f>+VALUE(AF163:AF558)</f>
        <v>264499078</v>
      </c>
      <c r="AH163" s="114" t="s">
        <v>1145</v>
      </c>
      <c r="AI163" s="114" t="s">
        <v>503</v>
      </c>
      <c r="AJ163" s="114" t="s">
        <v>1143</v>
      </c>
      <c r="AK163" s="116" t="s">
        <v>1146</v>
      </c>
      <c r="AL163" s="114"/>
      <c r="AM163" s="114"/>
      <c r="AN163" s="114"/>
      <c r="AO163" s="114" t="s">
        <v>504</v>
      </c>
      <c r="AP163" s="114"/>
      <c r="AQ163" s="114"/>
      <c r="AR163" s="114"/>
      <c r="AS163" s="114"/>
      <c r="AT163" s="114"/>
      <c r="AU163" s="114"/>
      <c r="AV163" s="114"/>
      <c r="AW163" s="55" t="s">
        <v>2243</v>
      </c>
      <c r="AX163" s="55" t="s">
        <v>1518</v>
      </c>
    </row>
    <row r="164" spans="1:61" s="170" customFormat="1" x14ac:dyDescent="0.3">
      <c r="A164" s="43">
        <v>163</v>
      </c>
      <c r="B164" s="43">
        <v>6</v>
      </c>
      <c r="C164" s="102" t="s">
        <v>2542</v>
      </c>
      <c r="D164" s="114">
        <v>6</v>
      </c>
      <c r="E164" s="163" t="s">
        <v>192</v>
      </c>
      <c r="F164" s="164" t="s">
        <v>400</v>
      </c>
      <c r="G164" s="165">
        <v>27952</v>
      </c>
      <c r="H164" s="47">
        <f>+DATE(YEAR(G164)+57,MONTH(G164),DAY(G164))</f>
        <v>48771</v>
      </c>
      <c r="I164" s="48">
        <f t="shared" si="32"/>
        <v>48792</v>
      </c>
      <c r="J164" s="48">
        <v>51806</v>
      </c>
      <c r="K164" s="165">
        <v>34851</v>
      </c>
      <c r="L164" s="104" t="s">
        <v>730</v>
      </c>
      <c r="M164" s="112" t="s">
        <v>43</v>
      </c>
      <c r="N164" s="102" t="s">
        <v>279</v>
      </c>
      <c r="O164" s="165">
        <v>41821</v>
      </c>
      <c r="P164" s="166" t="s">
        <v>3239</v>
      </c>
      <c r="Q164" s="111" t="s">
        <v>74</v>
      </c>
      <c r="R164" s="112">
        <v>1.69</v>
      </c>
      <c r="S164" s="167"/>
      <c r="T164" s="168"/>
      <c r="U164" s="52">
        <f t="shared" si="34"/>
        <v>7993700</v>
      </c>
      <c r="V164" s="52">
        <f t="shared" si="33"/>
        <v>0</v>
      </c>
      <c r="W164" s="52">
        <f t="shared" si="35"/>
        <v>0</v>
      </c>
      <c r="X164" s="52">
        <f t="shared" si="27"/>
        <v>7993700</v>
      </c>
      <c r="Y164" s="52">
        <f>+VLOOKUP(E164,[2]Sheet1!$B$11:$J$400,9,0)</f>
        <v>7418400</v>
      </c>
      <c r="Z164" s="52"/>
      <c r="AA164" s="53" t="s">
        <v>1671</v>
      </c>
      <c r="AB164" s="168" t="s">
        <v>899</v>
      </c>
      <c r="AC164" s="45" t="str">
        <f>+VLOOKUP(E164,[3]Sheet1!$B$11:$I$388,8,0)</f>
        <v>58 - 007</v>
      </c>
      <c r="AD164" s="168" t="s">
        <v>1787</v>
      </c>
      <c r="AE164" s="114" t="s">
        <v>2863</v>
      </c>
      <c r="AF164" s="164" t="s">
        <v>2464</v>
      </c>
      <c r="AG164" s="45">
        <f>+VALUE(AF164:AF574)</f>
        <v>264038773</v>
      </c>
      <c r="AH164" s="168" t="s">
        <v>1209</v>
      </c>
      <c r="AI164" s="168" t="s">
        <v>503</v>
      </c>
      <c r="AJ164" s="168" t="s">
        <v>1210</v>
      </c>
      <c r="AK164" s="169" t="s">
        <v>548</v>
      </c>
      <c r="AL164" s="168"/>
      <c r="AM164" s="168" t="s">
        <v>527</v>
      </c>
      <c r="AN164" s="168"/>
      <c r="AO164" s="168"/>
      <c r="AP164" s="168"/>
      <c r="AQ164" s="168"/>
      <c r="AR164" s="168"/>
      <c r="AS164" s="168"/>
      <c r="AT164" s="168"/>
      <c r="AU164" s="168"/>
      <c r="AV164" s="168"/>
      <c r="AW164" s="55" t="s">
        <v>2270</v>
      </c>
      <c r="AX164" s="55" t="s">
        <v>1518</v>
      </c>
    </row>
    <row r="165" spans="1:61" ht="24" x14ac:dyDescent="0.3">
      <c r="A165" s="43">
        <v>164</v>
      </c>
      <c r="B165" s="43">
        <v>7</v>
      </c>
      <c r="C165" s="102" t="s">
        <v>2542</v>
      </c>
      <c r="D165" s="148">
        <v>1</v>
      </c>
      <c r="E165" s="157" t="s">
        <v>167</v>
      </c>
      <c r="F165" s="115" t="s">
        <v>374</v>
      </c>
      <c r="G165" s="109">
        <v>30991</v>
      </c>
      <c r="H165" s="47">
        <f>+DATE(YEAR(G165)+57,MONTH(G165),DAY(G165))</f>
        <v>51810</v>
      </c>
      <c r="I165" s="48">
        <f t="shared" si="32"/>
        <v>51836</v>
      </c>
      <c r="J165" s="48">
        <v>51836</v>
      </c>
      <c r="K165" s="109">
        <v>40756</v>
      </c>
      <c r="L165" s="133" t="s">
        <v>731</v>
      </c>
      <c r="M165" s="112" t="s">
        <v>287</v>
      </c>
      <c r="N165" s="102" t="s">
        <v>282</v>
      </c>
      <c r="O165" s="109">
        <v>42186</v>
      </c>
      <c r="P165" s="171"/>
      <c r="Q165" s="158" t="s">
        <v>76</v>
      </c>
      <c r="R165" s="102">
        <v>1.58</v>
      </c>
      <c r="S165" s="113">
        <v>0.06</v>
      </c>
      <c r="T165" s="114"/>
      <c r="U165" s="52">
        <f t="shared" si="34"/>
        <v>7473400</v>
      </c>
      <c r="V165" s="52">
        <f t="shared" si="33"/>
        <v>264600</v>
      </c>
      <c r="W165" s="52">
        <f t="shared" si="35"/>
        <v>0</v>
      </c>
      <c r="X165" s="52">
        <f t="shared" si="27"/>
        <v>7738000</v>
      </c>
      <c r="Y165" s="52">
        <f>+VLOOKUP(E165,[2]Sheet1!$B$11:$J$400,9,0)</f>
        <v>6822400</v>
      </c>
      <c r="Z165" s="52"/>
      <c r="AA165" s="53" t="s">
        <v>1645</v>
      </c>
      <c r="AB165" s="114" t="s">
        <v>899</v>
      </c>
      <c r="AC165" s="45" t="str">
        <f>+VLOOKUP(E165,[3]Sheet1!$B$11:$I$388,8,0)</f>
        <v>58 - 114</v>
      </c>
      <c r="AD165" s="114" t="s">
        <v>1795</v>
      </c>
      <c r="AE165" s="114" t="s">
        <v>2837</v>
      </c>
      <c r="AF165" s="115" t="s">
        <v>2439</v>
      </c>
      <c r="AG165" s="114">
        <f>+VALUE(AF165:AF559)</f>
        <v>264250420</v>
      </c>
      <c r="AH165" s="172" t="s">
        <v>508</v>
      </c>
      <c r="AI165" s="114" t="s">
        <v>503</v>
      </c>
      <c r="AJ165" s="114" t="s">
        <v>1149</v>
      </c>
      <c r="AK165" s="116" t="s">
        <v>917</v>
      </c>
      <c r="AL165" s="114"/>
      <c r="AM165" s="114" t="s">
        <v>507</v>
      </c>
      <c r="AN165" s="114"/>
      <c r="AO165" s="114"/>
      <c r="AP165" s="114"/>
      <c r="AQ165" s="114"/>
      <c r="AR165" s="114"/>
      <c r="AS165" s="114"/>
      <c r="AT165" s="114"/>
      <c r="AU165" s="114"/>
      <c r="AV165" s="114"/>
      <c r="AW165" s="161" t="s">
        <v>2244</v>
      </c>
      <c r="AX165" s="161" t="s">
        <v>1518</v>
      </c>
      <c r="AY165" s="161"/>
      <c r="AZ165" s="161"/>
      <c r="BA165" s="161"/>
      <c r="BB165" s="161"/>
      <c r="BC165" s="161"/>
      <c r="BD165" s="161"/>
      <c r="BE165" s="161"/>
      <c r="BF165" s="161"/>
      <c r="BG165" s="161"/>
      <c r="BH165" s="161"/>
      <c r="BI165" s="161"/>
    </row>
    <row r="166" spans="1:61" ht="24" x14ac:dyDescent="0.3">
      <c r="A166" s="43">
        <v>165</v>
      </c>
      <c r="B166" s="43">
        <v>8</v>
      </c>
      <c r="C166" s="102" t="s">
        <v>2542</v>
      </c>
      <c r="D166" s="148">
        <v>2</v>
      </c>
      <c r="E166" s="109" t="s">
        <v>169</v>
      </c>
      <c r="F166" s="115" t="s">
        <v>376</v>
      </c>
      <c r="G166" s="109">
        <v>32426</v>
      </c>
      <c r="H166" s="47">
        <f>+DATE(YEAR(G166)+57,MONTH(G166),DAY(G166))</f>
        <v>53245</v>
      </c>
      <c r="I166" s="48">
        <f t="shared" si="32"/>
        <v>53267</v>
      </c>
      <c r="J166" s="48">
        <v>53267</v>
      </c>
      <c r="K166" s="109">
        <v>40787</v>
      </c>
      <c r="L166" s="133" t="s">
        <v>731</v>
      </c>
      <c r="M166" s="112" t="s">
        <v>287</v>
      </c>
      <c r="N166" s="102" t="s">
        <v>281</v>
      </c>
      <c r="O166" s="109">
        <v>42370</v>
      </c>
      <c r="P166" s="110" t="s">
        <v>3238</v>
      </c>
      <c r="Q166" s="158" t="s">
        <v>76</v>
      </c>
      <c r="R166" s="102">
        <v>1.58</v>
      </c>
      <c r="S166" s="113"/>
      <c r="T166" s="114"/>
      <c r="U166" s="52">
        <f t="shared" si="34"/>
        <v>7473400</v>
      </c>
      <c r="V166" s="52">
        <f t="shared" si="33"/>
        <v>0</v>
      </c>
      <c r="W166" s="52">
        <f t="shared" si="35"/>
        <v>0</v>
      </c>
      <c r="X166" s="52">
        <f t="shared" si="27"/>
        <v>7473400</v>
      </c>
      <c r="Y166" s="52">
        <f>+VLOOKUP(E166,[2]Sheet1!$B$11:$J$400,9,0)</f>
        <v>6198400</v>
      </c>
      <c r="Z166" s="52"/>
      <c r="AA166" s="53" t="s">
        <v>1647</v>
      </c>
      <c r="AB166" s="114" t="s">
        <v>1153</v>
      </c>
      <c r="AC166" s="45" t="str">
        <f>+VLOOKUP(E166,[3]Sheet1!$B$11:$I$388,8,0)</f>
        <v>58 - 114</v>
      </c>
      <c r="AD166" s="114" t="s">
        <v>1795</v>
      </c>
      <c r="AE166" s="114" t="s">
        <v>2839</v>
      </c>
      <c r="AF166" s="115" t="s">
        <v>2441</v>
      </c>
      <c r="AG166" s="45">
        <f>+VALUE(AF166:AF561)</f>
        <v>264276046</v>
      </c>
      <c r="AH166" s="172" t="s">
        <v>509</v>
      </c>
      <c r="AI166" s="114" t="s">
        <v>503</v>
      </c>
      <c r="AJ166" s="114" t="s">
        <v>1154</v>
      </c>
      <c r="AK166" s="116" t="s">
        <v>548</v>
      </c>
      <c r="AL166" s="114"/>
      <c r="AM166" s="114" t="s">
        <v>3240</v>
      </c>
      <c r="AN166" s="114"/>
      <c r="AO166" s="114"/>
      <c r="AP166" s="114"/>
      <c r="AQ166" s="114"/>
      <c r="AR166" s="114"/>
      <c r="AS166" s="114"/>
      <c r="AT166" s="114"/>
      <c r="AU166" s="114"/>
      <c r="AV166" s="114"/>
      <c r="AW166" s="55" t="s">
        <v>2246</v>
      </c>
      <c r="AX166" s="55" t="s">
        <v>1518</v>
      </c>
    </row>
    <row r="167" spans="1:61" ht="24" x14ac:dyDescent="0.3">
      <c r="A167" s="43">
        <v>166</v>
      </c>
      <c r="B167" s="43">
        <v>9</v>
      </c>
      <c r="C167" s="102" t="s">
        <v>2542</v>
      </c>
      <c r="D167" s="148">
        <v>3</v>
      </c>
      <c r="E167" s="109" t="s">
        <v>3006</v>
      </c>
      <c r="F167" s="115" t="s">
        <v>3010</v>
      </c>
      <c r="G167" s="172">
        <v>35653</v>
      </c>
      <c r="H167" s="47">
        <f>+DATE(YEAR(G167)+57,MONTH(G167),DAY(G167))</f>
        <v>56472</v>
      </c>
      <c r="I167" s="48">
        <f t="shared" si="32"/>
        <v>56493</v>
      </c>
      <c r="J167" s="48">
        <v>56493</v>
      </c>
      <c r="K167" s="109">
        <v>45020</v>
      </c>
      <c r="L167" s="133" t="s">
        <v>731</v>
      </c>
      <c r="M167" s="112" t="s">
        <v>287</v>
      </c>
      <c r="N167" s="102" t="s">
        <v>281</v>
      </c>
      <c r="O167" s="109">
        <v>45020</v>
      </c>
      <c r="P167" s="110"/>
      <c r="Q167" s="110" t="s">
        <v>72</v>
      </c>
      <c r="R167" s="102">
        <v>1.41</v>
      </c>
      <c r="S167" s="113"/>
      <c r="T167" s="114"/>
      <c r="U167" s="52">
        <f t="shared" si="34"/>
        <v>6669300</v>
      </c>
      <c r="V167" s="52">
        <f t="shared" si="33"/>
        <v>0</v>
      </c>
      <c r="W167" s="52">
        <f t="shared" si="35"/>
        <v>0</v>
      </c>
      <c r="X167" s="52">
        <f t="shared" si="27"/>
        <v>6669300</v>
      </c>
      <c r="Y167" s="52">
        <f>+VLOOKUP(E167,[2]Sheet1!$B$11:$J$400,9,0)</f>
        <v>5865600</v>
      </c>
      <c r="Z167" s="52"/>
      <c r="AA167" s="53" t="s">
        <v>3218</v>
      </c>
      <c r="AB167" s="114"/>
      <c r="AC167" s="45" t="str">
        <f>+VLOOKUP(E167,[3]Sheet1!$B$11:$I$388,8,0)</f>
        <v>58 - 114</v>
      </c>
      <c r="AD167" s="114" t="s">
        <v>1795</v>
      </c>
      <c r="AE167" s="123" t="s">
        <v>3007</v>
      </c>
      <c r="AF167" s="115"/>
      <c r="AG167" s="45"/>
      <c r="AH167" s="172" t="s">
        <v>3008</v>
      </c>
      <c r="AI167" s="114" t="s">
        <v>2427</v>
      </c>
      <c r="AJ167" s="116" t="s">
        <v>3009</v>
      </c>
      <c r="AK167" s="116" t="s">
        <v>3009</v>
      </c>
      <c r="AL167" s="114"/>
      <c r="AM167" s="114" t="s">
        <v>3182</v>
      </c>
      <c r="AN167" s="114"/>
      <c r="AO167" s="114"/>
      <c r="AP167" s="114"/>
      <c r="AQ167" s="109">
        <v>45020</v>
      </c>
      <c r="AR167" s="114"/>
      <c r="AS167" s="114"/>
      <c r="AT167" s="109">
        <v>45050</v>
      </c>
      <c r="AU167" s="114"/>
      <c r="AV167" s="109">
        <v>45781</v>
      </c>
      <c r="AX167" s="55" t="s">
        <v>1518</v>
      </c>
    </row>
    <row r="168" spans="1:61" ht="24" x14ac:dyDescent="0.3">
      <c r="A168" s="43">
        <v>167</v>
      </c>
      <c r="B168" s="43">
        <v>10</v>
      </c>
      <c r="C168" s="102" t="s">
        <v>2542</v>
      </c>
      <c r="D168" s="148">
        <v>4</v>
      </c>
      <c r="E168" s="109" t="s">
        <v>3249</v>
      </c>
      <c r="F168" s="115" t="s">
        <v>3250</v>
      </c>
      <c r="G168" s="173" t="s">
        <v>3250</v>
      </c>
      <c r="H168" s="47">
        <f>+DATE(YEAR(G168)+57,MONTH(G168),DAY(G168))</f>
        <v>58291</v>
      </c>
      <c r="I168" s="48">
        <f t="shared" si="32"/>
        <v>58319</v>
      </c>
      <c r="J168" s="48">
        <v>56493</v>
      </c>
      <c r="K168" s="109">
        <v>45566</v>
      </c>
      <c r="L168" s="133" t="s">
        <v>731</v>
      </c>
      <c r="M168" s="112" t="s">
        <v>287</v>
      </c>
      <c r="N168" s="102" t="s">
        <v>281</v>
      </c>
      <c r="O168" s="109">
        <v>45566</v>
      </c>
      <c r="P168" s="110"/>
      <c r="Q168" s="110" t="s">
        <v>72</v>
      </c>
      <c r="R168" s="102">
        <v>1.41</v>
      </c>
      <c r="S168" s="113"/>
      <c r="T168" s="114"/>
      <c r="U168" s="52">
        <f t="shared" si="34"/>
        <v>6669300</v>
      </c>
      <c r="V168" s="52">
        <f>+S168*4410000</f>
        <v>0</v>
      </c>
      <c r="W168" s="52">
        <f>+T168*2340000</f>
        <v>0</v>
      </c>
      <c r="X168" s="52">
        <f t="shared" si="27"/>
        <v>6669300</v>
      </c>
      <c r="Y168" s="52"/>
      <c r="Z168" s="52"/>
      <c r="AA168" s="73">
        <v>5820144452</v>
      </c>
      <c r="AB168" s="114" t="s">
        <v>3257</v>
      </c>
      <c r="AC168" s="45"/>
      <c r="AD168" s="114" t="s">
        <v>1795</v>
      </c>
      <c r="AE168" s="174" t="s">
        <v>3315</v>
      </c>
      <c r="AF168" s="115"/>
      <c r="AG168" s="45"/>
      <c r="AH168" s="172">
        <v>44280</v>
      </c>
      <c r="AI168" s="114" t="s">
        <v>2427</v>
      </c>
      <c r="AJ168" s="116" t="s">
        <v>3251</v>
      </c>
      <c r="AK168" s="116"/>
      <c r="AL168" s="114"/>
      <c r="AM168" s="114" t="s">
        <v>2544</v>
      </c>
      <c r="AN168" s="114"/>
      <c r="AO168" s="114"/>
      <c r="AP168" s="114"/>
      <c r="AQ168" s="109"/>
      <c r="AR168" s="114"/>
      <c r="AS168" s="114"/>
      <c r="AT168" s="109"/>
      <c r="AU168" s="114"/>
      <c r="AV168" s="109"/>
      <c r="AX168" s="55" t="s">
        <v>1518</v>
      </c>
    </row>
    <row r="169" spans="1:61" ht="24" x14ac:dyDescent="0.3">
      <c r="A169" s="43">
        <v>168</v>
      </c>
      <c r="B169" s="43">
        <v>11</v>
      </c>
      <c r="C169" s="102" t="s">
        <v>2542</v>
      </c>
      <c r="D169" s="148">
        <v>5</v>
      </c>
      <c r="E169" s="175" t="s">
        <v>170</v>
      </c>
      <c r="F169" s="176" t="s">
        <v>377</v>
      </c>
      <c r="G169" s="109">
        <v>27283</v>
      </c>
      <c r="H169" s="47">
        <v>46276</v>
      </c>
      <c r="I169" s="48">
        <f t="shared" si="32"/>
        <v>46296</v>
      </c>
      <c r="J169" s="48">
        <v>46296</v>
      </c>
      <c r="K169" s="109">
        <v>35674</v>
      </c>
      <c r="L169" s="104" t="s">
        <v>731</v>
      </c>
      <c r="M169" s="112" t="s">
        <v>287</v>
      </c>
      <c r="N169" s="102" t="s">
        <v>281</v>
      </c>
      <c r="O169" s="109">
        <v>39995</v>
      </c>
      <c r="P169" s="110"/>
      <c r="Q169" s="159" t="s">
        <v>74</v>
      </c>
      <c r="R169" s="102">
        <v>1.5</v>
      </c>
      <c r="S169" s="113"/>
      <c r="T169" s="114"/>
      <c r="U169" s="52">
        <f t="shared" si="34"/>
        <v>7095000</v>
      </c>
      <c r="V169" s="52">
        <f>+S169*4410000</f>
        <v>0</v>
      </c>
      <c r="W169" s="52">
        <f>+T169*2340000</f>
        <v>0</v>
      </c>
      <c r="X169" s="52">
        <f t="shared" si="27"/>
        <v>7095000</v>
      </c>
      <c r="Y169" s="52">
        <f>+VLOOKUP(E169,[2]Sheet1!$B$11:$J$400,9,0)</f>
        <v>6240000</v>
      </c>
      <c r="Z169" s="52"/>
      <c r="AA169" s="53" t="s">
        <v>1648</v>
      </c>
      <c r="AB169" s="114" t="s">
        <v>899</v>
      </c>
      <c r="AC169" s="45" t="str">
        <f>+VLOOKUP(E169,[3]Sheet1!$B$11:$I$388,8,0)</f>
        <v>58 - 114</v>
      </c>
      <c r="AD169" s="114" t="s">
        <v>1796</v>
      </c>
      <c r="AE169" s="114" t="s">
        <v>2841</v>
      </c>
      <c r="AF169" s="115" t="s">
        <v>2443</v>
      </c>
      <c r="AG169" s="45">
        <f>+VALUE(AF169:AF563)</f>
        <v>264044686</v>
      </c>
      <c r="AH169" s="114" t="s">
        <v>1155</v>
      </c>
      <c r="AI169" s="114" t="s">
        <v>503</v>
      </c>
      <c r="AJ169" s="114" t="s">
        <v>1156</v>
      </c>
      <c r="AK169" s="116" t="s">
        <v>548</v>
      </c>
      <c r="AL169" s="114"/>
      <c r="AM169" s="114" t="s">
        <v>96</v>
      </c>
      <c r="AN169" s="114"/>
      <c r="AO169" s="114"/>
      <c r="AP169" s="114"/>
      <c r="AQ169" s="114"/>
      <c r="AR169" s="114"/>
      <c r="AS169" s="114"/>
      <c r="AT169" s="114"/>
      <c r="AU169" s="114"/>
      <c r="AV169" s="114"/>
      <c r="AW169" s="55" t="s">
        <v>2248</v>
      </c>
      <c r="AX169" s="55" t="s">
        <v>1518</v>
      </c>
    </row>
    <row r="170" spans="1:61" ht="24" x14ac:dyDescent="0.3">
      <c r="A170" s="43">
        <v>169</v>
      </c>
      <c r="B170" s="43">
        <v>12</v>
      </c>
      <c r="C170" s="102" t="s">
        <v>2542</v>
      </c>
      <c r="D170" s="148">
        <v>6</v>
      </c>
      <c r="E170" s="175" t="s">
        <v>3310</v>
      </c>
      <c r="F170" s="176" t="s">
        <v>3311</v>
      </c>
      <c r="G170" s="109">
        <v>28549</v>
      </c>
      <c r="H170" s="47">
        <f t="shared" ref="H170:H181" si="36">+DATE(YEAR(G170)+57,MONTH(G170),DAY(G170))</f>
        <v>49368</v>
      </c>
      <c r="I170" s="48">
        <f t="shared" si="32"/>
        <v>49369</v>
      </c>
      <c r="J170" s="177" t="s">
        <v>3341</v>
      </c>
      <c r="K170" s="109">
        <v>45689</v>
      </c>
      <c r="L170" s="104" t="s">
        <v>731</v>
      </c>
      <c r="M170" s="112" t="s">
        <v>287</v>
      </c>
      <c r="N170" s="102" t="s">
        <v>281</v>
      </c>
      <c r="O170" s="109">
        <v>45689</v>
      </c>
      <c r="P170" s="109"/>
      <c r="Q170" s="159" t="s">
        <v>71</v>
      </c>
      <c r="R170" s="102">
        <v>1.34</v>
      </c>
      <c r="S170" s="113"/>
      <c r="T170" s="114"/>
      <c r="U170" s="52">
        <f t="shared" si="34"/>
        <v>6338200</v>
      </c>
      <c r="V170" s="52">
        <f>+S170*4410000</f>
        <v>0</v>
      </c>
      <c r="W170" s="52">
        <f>+T170*2340000</f>
        <v>0</v>
      </c>
      <c r="X170" s="52">
        <f t="shared" si="27"/>
        <v>6338200</v>
      </c>
      <c r="Y170" s="52"/>
      <c r="Z170" s="52"/>
      <c r="AA170" s="73">
        <v>4401000698</v>
      </c>
      <c r="AB170" s="114" t="s">
        <v>3336</v>
      </c>
      <c r="AC170" s="45"/>
      <c r="AD170" s="114" t="s">
        <v>1796</v>
      </c>
      <c r="AE170" s="178" t="s">
        <v>3314</v>
      </c>
      <c r="AF170" s="115"/>
      <c r="AG170" s="45"/>
      <c r="AH170" s="114"/>
      <c r="AI170" s="168" t="s">
        <v>606</v>
      </c>
      <c r="AJ170" s="114" t="s">
        <v>1135</v>
      </c>
      <c r="AK170" s="116"/>
      <c r="AL170" s="114"/>
      <c r="AM170" s="114" t="s">
        <v>3316</v>
      </c>
      <c r="AN170" s="114"/>
      <c r="AO170" s="114"/>
      <c r="AP170" s="114"/>
      <c r="AQ170" s="109">
        <v>45627</v>
      </c>
      <c r="AR170" s="114"/>
      <c r="AS170" s="109">
        <v>45689</v>
      </c>
      <c r="AT170" s="114"/>
      <c r="AU170" s="114"/>
      <c r="AV170" s="114"/>
      <c r="AX170" s="55" t="s">
        <v>1518</v>
      </c>
    </row>
    <row r="171" spans="1:61" ht="24" x14ac:dyDescent="0.3">
      <c r="A171" s="43">
        <v>170</v>
      </c>
      <c r="B171" s="43">
        <v>13</v>
      </c>
      <c r="C171" s="102" t="s">
        <v>2542</v>
      </c>
      <c r="D171" s="148">
        <v>7</v>
      </c>
      <c r="E171" s="175" t="s">
        <v>3340</v>
      </c>
      <c r="F171" s="179">
        <v>30175</v>
      </c>
      <c r="G171" s="109">
        <v>30175</v>
      </c>
      <c r="H171" s="47">
        <f t="shared" si="36"/>
        <v>50994</v>
      </c>
      <c r="I171" s="48">
        <f t="shared" si="32"/>
        <v>51014</v>
      </c>
      <c r="J171" s="177">
        <v>51014</v>
      </c>
      <c r="K171" s="109">
        <v>45717</v>
      </c>
      <c r="L171" s="104" t="s">
        <v>731</v>
      </c>
      <c r="M171" s="112" t="s">
        <v>287</v>
      </c>
      <c r="N171" s="102" t="s">
        <v>281</v>
      </c>
      <c r="O171" s="109">
        <v>45717</v>
      </c>
      <c r="P171" s="165">
        <v>43191</v>
      </c>
      <c r="Q171" s="110" t="s">
        <v>72</v>
      </c>
      <c r="R171" s="102">
        <v>1.26</v>
      </c>
      <c r="S171" s="113"/>
      <c r="T171" s="114"/>
      <c r="U171" s="52">
        <f t="shared" si="34"/>
        <v>5959800</v>
      </c>
      <c r="V171" s="52">
        <f>+S171*4410000</f>
        <v>0</v>
      </c>
      <c r="W171" s="52">
        <f>+T171*2340000</f>
        <v>0</v>
      </c>
      <c r="X171" s="52">
        <f t="shared" si="27"/>
        <v>5959800</v>
      </c>
      <c r="Y171" s="52"/>
      <c r="Z171" s="52"/>
      <c r="AA171" s="73">
        <v>4403001364</v>
      </c>
      <c r="AB171" s="114" t="s">
        <v>3359</v>
      </c>
      <c r="AC171" s="45"/>
      <c r="AD171" s="114" t="s">
        <v>1796</v>
      </c>
      <c r="AE171" s="178" t="s">
        <v>3342</v>
      </c>
      <c r="AF171" s="115"/>
      <c r="AG171" s="45"/>
      <c r="AH171" s="114"/>
      <c r="AI171" s="168" t="s">
        <v>606</v>
      </c>
      <c r="AJ171" s="114" t="s">
        <v>3343</v>
      </c>
      <c r="AK171" s="116"/>
      <c r="AL171" s="114"/>
      <c r="AM171" s="114" t="s">
        <v>96</v>
      </c>
      <c r="AN171" s="114"/>
      <c r="AO171" s="114"/>
      <c r="AP171" s="114"/>
      <c r="AQ171" s="109"/>
      <c r="AR171" s="114"/>
      <c r="AS171" s="109">
        <v>45717</v>
      </c>
      <c r="AT171" s="114"/>
      <c r="AU171" s="114"/>
      <c r="AV171" s="114"/>
      <c r="AW171" s="180" t="s">
        <v>3344</v>
      </c>
      <c r="AX171" s="55" t="s">
        <v>1518</v>
      </c>
    </row>
    <row r="172" spans="1:61" s="170" customFormat="1" ht="24" x14ac:dyDescent="0.3">
      <c r="A172" s="43">
        <v>171</v>
      </c>
      <c r="B172" s="43">
        <v>14</v>
      </c>
      <c r="C172" s="102" t="s">
        <v>2542</v>
      </c>
      <c r="D172" s="148">
        <v>8</v>
      </c>
      <c r="E172" s="157" t="s">
        <v>171</v>
      </c>
      <c r="F172" s="115" t="s">
        <v>378</v>
      </c>
      <c r="G172" s="109">
        <v>26590</v>
      </c>
      <c r="H172" s="47">
        <f t="shared" si="36"/>
        <v>47409</v>
      </c>
      <c r="I172" s="48">
        <f t="shared" si="32"/>
        <v>47423</v>
      </c>
      <c r="J172" s="48">
        <v>50406</v>
      </c>
      <c r="K172" s="109">
        <v>35370</v>
      </c>
      <c r="L172" s="135" t="s">
        <v>731</v>
      </c>
      <c r="M172" s="112" t="s">
        <v>287</v>
      </c>
      <c r="N172" s="102" t="s">
        <v>283</v>
      </c>
      <c r="O172" s="109">
        <v>41456</v>
      </c>
      <c r="P172" s="165">
        <v>39569</v>
      </c>
      <c r="Q172" s="159" t="s">
        <v>74</v>
      </c>
      <c r="R172" s="102">
        <v>1.68</v>
      </c>
      <c r="S172" s="113">
        <v>0.04</v>
      </c>
      <c r="T172" s="114"/>
      <c r="U172" s="52">
        <f t="shared" si="34"/>
        <v>7946400</v>
      </c>
      <c r="V172" s="52">
        <f t="shared" ref="V172:V205" si="37">+S172*4410000</f>
        <v>176400</v>
      </c>
      <c r="W172" s="52">
        <f t="shared" ref="W172:W203" si="38">+T172*2340000</f>
        <v>0</v>
      </c>
      <c r="X172" s="52">
        <f t="shared" si="27"/>
        <v>8122800</v>
      </c>
      <c r="Y172" s="52">
        <f>+VLOOKUP(E172,[2]Sheet1!$B$11:$J$400,9,0)</f>
        <v>7155200</v>
      </c>
      <c r="Z172" s="52"/>
      <c r="AA172" s="53" t="s">
        <v>1649</v>
      </c>
      <c r="AB172" s="114" t="s">
        <v>899</v>
      </c>
      <c r="AC172" s="45" t="str">
        <f>+VLOOKUP(E172,[3]Sheet1!$B$11:$I$388,8,0)</f>
        <v>58 - 114</v>
      </c>
      <c r="AD172" s="114" t="s">
        <v>1797</v>
      </c>
      <c r="AE172" s="114" t="s">
        <v>2842</v>
      </c>
      <c r="AF172" s="115" t="s">
        <v>2444</v>
      </c>
      <c r="AG172" s="45">
        <f>+VALUE(AF172:AF566)</f>
        <v>264140143</v>
      </c>
      <c r="AH172" s="114" t="s">
        <v>1157</v>
      </c>
      <c r="AI172" s="114" t="s">
        <v>1158</v>
      </c>
      <c r="AJ172" s="114" t="s">
        <v>1159</v>
      </c>
      <c r="AK172" s="116" t="s">
        <v>1160</v>
      </c>
      <c r="AL172" s="114"/>
      <c r="AM172" s="114"/>
      <c r="AN172" s="114"/>
      <c r="AO172" s="114" t="s">
        <v>504</v>
      </c>
      <c r="AP172" s="114"/>
      <c r="AQ172" s="114"/>
      <c r="AR172" s="114"/>
      <c r="AS172" s="114"/>
      <c r="AT172" s="114"/>
      <c r="AU172" s="114"/>
      <c r="AV172" s="114"/>
      <c r="AW172" s="55" t="s">
        <v>2249</v>
      </c>
      <c r="AX172" s="55" t="s">
        <v>1518</v>
      </c>
      <c r="AY172" s="55"/>
      <c r="AZ172" s="55"/>
      <c r="BA172" s="55"/>
      <c r="BB172" s="55"/>
      <c r="BC172" s="55"/>
      <c r="BD172" s="55"/>
      <c r="BE172" s="55"/>
      <c r="BF172" s="55"/>
      <c r="BG172" s="55"/>
      <c r="BH172" s="55"/>
      <c r="BI172" s="55"/>
    </row>
    <row r="173" spans="1:61" ht="24" x14ac:dyDescent="0.3">
      <c r="A173" s="43">
        <v>172</v>
      </c>
      <c r="B173" s="43">
        <v>15</v>
      </c>
      <c r="C173" s="102" t="s">
        <v>2542</v>
      </c>
      <c r="D173" s="148">
        <v>9</v>
      </c>
      <c r="E173" s="157" t="s">
        <v>1823</v>
      </c>
      <c r="F173" s="115" t="s">
        <v>379</v>
      </c>
      <c r="G173" s="109">
        <v>26547</v>
      </c>
      <c r="H173" s="47">
        <f t="shared" si="36"/>
        <v>47366</v>
      </c>
      <c r="I173" s="48">
        <f t="shared" si="32"/>
        <v>47392</v>
      </c>
      <c r="J173" s="48">
        <v>51044</v>
      </c>
      <c r="K173" s="109">
        <v>36220</v>
      </c>
      <c r="L173" s="135" t="s">
        <v>731</v>
      </c>
      <c r="M173" s="112" t="s">
        <v>287</v>
      </c>
      <c r="N173" s="102" t="s">
        <v>281</v>
      </c>
      <c r="O173" s="109">
        <v>41821</v>
      </c>
      <c r="P173" s="165">
        <v>42309</v>
      </c>
      <c r="Q173" s="159" t="s">
        <v>74</v>
      </c>
      <c r="R173" s="102">
        <v>1.68</v>
      </c>
      <c r="S173" s="113"/>
      <c r="T173" s="114"/>
      <c r="U173" s="52">
        <f t="shared" si="34"/>
        <v>7946400</v>
      </c>
      <c r="V173" s="52">
        <f t="shared" si="37"/>
        <v>0</v>
      </c>
      <c r="W173" s="52">
        <f t="shared" si="38"/>
        <v>0</v>
      </c>
      <c r="X173" s="52">
        <f t="shared" si="27"/>
        <v>7946400</v>
      </c>
      <c r="Y173" s="52">
        <f>+VLOOKUP(E173,[2]Sheet1!$B$11:$J$400,9,0)</f>
        <v>6988800</v>
      </c>
      <c r="Z173" s="52"/>
      <c r="AA173" s="53" t="s">
        <v>1650</v>
      </c>
      <c r="AB173" s="114" t="s">
        <v>899</v>
      </c>
      <c r="AC173" s="45" t="str">
        <f>+VLOOKUP(E173,[3]Sheet1!$B$11:$I$388,8,0)</f>
        <v>58 - 114</v>
      </c>
      <c r="AD173" s="114" t="s">
        <v>1797</v>
      </c>
      <c r="AE173" s="114" t="s">
        <v>2843</v>
      </c>
      <c r="AF173" s="115" t="s">
        <v>2445</v>
      </c>
      <c r="AG173" s="45">
        <f>+VALUE(AF173:AF568)</f>
        <v>264482488</v>
      </c>
      <c r="AH173" s="114" t="s">
        <v>1162</v>
      </c>
      <c r="AI173" s="114" t="s">
        <v>1158</v>
      </c>
      <c r="AJ173" s="114" t="s">
        <v>1163</v>
      </c>
      <c r="AK173" s="116" t="s">
        <v>1164</v>
      </c>
      <c r="AL173" s="114"/>
      <c r="AM173" s="114"/>
      <c r="AN173" s="114"/>
      <c r="AO173" s="114" t="s">
        <v>504</v>
      </c>
      <c r="AP173" s="114"/>
      <c r="AQ173" s="114"/>
      <c r="AR173" s="114"/>
      <c r="AS173" s="114"/>
      <c r="AT173" s="114"/>
      <c r="AU173" s="114"/>
      <c r="AV173" s="114"/>
      <c r="AW173" s="55" t="s">
        <v>2250</v>
      </c>
      <c r="AX173" s="55" t="s">
        <v>1518</v>
      </c>
    </row>
    <row r="174" spans="1:61" ht="24" x14ac:dyDescent="0.3">
      <c r="A174" s="43">
        <v>173</v>
      </c>
      <c r="B174" s="43">
        <v>16</v>
      </c>
      <c r="C174" s="102" t="s">
        <v>2542</v>
      </c>
      <c r="D174" s="148">
        <v>10</v>
      </c>
      <c r="E174" s="165" t="s">
        <v>185</v>
      </c>
      <c r="F174" s="164" t="s">
        <v>394</v>
      </c>
      <c r="G174" s="165">
        <v>31977</v>
      </c>
      <c r="H174" s="47">
        <f t="shared" si="36"/>
        <v>52797</v>
      </c>
      <c r="I174" s="48">
        <f t="shared" si="32"/>
        <v>52810</v>
      </c>
      <c r="J174" s="48">
        <v>52263</v>
      </c>
      <c r="K174" s="165">
        <v>39479</v>
      </c>
      <c r="L174" s="135" t="s">
        <v>731</v>
      </c>
      <c r="M174" s="112" t="s">
        <v>287</v>
      </c>
      <c r="N174" s="102" t="s">
        <v>281</v>
      </c>
      <c r="O174" s="165">
        <v>42309</v>
      </c>
      <c r="P174" s="181"/>
      <c r="Q174" s="111" t="s">
        <v>76</v>
      </c>
      <c r="R174" s="112">
        <v>1.58</v>
      </c>
      <c r="S174" s="167"/>
      <c r="T174" s="168"/>
      <c r="U174" s="52">
        <f t="shared" si="34"/>
        <v>7473400</v>
      </c>
      <c r="V174" s="52">
        <f t="shared" si="37"/>
        <v>0</v>
      </c>
      <c r="W174" s="52">
        <f t="shared" si="38"/>
        <v>0</v>
      </c>
      <c r="X174" s="52">
        <f t="shared" si="27"/>
        <v>7473400</v>
      </c>
      <c r="Y174" s="52">
        <f>+VLOOKUP(E174,[2]Sheet1!$B$11:$J$400,9,0)</f>
        <v>6572800</v>
      </c>
      <c r="Z174" s="52"/>
      <c r="AA174" s="53" t="s">
        <v>1664</v>
      </c>
      <c r="AB174" s="168" t="s">
        <v>899</v>
      </c>
      <c r="AC174" s="45" t="str">
        <f>+VLOOKUP(E174,[3]Sheet1!$B$11:$I$388,8,0)</f>
        <v>58 - 114</v>
      </c>
      <c r="AD174" s="114" t="s">
        <v>1797</v>
      </c>
      <c r="AE174" s="114" t="s">
        <v>2856</v>
      </c>
      <c r="AF174" s="164" t="s">
        <v>2456</v>
      </c>
      <c r="AG174" s="45">
        <f>+VALUE(AF174:AF583)</f>
        <v>264264794</v>
      </c>
      <c r="AH174" s="168" t="s">
        <v>1196</v>
      </c>
      <c r="AI174" s="168" t="s">
        <v>503</v>
      </c>
      <c r="AJ174" s="168" t="s">
        <v>1197</v>
      </c>
      <c r="AK174" s="169" t="s">
        <v>1198</v>
      </c>
      <c r="AL174" s="168"/>
      <c r="AM174" s="168"/>
      <c r="AN174" s="168"/>
      <c r="AO174" s="168" t="s">
        <v>504</v>
      </c>
      <c r="AP174" s="168"/>
      <c r="AQ174" s="168"/>
      <c r="AR174" s="168"/>
      <c r="AS174" s="168"/>
      <c r="AT174" s="168"/>
      <c r="AU174" s="168"/>
      <c r="AV174" s="168"/>
      <c r="AW174" s="55" t="s">
        <v>2262</v>
      </c>
      <c r="AX174" s="55" t="s">
        <v>1518</v>
      </c>
      <c r="AY174" s="170"/>
      <c r="AZ174" s="170"/>
      <c r="BA174" s="170"/>
      <c r="BB174" s="170"/>
      <c r="BC174" s="170"/>
      <c r="BD174" s="170"/>
      <c r="BE174" s="170"/>
      <c r="BF174" s="170"/>
      <c r="BG174" s="170"/>
      <c r="BH174" s="170"/>
      <c r="BI174" s="170"/>
    </row>
    <row r="175" spans="1:61" ht="24" x14ac:dyDescent="0.3">
      <c r="A175" s="43">
        <v>174</v>
      </c>
      <c r="B175" s="43">
        <v>17</v>
      </c>
      <c r="C175" s="102" t="s">
        <v>2542</v>
      </c>
      <c r="D175" s="148">
        <v>11</v>
      </c>
      <c r="E175" s="163" t="s">
        <v>191</v>
      </c>
      <c r="F175" s="164" t="s">
        <v>603</v>
      </c>
      <c r="G175" s="165">
        <v>32114</v>
      </c>
      <c r="H175" s="47">
        <f t="shared" si="36"/>
        <v>52934</v>
      </c>
      <c r="I175" s="48">
        <f t="shared" si="32"/>
        <v>52963</v>
      </c>
      <c r="J175" s="48">
        <v>52963</v>
      </c>
      <c r="K175" s="165">
        <v>43191</v>
      </c>
      <c r="L175" s="135" t="s">
        <v>731</v>
      </c>
      <c r="M175" s="112" t="s">
        <v>287</v>
      </c>
      <c r="N175" s="102" t="s">
        <v>281</v>
      </c>
      <c r="O175" s="165">
        <v>43191</v>
      </c>
      <c r="P175" s="166"/>
      <c r="Q175" s="111" t="s">
        <v>71</v>
      </c>
      <c r="R175" s="112">
        <v>1.49</v>
      </c>
      <c r="S175" s="167"/>
      <c r="T175" s="168"/>
      <c r="U175" s="52">
        <f t="shared" si="34"/>
        <v>7047700</v>
      </c>
      <c r="V175" s="52">
        <f t="shared" si="37"/>
        <v>0</v>
      </c>
      <c r="W175" s="52">
        <f t="shared" si="38"/>
        <v>0</v>
      </c>
      <c r="X175" s="52">
        <f t="shared" si="27"/>
        <v>7047700</v>
      </c>
      <c r="Y175" s="52">
        <f>+VLOOKUP(E175,[2]Sheet1!$B$11:$J$400,9,0)</f>
        <v>6378400</v>
      </c>
      <c r="Z175" s="52"/>
      <c r="AA175" s="53" t="s">
        <v>1670</v>
      </c>
      <c r="AB175" s="168" t="s">
        <v>604</v>
      </c>
      <c r="AC175" s="45" t="str">
        <f>+VLOOKUP(E175,[3]Sheet1!$B$11:$I$388,8,0)</f>
        <v>58 - 007</v>
      </c>
      <c r="AD175" s="168" t="s">
        <v>1787</v>
      </c>
      <c r="AE175" s="114" t="s">
        <v>2860</v>
      </c>
      <c r="AF175" s="164" t="s">
        <v>2461</v>
      </c>
      <c r="AG175" s="45">
        <f>+VALUE(AF175:AF588)</f>
        <v>151606865</v>
      </c>
      <c r="AH175" s="164" t="s">
        <v>1852</v>
      </c>
      <c r="AI175" s="168" t="s">
        <v>606</v>
      </c>
      <c r="AJ175" s="168" t="s">
        <v>607</v>
      </c>
      <c r="AK175" s="169" t="e">
        <v>#N/A</v>
      </c>
      <c r="AL175" s="168"/>
      <c r="AM175" s="168"/>
      <c r="AN175" s="168"/>
      <c r="AO175" s="168" t="s">
        <v>504</v>
      </c>
      <c r="AP175" s="168"/>
      <c r="AQ175" s="168"/>
      <c r="AR175" s="168"/>
      <c r="AS175" s="168"/>
      <c r="AT175" s="168"/>
      <c r="AU175" s="168"/>
      <c r="AV175" s="168"/>
      <c r="AW175" s="55" t="s">
        <v>2267</v>
      </c>
      <c r="AX175" s="55" t="s">
        <v>1518</v>
      </c>
      <c r="AY175" s="170"/>
      <c r="AZ175" s="170"/>
      <c r="BA175" s="170"/>
      <c r="BB175" s="170"/>
      <c r="BC175" s="170"/>
      <c r="BD175" s="170"/>
      <c r="BE175" s="170"/>
      <c r="BF175" s="170"/>
      <c r="BG175" s="170"/>
      <c r="BH175" s="170"/>
      <c r="BI175" s="170"/>
    </row>
    <row r="176" spans="1:61" x14ac:dyDescent="0.3">
      <c r="A176" s="43">
        <v>175</v>
      </c>
      <c r="B176" s="43">
        <v>18</v>
      </c>
      <c r="C176" s="102" t="s">
        <v>2542</v>
      </c>
      <c r="D176" s="126">
        <v>1</v>
      </c>
      <c r="E176" s="157" t="s">
        <v>173</v>
      </c>
      <c r="F176" s="115" t="s">
        <v>381</v>
      </c>
      <c r="G176" s="109">
        <v>28537</v>
      </c>
      <c r="H176" s="47">
        <f t="shared" si="36"/>
        <v>49356</v>
      </c>
      <c r="I176" s="48">
        <f t="shared" si="32"/>
        <v>49369</v>
      </c>
      <c r="J176" s="48">
        <v>45292</v>
      </c>
      <c r="K176" s="109">
        <v>36586</v>
      </c>
      <c r="L176" s="133" t="s">
        <v>2537</v>
      </c>
      <c r="M176" s="112" t="s">
        <v>287</v>
      </c>
      <c r="N176" s="102" t="s">
        <v>282</v>
      </c>
      <c r="O176" s="109">
        <v>41091</v>
      </c>
      <c r="P176" s="110"/>
      <c r="Q176" s="159" t="s">
        <v>74</v>
      </c>
      <c r="R176" s="102">
        <v>1.68</v>
      </c>
      <c r="S176" s="113">
        <v>0.06</v>
      </c>
      <c r="T176" s="114"/>
      <c r="U176" s="52">
        <f t="shared" si="34"/>
        <v>7946400</v>
      </c>
      <c r="V176" s="52">
        <f t="shared" si="37"/>
        <v>264600</v>
      </c>
      <c r="W176" s="52">
        <f t="shared" si="38"/>
        <v>0</v>
      </c>
      <c r="X176" s="52">
        <f t="shared" si="27"/>
        <v>8211000</v>
      </c>
      <c r="Y176" s="52">
        <f>+VLOOKUP(E176,[2]Sheet1!$B$11:$J$400,9,0)</f>
        <v>7238400</v>
      </c>
      <c r="Z176" s="52"/>
      <c r="AA176" s="53" t="s">
        <v>1652</v>
      </c>
      <c r="AB176" s="114" t="s">
        <v>1168</v>
      </c>
      <c r="AC176" s="45" t="str">
        <f>+VLOOKUP(E176,[3]Sheet1!$B$11:$I$388,8,0)</f>
        <v>60 - 040</v>
      </c>
      <c r="AD176" s="114" t="s">
        <v>1795</v>
      </c>
      <c r="AE176" s="114" t="s">
        <v>2844</v>
      </c>
      <c r="AF176" s="115">
        <v>42078000777</v>
      </c>
      <c r="AG176" s="45">
        <f>+VALUE(AF176:AF569)</f>
        <v>42078000777</v>
      </c>
      <c r="AH176" s="114" t="s">
        <v>1169</v>
      </c>
      <c r="AI176" s="114" t="s">
        <v>1161</v>
      </c>
      <c r="AJ176" s="114" t="s">
        <v>1170</v>
      </c>
      <c r="AK176" s="116" t="s">
        <v>1171</v>
      </c>
      <c r="AL176" s="114"/>
      <c r="AM176" s="114" t="s">
        <v>512</v>
      </c>
      <c r="AN176" s="114"/>
      <c r="AO176" s="114"/>
      <c r="AP176" s="114"/>
      <c r="AQ176" s="114"/>
      <c r="AR176" s="114"/>
      <c r="AS176" s="114"/>
      <c r="AT176" s="114"/>
      <c r="AU176" s="114"/>
      <c r="AV176" s="114"/>
      <c r="AW176" s="55" t="s">
        <v>2251</v>
      </c>
      <c r="AX176" s="55" t="s">
        <v>1518</v>
      </c>
    </row>
    <row r="177" spans="1:61" x14ac:dyDescent="0.3">
      <c r="A177" s="43">
        <v>176</v>
      </c>
      <c r="B177" s="43">
        <v>19</v>
      </c>
      <c r="C177" s="102" t="s">
        <v>2542</v>
      </c>
      <c r="D177" s="126">
        <v>2</v>
      </c>
      <c r="E177" s="149" t="s">
        <v>174</v>
      </c>
      <c r="F177" s="115" t="s">
        <v>382</v>
      </c>
      <c r="G177" s="109">
        <v>26659</v>
      </c>
      <c r="H177" s="47">
        <f t="shared" si="36"/>
        <v>47478</v>
      </c>
      <c r="I177" s="48">
        <f t="shared" si="32"/>
        <v>47484</v>
      </c>
      <c r="J177" s="48">
        <v>50100</v>
      </c>
      <c r="K177" s="109">
        <v>35582</v>
      </c>
      <c r="L177" s="133" t="s">
        <v>2537</v>
      </c>
      <c r="M177" s="112" t="s">
        <v>287</v>
      </c>
      <c r="N177" s="102" t="s">
        <v>281</v>
      </c>
      <c r="O177" s="109">
        <v>43405</v>
      </c>
      <c r="P177" s="110"/>
      <c r="Q177" s="162" t="s">
        <v>74</v>
      </c>
      <c r="R177" s="102">
        <v>1.68</v>
      </c>
      <c r="S177" s="113"/>
      <c r="T177" s="114"/>
      <c r="U177" s="52">
        <f t="shared" si="34"/>
        <v>7946400</v>
      </c>
      <c r="V177" s="52">
        <f t="shared" si="37"/>
        <v>0</v>
      </c>
      <c r="W177" s="52">
        <f t="shared" si="38"/>
        <v>0</v>
      </c>
      <c r="X177" s="52">
        <f t="shared" si="27"/>
        <v>7946400</v>
      </c>
      <c r="Y177" s="52">
        <f>+VLOOKUP(E177,[2]Sheet1!$B$11:$J$400,9,0)</f>
        <v>6988800</v>
      </c>
      <c r="Z177" s="52"/>
      <c r="AA177" s="53" t="s">
        <v>1653</v>
      </c>
      <c r="AB177" s="114" t="s">
        <v>1168</v>
      </c>
      <c r="AC177" s="45" t="str">
        <f>+VLOOKUP(E177,[3]Sheet1!$B$11:$I$388,8,0)</f>
        <v>60 - 040</v>
      </c>
      <c r="AD177" s="114" t="s">
        <v>1795</v>
      </c>
      <c r="AE177" s="114" t="s">
        <v>2845</v>
      </c>
      <c r="AF177" s="115">
        <v>2641522174</v>
      </c>
      <c r="AG177" s="45">
        <f>+VALUE(AF177:AF570)</f>
        <v>2641522174</v>
      </c>
      <c r="AH177" s="123" t="s">
        <v>513</v>
      </c>
      <c r="AI177" s="114" t="s">
        <v>1172</v>
      </c>
      <c r="AJ177" s="114" t="s">
        <v>1173</v>
      </c>
      <c r="AK177" s="116" t="s">
        <v>1174</v>
      </c>
      <c r="AL177" s="114"/>
      <c r="AM177" s="114"/>
      <c r="AN177" s="114" t="s">
        <v>514</v>
      </c>
      <c r="AO177" s="114"/>
      <c r="AP177" s="114"/>
      <c r="AQ177" s="114"/>
      <c r="AR177" s="114"/>
      <c r="AS177" s="114"/>
      <c r="AT177" s="114"/>
      <c r="AU177" s="114"/>
      <c r="AV177" s="114"/>
      <c r="AW177" s="55" t="s">
        <v>2252</v>
      </c>
      <c r="AX177" s="55" t="s">
        <v>1518</v>
      </c>
    </row>
    <row r="178" spans="1:61" s="161" customFormat="1" x14ac:dyDescent="0.3">
      <c r="A178" s="43">
        <v>177</v>
      </c>
      <c r="B178" s="43">
        <v>20</v>
      </c>
      <c r="C178" s="102" t="s">
        <v>2542</v>
      </c>
      <c r="D178" s="126">
        <v>3</v>
      </c>
      <c r="E178" s="149" t="s">
        <v>175</v>
      </c>
      <c r="F178" s="115" t="s">
        <v>383</v>
      </c>
      <c r="G178" s="109">
        <v>32281</v>
      </c>
      <c r="H178" s="47">
        <f t="shared" si="36"/>
        <v>53100</v>
      </c>
      <c r="I178" s="48">
        <f t="shared" si="32"/>
        <v>53114</v>
      </c>
      <c r="J178" s="48">
        <v>51349</v>
      </c>
      <c r="K178" s="109">
        <v>41214</v>
      </c>
      <c r="L178" s="133" t="s">
        <v>2537</v>
      </c>
      <c r="M178" s="112" t="s">
        <v>287</v>
      </c>
      <c r="N178" s="102" t="s">
        <v>281</v>
      </c>
      <c r="O178" s="109">
        <v>42309</v>
      </c>
      <c r="P178" s="110"/>
      <c r="Q178" s="160" t="s">
        <v>76</v>
      </c>
      <c r="R178" s="102">
        <v>1.58</v>
      </c>
      <c r="S178" s="113"/>
      <c r="T178" s="114"/>
      <c r="U178" s="52">
        <f t="shared" si="34"/>
        <v>7473400</v>
      </c>
      <c r="V178" s="52">
        <f t="shared" si="37"/>
        <v>0</v>
      </c>
      <c r="W178" s="52">
        <f t="shared" si="38"/>
        <v>0</v>
      </c>
      <c r="X178" s="52">
        <f t="shared" si="27"/>
        <v>7473400</v>
      </c>
      <c r="Y178" s="52">
        <f>+VLOOKUP(E178,[2]Sheet1!$B$11:$J$400,9,0)</f>
        <v>6572800</v>
      </c>
      <c r="Z178" s="52"/>
      <c r="AA178" s="53" t="s">
        <v>1654</v>
      </c>
      <c r="AB178" s="114" t="s">
        <v>1175</v>
      </c>
      <c r="AC178" s="45" t="str">
        <f>+VLOOKUP(E178,[3]Sheet1!$B$11:$I$388,8,0)</f>
        <v>60 - 040</v>
      </c>
      <c r="AD178" s="114" t="s">
        <v>1795</v>
      </c>
      <c r="AE178" s="114" t="s">
        <v>2846</v>
      </c>
      <c r="AF178" s="115" t="s">
        <v>2446</v>
      </c>
      <c r="AG178" s="45">
        <f t="shared" ref="AG178:AG183" si="39">+VALUE(AF178:AF572)</f>
        <v>261110988</v>
      </c>
      <c r="AH178" s="114" t="s">
        <v>800</v>
      </c>
      <c r="AI178" s="114" t="s">
        <v>515</v>
      </c>
      <c r="AJ178" s="114" t="s">
        <v>1176</v>
      </c>
      <c r="AK178" s="116" t="s">
        <v>945</v>
      </c>
      <c r="AL178" s="114"/>
      <c r="AM178" s="114" t="s">
        <v>505</v>
      </c>
      <c r="AN178" s="114"/>
      <c r="AO178" s="114"/>
      <c r="AP178" s="114"/>
      <c r="AQ178" s="114"/>
      <c r="AR178" s="114"/>
      <c r="AS178" s="114"/>
      <c r="AT178" s="114"/>
      <c r="AU178" s="114"/>
      <c r="AV178" s="114"/>
      <c r="AW178" s="55" t="s">
        <v>2253</v>
      </c>
      <c r="AX178" s="55" t="s">
        <v>1518</v>
      </c>
      <c r="AY178" s="55"/>
      <c r="AZ178" s="55"/>
      <c r="BA178" s="55"/>
      <c r="BB178" s="55"/>
      <c r="BC178" s="55"/>
      <c r="BD178" s="55"/>
      <c r="BE178" s="55"/>
      <c r="BF178" s="55"/>
      <c r="BG178" s="55"/>
      <c r="BH178" s="55"/>
      <c r="BI178" s="55"/>
    </row>
    <row r="179" spans="1:61" x14ac:dyDescent="0.3">
      <c r="A179" s="43">
        <v>178</v>
      </c>
      <c r="B179" s="43">
        <v>21</v>
      </c>
      <c r="C179" s="102" t="s">
        <v>2542</v>
      </c>
      <c r="D179" s="126">
        <v>4</v>
      </c>
      <c r="E179" s="157" t="s">
        <v>176</v>
      </c>
      <c r="F179" s="115" t="s">
        <v>384</v>
      </c>
      <c r="G179" s="109">
        <v>26305</v>
      </c>
      <c r="H179" s="47">
        <f t="shared" si="36"/>
        <v>47125</v>
      </c>
      <c r="I179" s="48">
        <f t="shared" si="32"/>
        <v>47150</v>
      </c>
      <c r="J179" s="48">
        <v>46357</v>
      </c>
      <c r="K179" s="109">
        <v>34213</v>
      </c>
      <c r="L179" s="135" t="s">
        <v>2537</v>
      </c>
      <c r="M179" s="112" t="s">
        <v>287</v>
      </c>
      <c r="N179" s="102" t="s">
        <v>283</v>
      </c>
      <c r="O179" s="109">
        <v>39264</v>
      </c>
      <c r="P179" s="110"/>
      <c r="Q179" s="158" t="s">
        <v>74</v>
      </c>
      <c r="R179" s="102">
        <v>1.68</v>
      </c>
      <c r="S179" s="113">
        <v>0.04</v>
      </c>
      <c r="T179" s="114"/>
      <c r="U179" s="52">
        <f t="shared" si="34"/>
        <v>7946400</v>
      </c>
      <c r="V179" s="52">
        <f t="shared" si="37"/>
        <v>176400</v>
      </c>
      <c r="W179" s="52">
        <f t="shared" si="38"/>
        <v>0</v>
      </c>
      <c r="X179" s="52">
        <f t="shared" si="27"/>
        <v>8122800</v>
      </c>
      <c r="Y179" s="52">
        <f>+VLOOKUP(E179,[2]Sheet1!$B$11:$J$400,9,0)</f>
        <v>7155200</v>
      </c>
      <c r="Z179" s="52"/>
      <c r="AA179" s="53" t="s">
        <v>1655</v>
      </c>
      <c r="AB179" s="114" t="s">
        <v>1177</v>
      </c>
      <c r="AC179" s="45" t="str">
        <f>+VLOOKUP(E179,[3]Sheet1!$B$11:$I$388,8,0)</f>
        <v>60 - 099</v>
      </c>
      <c r="AD179" s="114" t="s">
        <v>1797</v>
      </c>
      <c r="AE179" s="114" t="s">
        <v>2847</v>
      </c>
      <c r="AF179" s="115" t="s">
        <v>2447</v>
      </c>
      <c r="AG179" s="45">
        <f t="shared" si="39"/>
        <v>261330800</v>
      </c>
      <c r="AH179" s="123" t="s">
        <v>516</v>
      </c>
      <c r="AI179" s="114" t="s">
        <v>517</v>
      </c>
      <c r="AJ179" s="114" t="s">
        <v>1178</v>
      </c>
      <c r="AK179" s="116" t="s">
        <v>1179</v>
      </c>
      <c r="AL179" s="114"/>
      <c r="AM179" s="114"/>
      <c r="AN179" s="114"/>
      <c r="AO179" s="114" t="s">
        <v>518</v>
      </c>
      <c r="AP179" s="114"/>
      <c r="AQ179" s="114"/>
      <c r="AR179" s="114"/>
      <c r="AS179" s="114"/>
      <c r="AT179" s="114"/>
      <c r="AU179" s="114"/>
      <c r="AV179" s="114"/>
      <c r="AW179" s="55" t="s">
        <v>2254</v>
      </c>
      <c r="AX179" s="55" t="s">
        <v>1518</v>
      </c>
    </row>
    <row r="180" spans="1:61" x14ac:dyDescent="0.3">
      <c r="A180" s="43">
        <v>179</v>
      </c>
      <c r="B180" s="43">
        <v>22</v>
      </c>
      <c r="C180" s="102" t="s">
        <v>2542</v>
      </c>
      <c r="D180" s="126">
        <v>5</v>
      </c>
      <c r="E180" s="157" t="s">
        <v>177</v>
      </c>
      <c r="F180" s="115" t="s">
        <v>385</v>
      </c>
      <c r="G180" s="109">
        <v>27479</v>
      </c>
      <c r="H180" s="47">
        <f t="shared" si="36"/>
        <v>48299</v>
      </c>
      <c r="I180" s="48">
        <f t="shared" si="32"/>
        <v>48305</v>
      </c>
      <c r="J180" s="48">
        <v>50041</v>
      </c>
      <c r="K180" s="109">
        <v>34608</v>
      </c>
      <c r="L180" s="104" t="s">
        <v>2537</v>
      </c>
      <c r="M180" s="112" t="s">
        <v>287</v>
      </c>
      <c r="N180" s="102" t="s">
        <v>281</v>
      </c>
      <c r="O180" s="109">
        <v>41091</v>
      </c>
      <c r="P180" s="110"/>
      <c r="Q180" s="158" t="s">
        <v>74</v>
      </c>
      <c r="R180" s="102">
        <v>1.68</v>
      </c>
      <c r="S180" s="113"/>
      <c r="T180" s="114"/>
      <c r="U180" s="52">
        <f t="shared" si="34"/>
        <v>7946400</v>
      </c>
      <c r="V180" s="52">
        <f t="shared" si="37"/>
        <v>0</v>
      </c>
      <c r="W180" s="52">
        <f t="shared" si="38"/>
        <v>0</v>
      </c>
      <c r="X180" s="52">
        <f t="shared" si="27"/>
        <v>7946400</v>
      </c>
      <c r="Y180" s="52">
        <f>+VLOOKUP(E180,[2]Sheet1!$B$11:$J$400,9,0)</f>
        <v>6988800</v>
      </c>
      <c r="Z180" s="52"/>
      <c r="AA180" s="53" t="s">
        <v>1656</v>
      </c>
      <c r="AB180" s="114" t="s">
        <v>1175</v>
      </c>
      <c r="AC180" s="45" t="str">
        <f>+VLOOKUP(E180,[3]Sheet1!$B$11:$I$388,8,0)</f>
        <v>60 - 040</v>
      </c>
      <c r="AD180" s="114" t="s">
        <v>1797</v>
      </c>
      <c r="AE180" s="114" t="s">
        <v>2848</v>
      </c>
      <c r="AF180" s="115" t="s">
        <v>2448</v>
      </c>
      <c r="AG180" s="114">
        <f t="shared" si="39"/>
        <v>272033073</v>
      </c>
      <c r="AH180" s="114" t="s">
        <v>1181</v>
      </c>
      <c r="AI180" s="114" t="s">
        <v>519</v>
      </c>
      <c r="AJ180" s="114" t="s">
        <v>1182</v>
      </c>
      <c r="AK180" s="116" t="s">
        <v>1849</v>
      </c>
      <c r="AL180" s="114"/>
      <c r="AM180" s="114"/>
      <c r="AN180" s="114"/>
      <c r="AO180" s="114" t="s">
        <v>504</v>
      </c>
      <c r="AP180" s="114"/>
      <c r="AQ180" s="114"/>
      <c r="AR180" s="114"/>
      <c r="AS180" s="114"/>
      <c r="AT180" s="114"/>
      <c r="AU180" s="114"/>
      <c r="AV180" s="114"/>
      <c r="AW180" s="161" t="s">
        <v>2255</v>
      </c>
      <c r="AX180" s="161" t="s">
        <v>1518</v>
      </c>
      <c r="AY180" s="161"/>
      <c r="AZ180" s="161"/>
      <c r="BA180" s="161"/>
      <c r="BB180" s="161"/>
      <c r="BC180" s="161"/>
      <c r="BD180" s="161"/>
      <c r="BE180" s="161"/>
      <c r="BF180" s="161"/>
      <c r="BG180" s="161"/>
      <c r="BH180" s="161"/>
      <c r="BI180" s="161"/>
    </row>
    <row r="181" spans="1:61" x14ac:dyDescent="0.3">
      <c r="A181" s="43">
        <v>180</v>
      </c>
      <c r="B181" s="43">
        <v>23</v>
      </c>
      <c r="C181" s="102" t="s">
        <v>2542</v>
      </c>
      <c r="D181" s="126">
        <v>6</v>
      </c>
      <c r="E181" s="149" t="s">
        <v>178</v>
      </c>
      <c r="F181" s="115" t="s">
        <v>386</v>
      </c>
      <c r="G181" s="109">
        <v>26237</v>
      </c>
      <c r="H181" s="47">
        <f t="shared" si="36"/>
        <v>47057</v>
      </c>
      <c r="I181" s="48">
        <f t="shared" si="32"/>
        <v>47058</v>
      </c>
      <c r="J181" s="48">
        <v>51622</v>
      </c>
      <c r="K181" s="109">
        <v>36220</v>
      </c>
      <c r="L181" s="135" t="s">
        <v>2537</v>
      </c>
      <c r="M181" s="112" t="s">
        <v>287</v>
      </c>
      <c r="N181" s="102" t="s">
        <v>281</v>
      </c>
      <c r="O181" s="109">
        <v>41821</v>
      </c>
      <c r="P181" s="110"/>
      <c r="Q181" s="159" t="s">
        <v>74</v>
      </c>
      <c r="R181" s="102">
        <v>1.68</v>
      </c>
      <c r="S181" s="113"/>
      <c r="T181" s="114"/>
      <c r="U181" s="52">
        <f t="shared" si="34"/>
        <v>7946400</v>
      </c>
      <c r="V181" s="52">
        <f t="shared" si="37"/>
        <v>0</v>
      </c>
      <c r="W181" s="52">
        <f t="shared" si="38"/>
        <v>0</v>
      </c>
      <c r="X181" s="52">
        <f t="shared" si="27"/>
        <v>7946400</v>
      </c>
      <c r="Y181" s="52">
        <f>+VLOOKUP(E181,[2]Sheet1!$B$11:$J$400,9,0)</f>
        <v>6988800</v>
      </c>
      <c r="Z181" s="52"/>
      <c r="AA181" s="53" t="s">
        <v>1657</v>
      </c>
      <c r="AB181" s="114" t="s">
        <v>1177</v>
      </c>
      <c r="AC181" s="45" t="str">
        <f>+VLOOKUP(E181,[3]Sheet1!$B$11:$I$388,8,0)</f>
        <v>60 - 099</v>
      </c>
      <c r="AD181" s="114" t="s">
        <v>1797</v>
      </c>
      <c r="AE181" s="114" t="s">
        <v>2849</v>
      </c>
      <c r="AF181" s="115" t="s">
        <v>2449</v>
      </c>
      <c r="AG181" s="45">
        <f t="shared" si="39"/>
        <v>261139916</v>
      </c>
      <c r="AH181" s="114" t="s">
        <v>1183</v>
      </c>
      <c r="AI181" s="114" t="s">
        <v>1158</v>
      </c>
      <c r="AJ181" s="114" t="s">
        <v>1178</v>
      </c>
      <c r="AK181" s="116" t="s">
        <v>1184</v>
      </c>
      <c r="AL181" s="114"/>
      <c r="AM181" s="114"/>
      <c r="AN181" s="114"/>
      <c r="AO181" s="114" t="s">
        <v>504</v>
      </c>
      <c r="AP181" s="114"/>
      <c r="AQ181" s="114"/>
      <c r="AR181" s="114"/>
      <c r="AS181" s="114"/>
      <c r="AT181" s="114"/>
      <c r="AU181" s="114"/>
      <c r="AV181" s="114"/>
      <c r="AW181" s="55" t="s">
        <v>2256</v>
      </c>
      <c r="AX181" s="55" t="s">
        <v>1518</v>
      </c>
    </row>
    <row r="182" spans="1:61" s="170" customFormat="1" x14ac:dyDescent="0.3">
      <c r="A182" s="43">
        <v>181</v>
      </c>
      <c r="B182" s="43">
        <v>24</v>
      </c>
      <c r="C182" s="102" t="s">
        <v>2542</v>
      </c>
      <c r="D182" s="126">
        <v>7</v>
      </c>
      <c r="E182" s="175" t="s">
        <v>179</v>
      </c>
      <c r="F182" s="176" t="s">
        <v>387</v>
      </c>
      <c r="G182" s="109">
        <v>30307</v>
      </c>
      <c r="H182" s="47">
        <f>+DATE(YEAR(G182)+55,MONTH(G182),DAY(G182))</f>
        <v>50396</v>
      </c>
      <c r="I182" s="48">
        <f t="shared" si="32"/>
        <v>50406</v>
      </c>
      <c r="J182" s="48">
        <v>50952</v>
      </c>
      <c r="K182" s="109">
        <v>39142</v>
      </c>
      <c r="L182" s="104" t="s">
        <v>2537</v>
      </c>
      <c r="M182" s="112" t="s">
        <v>287</v>
      </c>
      <c r="N182" s="102" t="s">
        <v>281</v>
      </c>
      <c r="O182" s="109">
        <v>42309</v>
      </c>
      <c r="P182" s="110"/>
      <c r="Q182" s="159" t="s">
        <v>74</v>
      </c>
      <c r="R182" s="102">
        <v>1.5</v>
      </c>
      <c r="S182" s="113"/>
      <c r="T182" s="114"/>
      <c r="U182" s="52">
        <f t="shared" si="34"/>
        <v>7095000</v>
      </c>
      <c r="V182" s="52">
        <f t="shared" si="37"/>
        <v>0</v>
      </c>
      <c r="W182" s="52">
        <f t="shared" si="38"/>
        <v>0</v>
      </c>
      <c r="X182" s="52">
        <f t="shared" si="27"/>
        <v>7095000</v>
      </c>
      <c r="Y182" s="52">
        <f>+VLOOKUP(E182,[2]Sheet1!$B$11:$J$400,9,0)</f>
        <v>6406400</v>
      </c>
      <c r="Z182" s="52"/>
      <c r="AA182" s="53" t="s">
        <v>1658</v>
      </c>
      <c r="AB182" s="114" t="s">
        <v>1185</v>
      </c>
      <c r="AC182" s="45" t="str">
        <f>+VLOOKUP(E182,[3]Sheet1!$B$11:$I$388,8,0)</f>
        <v>79 - 025</v>
      </c>
      <c r="AD182" s="114" t="s">
        <v>1796</v>
      </c>
      <c r="AE182" s="114" t="s">
        <v>2850</v>
      </c>
      <c r="AF182" s="115" t="s">
        <v>2450</v>
      </c>
      <c r="AG182" s="45">
        <f t="shared" si="39"/>
        <v>260919390</v>
      </c>
      <c r="AH182" s="114" t="s">
        <v>1186</v>
      </c>
      <c r="AI182" s="114" t="s">
        <v>515</v>
      </c>
      <c r="AJ182" s="114" t="s">
        <v>1187</v>
      </c>
      <c r="AK182" s="116" t="s">
        <v>1188</v>
      </c>
      <c r="AL182" s="114"/>
      <c r="AM182" s="114"/>
      <c r="AN182" s="114"/>
      <c r="AO182" s="114" t="s">
        <v>521</v>
      </c>
      <c r="AP182" s="114"/>
      <c r="AQ182" s="114"/>
      <c r="AR182" s="114"/>
      <c r="AS182" s="114"/>
      <c r="AT182" s="114"/>
      <c r="AU182" s="114"/>
      <c r="AV182" s="114"/>
      <c r="AW182" s="55" t="s">
        <v>2255</v>
      </c>
      <c r="AX182" s="55" t="s">
        <v>1518</v>
      </c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55"/>
    </row>
    <row r="183" spans="1:61" s="170" customFormat="1" x14ac:dyDescent="0.3">
      <c r="A183" s="43">
        <v>182</v>
      </c>
      <c r="B183" s="43">
        <v>25</v>
      </c>
      <c r="C183" s="102" t="s">
        <v>2542</v>
      </c>
      <c r="D183" s="126">
        <v>8</v>
      </c>
      <c r="E183" s="175" t="s">
        <v>180</v>
      </c>
      <c r="F183" s="176" t="s">
        <v>388</v>
      </c>
      <c r="G183" s="109">
        <v>30955</v>
      </c>
      <c r="H183" s="47">
        <f>+DATE(YEAR(G183)+55,MONTH(G183),DAY(G183))</f>
        <v>51043</v>
      </c>
      <c r="I183" s="48">
        <f t="shared" si="32"/>
        <v>51044</v>
      </c>
      <c r="J183" s="48">
        <v>48122</v>
      </c>
      <c r="K183" s="109">
        <v>39661</v>
      </c>
      <c r="L183" s="104" t="s">
        <v>2537</v>
      </c>
      <c r="M183" s="112" t="s">
        <v>287</v>
      </c>
      <c r="N183" s="102" t="s">
        <v>281</v>
      </c>
      <c r="O183" s="109">
        <v>43405</v>
      </c>
      <c r="P183" s="110"/>
      <c r="Q183" s="159" t="s">
        <v>74</v>
      </c>
      <c r="R183" s="102">
        <v>1.5</v>
      </c>
      <c r="S183" s="113"/>
      <c r="T183" s="114"/>
      <c r="U183" s="52">
        <f t="shared" si="34"/>
        <v>7095000</v>
      </c>
      <c r="V183" s="52">
        <f t="shared" si="37"/>
        <v>0</v>
      </c>
      <c r="W183" s="52">
        <f t="shared" si="38"/>
        <v>0</v>
      </c>
      <c r="X183" s="52">
        <f t="shared" si="27"/>
        <v>7095000</v>
      </c>
      <c r="Y183" s="52">
        <f>+VLOOKUP(E183,[2]Sheet1!$B$11:$J$400,9,0)</f>
        <v>6240000</v>
      </c>
      <c r="Z183" s="52"/>
      <c r="AA183" s="53" t="s">
        <v>1659</v>
      </c>
      <c r="AB183" s="114" t="s">
        <v>1180</v>
      </c>
      <c r="AC183" s="45" t="str">
        <f>+VLOOKUP(E183,[3]Sheet1!$B$11:$I$388,8,0)</f>
        <v>60 - 040</v>
      </c>
      <c r="AD183" s="114" t="s">
        <v>1796</v>
      </c>
      <c r="AE183" s="114" t="s">
        <v>2851</v>
      </c>
      <c r="AF183" s="115" t="s">
        <v>2451</v>
      </c>
      <c r="AG183" s="45">
        <f t="shared" si="39"/>
        <v>260924315</v>
      </c>
      <c r="AH183" s="114" t="s">
        <v>791</v>
      </c>
      <c r="AI183" s="114" t="s">
        <v>520</v>
      </c>
      <c r="AJ183" s="114" t="s">
        <v>1189</v>
      </c>
      <c r="AK183" s="116" t="s">
        <v>901</v>
      </c>
      <c r="AL183" s="114"/>
      <c r="AM183" s="114"/>
      <c r="AN183" s="114"/>
      <c r="AO183" s="114"/>
      <c r="AP183" s="114" t="s">
        <v>522</v>
      </c>
      <c r="AQ183" s="114"/>
      <c r="AR183" s="114"/>
      <c r="AS183" s="114"/>
      <c r="AT183" s="114"/>
      <c r="AU183" s="114"/>
      <c r="AV183" s="114"/>
      <c r="AW183" s="55" t="s">
        <v>2257</v>
      </c>
      <c r="AX183" s="55" t="s">
        <v>1518</v>
      </c>
      <c r="AY183" s="55"/>
      <c r="AZ183" s="55"/>
      <c r="BA183" s="55"/>
      <c r="BB183" s="55"/>
      <c r="BC183" s="55"/>
      <c r="BD183" s="55"/>
      <c r="BE183" s="55"/>
      <c r="BF183" s="55"/>
      <c r="BG183" s="55"/>
      <c r="BH183" s="55"/>
      <c r="BI183" s="55"/>
    </row>
    <row r="184" spans="1:61" s="170" customFormat="1" x14ac:dyDescent="0.3">
      <c r="A184" s="43">
        <v>183</v>
      </c>
      <c r="B184" s="43">
        <v>26</v>
      </c>
      <c r="C184" s="102" t="s">
        <v>2542</v>
      </c>
      <c r="D184" s="182">
        <v>1</v>
      </c>
      <c r="E184" s="163" t="s">
        <v>182</v>
      </c>
      <c r="F184" s="164" t="s">
        <v>391</v>
      </c>
      <c r="G184" s="165">
        <v>26587</v>
      </c>
      <c r="H184" s="47">
        <f>+DATE(YEAR(G184)+57,MONTH(G184),DAY(G184))</f>
        <v>47406</v>
      </c>
      <c r="I184" s="48">
        <f t="shared" si="32"/>
        <v>47423</v>
      </c>
      <c r="J184" s="48">
        <v>50618</v>
      </c>
      <c r="K184" s="165">
        <v>34274</v>
      </c>
      <c r="L184" s="183" t="s">
        <v>732</v>
      </c>
      <c r="M184" s="112" t="s">
        <v>287</v>
      </c>
      <c r="N184" s="102" t="s">
        <v>285</v>
      </c>
      <c r="O184" s="165">
        <v>41456</v>
      </c>
      <c r="P184" s="166"/>
      <c r="Q184" s="111" t="s">
        <v>74</v>
      </c>
      <c r="R184" s="112">
        <v>1.68</v>
      </c>
      <c r="S184" s="167"/>
      <c r="T184" s="168">
        <v>0.1</v>
      </c>
      <c r="U184" s="52">
        <f t="shared" si="34"/>
        <v>7946400</v>
      </c>
      <c r="V184" s="52">
        <f t="shared" si="37"/>
        <v>0</v>
      </c>
      <c r="W184" s="52">
        <f t="shared" si="38"/>
        <v>234000</v>
      </c>
      <c r="X184" s="52">
        <f t="shared" si="27"/>
        <v>8180400</v>
      </c>
      <c r="Y184" s="52">
        <f>+VLOOKUP(E184,[2]Sheet1!$B$11:$J$400,9,0)</f>
        <v>7168800</v>
      </c>
      <c r="Z184" s="52"/>
      <c r="AA184" s="53" t="s">
        <v>1661</v>
      </c>
      <c r="AB184" s="168" t="s">
        <v>899</v>
      </c>
      <c r="AC184" s="45" t="str">
        <f>+VLOOKUP(E184,[3]Sheet1!$B$11:$I$388,8,0)</f>
        <v>58 - 001</v>
      </c>
      <c r="AD184" s="168" t="s">
        <v>1787</v>
      </c>
      <c r="AE184" s="114" t="s">
        <v>2853</v>
      </c>
      <c r="AF184" s="164" t="s">
        <v>2453</v>
      </c>
      <c r="AG184" s="45">
        <f>+VALUE(AF184:AF580)</f>
        <v>264044978</v>
      </c>
      <c r="AH184" s="184" t="s">
        <v>523</v>
      </c>
      <c r="AI184" s="168" t="s">
        <v>503</v>
      </c>
      <c r="AJ184" s="168" t="s">
        <v>547</v>
      </c>
      <c r="AK184" s="169" t="s">
        <v>548</v>
      </c>
      <c r="AL184" s="168"/>
      <c r="AM184" s="168"/>
      <c r="AN184" s="168"/>
      <c r="AO184" s="168" t="s">
        <v>504</v>
      </c>
      <c r="AP184" s="168"/>
      <c r="AQ184" s="168"/>
      <c r="AR184" s="168"/>
      <c r="AS184" s="168"/>
      <c r="AT184" s="168"/>
      <c r="AU184" s="168"/>
      <c r="AV184" s="168"/>
      <c r="AW184" s="55" t="s">
        <v>2259</v>
      </c>
      <c r="AX184" s="55" t="s">
        <v>1518</v>
      </c>
    </row>
    <row r="185" spans="1:61" s="170" customFormat="1" x14ac:dyDescent="0.3">
      <c r="A185" s="43">
        <v>184</v>
      </c>
      <c r="B185" s="43">
        <v>27</v>
      </c>
      <c r="C185" s="102" t="s">
        <v>2542</v>
      </c>
      <c r="D185" s="182">
        <v>2</v>
      </c>
      <c r="E185" s="163" t="s">
        <v>183</v>
      </c>
      <c r="F185" s="164" t="s">
        <v>392</v>
      </c>
      <c r="G185" s="165">
        <v>34293</v>
      </c>
      <c r="H185" s="47">
        <f>+DATE(YEAR(G185)+57,MONTH(G185),DAY(G185))</f>
        <v>55112</v>
      </c>
      <c r="I185" s="48">
        <f t="shared" si="32"/>
        <v>55123</v>
      </c>
      <c r="J185" s="48">
        <v>55123</v>
      </c>
      <c r="K185" s="165">
        <v>41671</v>
      </c>
      <c r="L185" s="183" t="s">
        <v>732</v>
      </c>
      <c r="M185" s="112" t="s">
        <v>287</v>
      </c>
      <c r="N185" s="102" t="s">
        <v>286</v>
      </c>
      <c r="O185" s="165">
        <v>45839</v>
      </c>
      <c r="P185" s="166"/>
      <c r="Q185" s="111" t="s">
        <v>76</v>
      </c>
      <c r="R185" s="112">
        <v>1.58</v>
      </c>
      <c r="S185" s="167">
        <v>0.06</v>
      </c>
      <c r="T185" s="168">
        <v>0.1</v>
      </c>
      <c r="U185" s="52">
        <f t="shared" si="34"/>
        <v>7473400</v>
      </c>
      <c r="V185" s="52">
        <f t="shared" si="37"/>
        <v>264600</v>
      </c>
      <c r="W185" s="52">
        <f t="shared" si="38"/>
        <v>234000</v>
      </c>
      <c r="X185" s="52">
        <f t="shared" si="27"/>
        <v>7972000</v>
      </c>
      <c r="Y185" s="52">
        <f>+VLOOKUP(E185,[2]Sheet1!$B$11:$J$400,9,0)</f>
        <v>6544800</v>
      </c>
      <c r="Z185" s="52"/>
      <c r="AA185" s="53" t="s">
        <v>1662</v>
      </c>
      <c r="AB185" s="168" t="s">
        <v>899</v>
      </c>
      <c r="AC185" s="45" t="str">
        <f>+VLOOKUP(E185,[3]Sheet1!$B$11:$I$388,8,0)</f>
        <v>58 - 007</v>
      </c>
      <c r="AD185" s="168" t="s">
        <v>1787</v>
      </c>
      <c r="AE185" s="114" t="s">
        <v>2854</v>
      </c>
      <c r="AF185" s="164" t="s">
        <v>2454</v>
      </c>
      <c r="AG185" s="45">
        <f>+VALUE(AF185:AF581)</f>
        <v>264403923</v>
      </c>
      <c r="AH185" s="168" t="s">
        <v>1193</v>
      </c>
      <c r="AI185" s="168" t="s">
        <v>503</v>
      </c>
      <c r="AJ185" s="168" t="s">
        <v>526</v>
      </c>
      <c r="AK185" s="169" t="s">
        <v>1138</v>
      </c>
      <c r="AL185" s="168"/>
      <c r="AM185" s="168" t="s">
        <v>89</v>
      </c>
      <c r="AN185" s="168"/>
      <c r="AO185" s="168"/>
      <c r="AP185" s="168" t="s">
        <v>511</v>
      </c>
      <c r="AQ185" s="168"/>
      <c r="AR185" s="168"/>
      <c r="AS185" s="168"/>
      <c r="AT185" s="168"/>
      <c r="AU185" s="168"/>
      <c r="AV185" s="168"/>
      <c r="AW185" s="55" t="s">
        <v>2260</v>
      </c>
      <c r="AX185" s="55" t="s">
        <v>1518</v>
      </c>
    </row>
    <row r="186" spans="1:61" s="170" customFormat="1" x14ac:dyDescent="0.3">
      <c r="A186" s="43">
        <v>185</v>
      </c>
      <c r="B186" s="43">
        <v>28</v>
      </c>
      <c r="C186" s="102" t="s">
        <v>2542</v>
      </c>
      <c r="D186" s="182">
        <v>3</v>
      </c>
      <c r="E186" s="163" t="s">
        <v>184</v>
      </c>
      <c r="F186" s="164" t="s">
        <v>393</v>
      </c>
      <c r="G186" s="165">
        <v>25730</v>
      </c>
      <c r="H186" s="47">
        <v>46367</v>
      </c>
      <c r="I186" s="48">
        <f t="shared" si="32"/>
        <v>46388</v>
      </c>
      <c r="J186" s="48">
        <v>46388</v>
      </c>
      <c r="K186" s="165">
        <v>32782</v>
      </c>
      <c r="L186" s="183" t="s">
        <v>732</v>
      </c>
      <c r="M186" s="112" t="s">
        <v>287</v>
      </c>
      <c r="N186" s="102" t="s">
        <v>281</v>
      </c>
      <c r="O186" s="165">
        <v>39630</v>
      </c>
      <c r="P186" s="166"/>
      <c r="Q186" s="185" t="s">
        <v>74</v>
      </c>
      <c r="R186" s="112">
        <v>1.68</v>
      </c>
      <c r="S186" s="167"/>
      <c r="T186" s="168">
        <v>0.1</v>
      </c>
      <c r="U186" s="52">
        <f t="shared" si="34"/>
        <v>7946400</v>
      </c>
      <c r="V186" s="52">
        <f t="shared" si="37"/>
        <v>0</v>
      </c>
      <c r="W186" s="52">
        <f t="shared" si="38"/>
        <v>234000</v>
      </c>
      <c r="X186" s="52">
        <f t="shared" si="27"/>
        <v>8180400</v>
      </c>
      <c r="Y186" s="52">
        <f>+VLOOKUP(E186,[2]Sheet1!$B$11:$J$400,9,0)</f>
        <v>7168800</v>
      </c>
      <c r="Z186" s="52"/>
      <c r="AA186" s="53" t="s">
        <v>1663</v>
      </c>
      <c r="AB186" s="168" t="s">
        <v>899</v>
      </c>
      <c r="AC186" s="45" t="str">
        <f>+VLOOKUP(E186,[3]Sheet1!$B$11:$I$388,8,0)</f>
        <v>58 - 007</v>
      </c>
      <c r="AD186" s="168" t="s">
        <v>1787</v>
      </c>
      <c r="AE186" s="114" t="s">
        <v>2855</v>
      </c>
      <c r="AF186" s="164" t="s">
        <v>2455</v>
      </c>
      <c r="AG186" s="45">
        <f>+VALUE(AF186:AF582)</f>
        <v>264251099</v>
      </c>
      <c r="AH186" s="168" t="s">
        <v>1194</v>
      </c>
      <c r="AI186" s="168" t="s">
        <v>503</v>
      </c>
      <c r="AJ186" s="168" t="s">
        <v>1195</v>
      </c>
      <c r="AK186" s="169" t="s">
        <v>1847</v>
      </c>
      <c r="AL186" s="168"/>
      <c r="AM186" s="168"/>
      <c r="AN186" s="168"/>
      <c r="AO186" s="168"/>
      <c r="AP186" s="168" t="s">
        <v>524</v>
      </c>
      <c r="AQ186" s="168"/>
      <c r="AR186" s="168"/>
      <c r="AS186" s="168"/>
      <c r="AT186" s="168"/>
      <c r="AU186" s="168"/>
      <c r="AV186" s="168"/>
      <c r="AW186" s="55" t="s">
        <v>2261</v>
      </c>
      <c r="AX186" s="55" t="s">
        <v>1518</v>
      </c>
    </row>
    <row r="187" spans="1:61" s="170" customFormat="1" x14ac:dyDescent="0.3">
      <c r="A187" s="43">
        <v>186</v>
      </c>
      <c r="B187" s="43">
        <v>29</v>
      </c>
      <c r="C187" s="102" t="s">
        <v>2542</v>
      </c>
      <c r="D187" s="182">
        <v>4</v>
      </c>
      <c r="E187" s="163" t="s">
        <v>186</v>
      </c>
      <c r="F187" s="164" t="s">
        <v>395</v>
      </c>
      <c r="G187" s="165">
        <v>27854</v>
      </c>
      <c r="H187" s="47">
        <f t="shared" ref="H187:H216" si="40">+DATE(YEAR(G187)+57,MONTH(G187),DAY(G187))</f>
        <v>48673</v>
      </c>
      <c r="I187" s="48">
        <f t="shared" si="32"/>
        <v>48700</v>
      </c>
      <c r="J187" s="48">
        <v>48700</v>
      </c>
      <c r="K187" s="165">
        <v>36220</v>
      </c>
      <c r="L187" s="183" t="s">
        <v>732</v>
      </c>
      <c r="M187" s="112" t="s">
        <v>287</v>
      </c>
      <c r="N187" s="102" t="s">
        <v>281</v>
      </c>
      <c r="O187" s="165">
        <v>42979</v>
      </c>
      <c r="P187" s="166"/>
      <c r="Q187" s="111" t="s">
        <v>76</v>
      </c>
      <c r="R187" s="112">
        <v>1.58</v>
      </c>
      <c r="S187" s="167"/>
      <c r="T187" s="168">
        <v>0.1</v>
      </c>
      <c r="U187" s="52">
        <f t="shared" si="34"/>
        <v>7473400</v>
      </c>
      <c r="V187" s="52">
        <f t="shared" si="37"/>
        <v>0</v>
      </c>
      <c r="W187" s="52">
        <f t="shared" si="38"/>
        <v>234000</v>
      </c>
      <c r="X187" s="52">
        <f t="shared" si="27"/>
        <v>7707400</v>
      </c>
      <c r="Y187" s="52">
        <f>+VLOOKUP(E187,[2]Sheet1!$B$11:$J$400,9,0)</f>
        <v>6752800</v>
      </c>
      <c r="Z187" s="52"/>
      <c r="AA187" s="53" t="s">
        <v>1665</v>
      </c>
      <c r="AB187" s="168" t="s">
        <v>899</v>
      </c>
      <c r="AC187" s="45" t="str">
        <f>+VLOOKUP(E187,[3]Sheet1!$B$11:$I$388,8,0)</f>
        <v>58 - 007</v>
      </c>
      <c r="AD187" s="168" t="s">
        <v>1787</v>
      </c>
      <c r="AE187" s="114" t="s">
        <v>2857</v>
      </c>
      <c r="AF187" s="164" t="s">
        <v>2457</v>
      </c>
      <c r="AG187" s="45">
        <f>+VALUE(AF187:AF584)</f>
        <v>264041479</v>
      </c>
      <c r="AH187" s="168" t="s">
        <v>1199</v>
      </c>
      <c r="AI187" s="168" t="s">
        <v>503</v>
      </c>
      <c r="AJ187" s="168" t="s">
        <v>1200</v>
      </c>
      <c r="AK187" s="169" t="s">
        <v>548</v>
      </c>
      <c r="AL187" s="168"/>
      <c r="AM187" s="168"/>
      <c r="AN187" s="168"/>
      <c r="AO187" s="168" t="s">
        <v>504</v>
      </c>
      <c r="AP187" s="168"/>
      <c r="AQ187" s="168"/>
      <c r="AR187" s="168"/>
      <c r="AS187" s="168"/>
      <c r="AT187" s="168"/>
      <c r="AU187" s="168"/>
      <c r="AV187" s="168"/>
      <c r="AW187" s="55" t="s">
        <v>2263</v>
      </c>
      <c r="AX187" s="55" t="s">
        <v>1518</v>
      </c>
    </row>
    <row r="188" spans="1:61" s="170" customFormat="1" x14ac:dyDescent="0.3">
      <c r="A188" s="43">
        <v>187</v>
      </c>
      <c r="B188" s="43">
        <v>30</v>
      </c>
      <c r="C188" s="102" t="s">
        <v>2542</v>
      </c>
      <c r="D188" s="182">
        <v>5</v>
      </c>
      <c r="E188" s="163" t="s">
        <v>187</v>
      </c>
      <c r="F188" s="164" t="s">
        <v>396</v>
      </c>
      <c r="G188" s="165">
        <v>26772</v>
      </c>
      <c r="H188" s="47">
        <f t="shared" si="40"/>
        <v>47591</v>
      </c>
      <c r="I188" s="48">
        <f t="shared" si="32"/>
        <v>47604</v>
      </c>
      <c r="J188" s="48">
        <v>47604</v>
      </c>
      <c r="K188" s="165">
        <v>35186</v>
      </c>
      <c r="L188" s="183" t="s">
        <v>732</v>
      </c>
      <c r="M188" s="112" t="s">
        <v>287</v>
      </c>
      <c r="N188" s="102" t="s">
        <v>281</v>
      </c>
      <c r="O188" s="165">
        <v>39995</v>
      </c>
      <c r="P188" s="166"/>
      <c r="Q188" s="185" t="s">
        <v>76</v>
      </c>
      <c r="R188" s="112">
        <v>1.58</v>
      </c>
      <c r="S188" s="167"/>
      <c r="T188" s="168">
        <v>0.1</v>
      </c>
      <c r="U188" s="52">
        <f t="shared" si="34"/>
        <v>7473400</v>
      </c>
      <c r="V188" s="52">
        <f t="shared" si="37"/>
        <v>0</v>
      </c>
      <c r="W188" s="52">
        <f t="shared" si="38"/>
        <v>234000</v>
      </c>
      <c r="X188" s="52">
        <f t="shared" si="27"/>
        <v>7707400</v>
      </c>
      <c r="Y188" s="52">
        <f>+VLOOKUP(E188,[2]Sheet1!$B$11:$J$400,9,0)</f>
        <v>6752800</v>
      </c>
      <c r="Z188" s="52"/>
      <c r="AA188" s="53" t="s">
        <v>1666</v>
      </c>
      <c r="AB188" s="168" t="s">
        <v>899</v>
      </c>
      <c r="AC188" s="45" t="str">
        <f>+VLOOKUP(E188,[3]Sheet1!$B$11:$I$388,8,0)</f>
        <v>58 - 007</v>
      </c>
      <c r="AD188" s="168" t="s">
        <v>1787</v>
      </c>
      <c r="AE188" s="114" t="s">
        <v>2858</v>
      </c>
      <c r="AF188" s="164" t="s">
        <v>2458</v>
      </c>
      <c r="AG188" s="45">
        <f>+VALUE(AF188:AF585)</f>
        <v>264007374</v>
      </c>
      <c r="AH188" s="168" t="s">
        <v>1201</v>
      </c>
      <c r="AI188" s="168" t="s">
        <v>503</v>
      </c>
      <c r="AJ188" s="168" t="s">
        <v>525</v>
      </c>
      <c r="AK188" s="169" t="s">
        <v>1202</v>
      </c>
      <c r="AL188" s="168"/>
      <c r="AM188" s="168"/>
      <c r="AN188" s="168"/>
      <c r="AO188" s="168" t="s">
        <v>504</v>
      </c>
      <c r="AP188" s="168"/>
      <c r="AQ188" s="168"/>
      <c r="AR188" s="168"/>
      <c r="AS188" s="168"/>
      <c r="AT188" s="168"/>
      <c r="AU188" s="168"/>
      <c r="AV188" s="168"/>
      <c r="AW188" s="55" t="s">
        <v>2264</v>
      </c>
      <c r="AX188" s="55" t="s">
        <v>1518</v>
      </c>
    </row>
    <row r="189" spans="1:61" s="170" customFormat="1" x14ac:dyDescent="0.3">
      <c r="A189" s="43">
        <v>188</v>
      </c>
      <c r="B189" s="43">
        <v>31</v>
      </c>
      <c r="C189" s="102" t="s">
        <v>2542</v>
      </c>
      <c r="D189" s="182">
        <v>6</v>
      </c>
      <c r="E189" s="186" t="s">
        <v>189</v>
      </c>
      <c r="F189" s="164" t="s">
        <v>398</v>
      </c>
      <c r="G189" s="165">
        <v>31785</v>
      </c>
      <c r="H189" s="47">
        <f t="shared" si="40"/>
        <v>52604</v>
      </c>
      <c r="I189" s="48">
        <f t="shared" si="32"/>
        <v>52628</v>
      </c>
      <c r="J189" s="48">
        <v>52628</v>
      </c>
      <c r="K189" s="165">
        <v>39569</v>
      </c>
      <c r="L189" s="183" t="s">
        <v>732</v>
      </c>
      <c r="M189" s="112" t="s">
        <v>287</v>
      </c>
      <c r="N189" s="102" t="s">
        <v>281</v>
      </c>
      <c r="O189" s="165">
        <v>43405</v>
      </c>
      <c r="P189" s="166"/>
      <c r="Q189" s="111" t="s">
        <v>71</v>
      </c>
      <c r="R189" s="112">
        <v>1.49</v>
      </c>
      <c r="S189" s="167"/>
      <c r="T189" s="168">
        <v>0.1</v>
      </c>
      <c r="U189" s="52">
        <f t="shared" si="34"/>
        <v>7047700</v>
      </c>
      <c r="V189" s="52">
        <f t="shared" si="37"/>
        <v>0</v>
      </c>
      <c r="W189" s="52">
        <f t="shared" si="38"/>
        <v>234000</v>
      </c>
      <c r="X189" s="52">
        <f t="shared" si="27"/>
        <v>7281700</v>
      </c>
      <c r="Y189" s="52">
        <f>+VLOOKUP(E189,[2]Sheet1!$B$11:$J$400,9,0)</f>
        <v>6378400</v>
      </c>
      <c r="Z189" s="52"/>
      <c r="AA189" s="53" t="s">
        <v>1668</v>
      </c>
      <c r="AB189" s="168" t="s">
        <v>899</v>
      </c>
      <c r="AC189" s="45" t="str">
        <f>+VLOOKUP(E189,[3]Sheet1!$B$11:$I$388,8,0)</f>
        <v>58 - 007</v>
      </c>
      <c r="AD189" s="168" t="s">
        <v>1787</v>
      </c>
      <c r="AE189" s="123" t="s">
        <v>3086</v>
      </c>
      <c r="AF189" s="164" t="s">
        <v>2460</v>
      </c>
      <c r="AG189" s="45">
        <f>+VALUE(AF189:AF587)</f>
        <v>264294694</v>
      </c>
      <c r="AH189" s="168" t="s">
        <v>1205</v>
      </c>
      <c r="AI189" s="168" t="s">
        <v>503</v>
      </c>
      <c r="AJ189" s="168" t="s">
        <v>1206</v>
      </c>
      <c r="AK189" s="169" t="s">
        <v>1207</v>
      </c>
      <c r="AL189" s="168"/>
      <c r="AM189" s="168"/>
      <c r="AN189" s="168"/>
      <c r="AO189" s="168" t="s">
        <v>504</v>
      </c>
      <c r="AP189" s="168"/>
      <c r="AQ189" s="168"/>
      <c r="AR189" s="168"/>
      <c r="AS189" s="168"/>
      <c r="AT189" s="168"/>
      <c r="AU189" s="168"/>
      <c r="AV189" s="168"/>
      <c r="AW189" s="55" t="s">
        <v>2266</v>
      </c>
      <c r="AX189" s="55" t="s">
        <v>1518</v>
      </c>
    </row>
    <row r="190" spans="1:61" x14ac:dyDescent="0.3">
      <c r="A190" s="43">
        <v>189</v>
      </c>
      <c r="B190" s="43">
        <v>32</v>
      </c>
      <c r="C190" s="102" t="s">
        <v>2542</v>
      </c>
      <c r="D190" s="182">
        <v>7</v>
      </c>
      <c r="E190" s="163" t="s">
        <v>202</v>
      </c>
      <c r="F190" s="164" t="s">
        <v>411</v>
      </c>
      <c r="G190" s="165">
        <v>34696</v>
      </c>
      <c r="H190" s="47">
        <f t="shared" si="40"/>
        <v>55515</v>
      </c>
      <c r="I190" s="48">
        <f t="shared" si="32"/>
        <v>55519</v>
      </c>
      <c r="J190" s="48">
        <v>55519</v>
      </c>
      <c r="K190" s="165">
        <v>42309</v>
      </c>
      <c r="L190" s="183" t="s">
        <v>732</v>
      </c>
      <c r="M190" s="112" t="s">
        <v>287</v>
      </c>
      <c r="N190" s="102" t="s">
        <v>285</v>
      </c>
      <c r="O190" s="165">
        <v>42370</v>
      </c>
      <c r="P190" s="166"/>
      <c r="Q190" s="111" t="s">
        <v>71</v>
      </c>
      <c r="R190" s="112">
        <v>1.49</v>
      </c>
      <c r="S190" s="167">
        <v>0.04</v>
      </c>
      <c r="T190" s="168">
        <v>0.1</v>
      </c>
      <c r="U190" s="52">
        <f t="shared" si="34"/>
        <v>7047700</v>
      </c>
      <c r="V190" s="52">
        <f t="shared" si="37"/>
        <v>176400</v>
      </c>
      <c r="W190" s="52">
        <f t="shared" si="38"/>
        <v>234000</v>
      </c>
      <c r="X190" s="52">
        <f t="shared" si="27"/>
        <v>7458100</v>
      </c>
      <c r="Y190" s="52">
        <f>+VLOOKUP(E190,[2]Sheet1!$B$11:$J$400,9,0)</f>
        <v>6378400</v>
      </c>
      <c r="Z190" s="52"/>
      <c r="AA190" s="53" t="s">
        <v>1682</v>
      </c>
      <c r="AB190" s="168" t="s">
        <v>899</v>
      </c>
      <c r="AC190" s="45" t="str">
        <f>+VLOOKUP(E190,[3]Sheet1!$B$11:$I$388,8,0)</f>
        <v>58 - 007</v>
      </c>
      <c r="AD190" s="168" t="s">
        <v>1787</v>
      </c>
      <c r="AE190" s="114" t="s">
        <v>2861</v>
      </c>
      <c r="AF190" s="164" t="s">
        <v>2462</v>
      </c>
      <c r="AG190" s="45">
        <f>+VALUE(AF190:AF589)</f>
        <v>163179761</v>
      </c>
      <c r="AH190" s="168" t="s">
        <v>1237</v>
      </c>
      <c r="AI190" s="168" t="s">
        <v>867</v>
      </c>
      <c r="AJ190" s="168" t="s">
        <v>1238</v>
      </c>
      <c r="AK190" s="169" t="s">
        <v>1239</v>
      </c>
      <c r="AL190" s="168"/>
      <c r="AM190" s="168"/>
      <c r="AN190" s="168"/>
      <c r="AO190" s="168" t="s">
        <v>504</v>
      </c>
      <c r="AP190" s="168"/>
      <c r="AQ190" s="168"/>
      <c r="AR190" s="168"/>
      <c r="AS190" s="168"/>
      <c r="AT190" s="168"/>
      <c r="AU190" s="168"/>
      <c r="AV190" s="168"/>
      <c r="AW190" s="55" t="s">
        <v>2268</v>
      </c>
      <c r="AX190" s="55" t="s">
        <v>1518</v>
      </c>
      <c r="AY190" s="170"/>
      <c r="AZ190" s="170"/>
      <c r="BA190" s="170"/>
      <c r="BB190" s="170"/>
      <c r="BC190" s="170"/>
      <c r="BD190" s="170"/>
      <c r="BE190" s="170"/>
      <c r="BF190" s="170"/>
      <c r="BG190" s="170"/>
      <c r="BH190" s="170"/>
      <c r="BI190" s="170"/>
    </row>
    <row r="191" spans="1:61" s="170" customFormat="1" x14ac:dyDescent="0.3">
      <c r="A191" s="43">
        <v>190</v>
      </c>
      <c r="B191" s="43">
        <v>33</v>
      </c>
      <c r="C191" s="102" t="s">
        <v>2542</v>
      </c>
      <c r="D191" s="182">
        <v>8</v>
      </c>
      <c r="E191" s="157" t="s">
        <v>200</v>
      </c>
      <c r="F191" s="115" t="s">
        <v>409</v>
      </c>
      <c r="G191" s="109">
        <v>29752</v>
      </c>
      <c r="H191" s="47">
        <f t="shared" si="40"/>
        <v>50571</v>
      </c>
      <c r="I191" s="48">
        <f t="shared" ref="I191:I216" si="41">+EOMONTH(H191,0)+1</f>
        <v>50587</v>
      </c>
      <c r="J191" s="48">
        <v>50587</v>
      </c>
      <c r="K191" s="109">
        <v>40787</v>
      </c>
      <c r="L191" s="183" t="s">
        <v>732</v>
      </c>
      <c r="M191" s="112" t="s">
        <v>287</v>
      </c>
      <c r="N191" s="102" t="s">
        <v>281</v>
      </c>
      <c r="O191" s="109">
        <v>45839</v>
      </c>
      <c r="P191" s="110"/>
      <c r="Q191" s="185" t="s">
        <v>76</v>
      </c>
      <c r="R191" s="102">
        <v>1.58</v>
      </c>
      <c r="S191" s="113"/>
      <c r="T191" s="168">
        <v>0.1</v>
      </c>
      <c r="U191" s="52">
        <f t="shared" si="34"/>
        <v>7473400</v>
      </c>
      <c r="V191" s="52">
        <f t="shared" si="37"/>
        <v>0</v>
      </c>
      <c r="W191" s="52">
        <f t="shared" si="38"/>
        <v>234000</v>
      </c>
      <c r="X191" s="52">
        <f t="shared" si="27"/>
        <v>7707400</v>
      </c>
      <c r="Y191" s="52">
        <f>+VLOOKUP(E191,[2]Sheet1!$B$11:$J$400,9,0)</f>
        <v>6378400</v>
      </c>
      <c r="Z191" s="52"/>
      <c r="AA191" s="53" t="s">
        <v>1680</v>
      </c>
      <c r="AB191" s="114" t="s">
        <v>1226</v>
      </c>
      <c r="AC191" s="45" t="str">
        <f>+VLOOKUP(E191,[3]Sheet1!$B$11:$I$388,8,0)</f>
        <v>58 - 007</v>
      </c>
      <c r="AD191" s="114" t="s">
        <v>1787</v>
      </c>
      <c r="AE191" s="114" t="s">
        <v>2862</v>
      </c>
      <c r="AF191" s="115" t="s">
        <v>2463</v>
      </c>
      <c r="AG191" s="45">
        <f>+VALUE(AF191:AF590)</f>
        <v>264191329</v>
      </c>
      <c r="AH191" s="114" t="s">
        <v>1233</v>
      </c>
      <c r="AI191" s="114" t="s">
        <v>503</v>
      </c>
      <c r="AJ191" s="114" t="s">
        <v>1151</v>
      </c>
      <c r="AK191" s="116" t="s">
        <v>548</v>
      </c>
      <c r="AL191" s="114"/>
      <c r="AM191" s="114"/>
      <c r="AN191" s="114"/>
      <c r="AO191" s="114" t="s">
        <v>504</v>
      </c>
      <c r="AP191" s="114"/>
      <c r="AQ191" s="114"/>
      <c r="AR191" s="114"/>
      <c r="AS191" s="114"/>
      <c r="AT191" s="114"/>
      <c r="AU191" s="114"/>
      <c r="AV191" s="114"/>
      <c r="AW191" s="55" t="s">
        <v>2269</v>
      </c>
      <c r="AX191" s="55" t="s">
        <v>1518</v>
      </c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55"/>
    </row>
    <row r="192" spans="1:61" x14ac:dyDescent="0.3">
      <c r="A192" s="43">
        <v>191</v>
      </c>
      <c r="B192" s="43">
        <v>34</v>
      </c>
      <c r="C192" s="102" t="s">
        <v>2542</v>
      </c>
      <c r="D192" s="182">
        <v>9</v>
      </c>
      <c r="E192" s="157" t="s">
        <v>2486</v>
      </c>
      <c r="F192" s="115" t="s">
        <v>2487</v>
      </c>
      <c r="G192" s="172">
        <v>32739</v>
      </c>
      <c r="H192" s="47">
        <f t="shared" si="40"/>
        <v>53558</v>
      </c>
      <c r="I192" s="48">
        <f t="shared" si="41"/>
        <v>53571</v>
      </c>
      <c r="J192" s="48">
        <v>53571</v>
      </c>
      <c r="K192" s="109">
        <v>44562</v>
      </c>
      <c r="L192" s="183" t="s">
        <v>732</v>
      </c>
      <c r="M192" s="112" t="s">
        <v>287</v>
      </c>
      <c r="N192" s="102" t="s">
        <v>281</v>
      </c>
      <c r="O192" s="109">
        <v>44562</v>
      </c>
      <c r="P192" s="110"/>
      <c r="Q192" s="159" t="s">
        <v>72</v>
      </c>
      <c r="R192" s="102">
        <v>1.41</v>
      </c>
      <c r="S192" s="113"/>
      <c r="T192" s="168">
        <v>0.1</v>
      </c>
      <c r="U192" s="52">
        <f t="shared" si="34"/>
        <v>6669300</v>
      </c>
      <c r="V192" s="52">
        <f t="shared" si="37"/>
        <v>0</v>
      </c>
      <c r="W192" s="52">
        <f t="shared" si="38"/>
        <v>234000</v>
      </c>
      <c r="X192" s="52">
        <f t="shared" si="27"/>
        <v>6903300</v>
      </c>
      <c r="Y192" s="52">
        <f>+VLOOKUP(E192,[2]Sheet1!$B$11:$J$400,9,0)</f>
        <v>6045600</v>
      </c>
      <c r="Z192" s="52"/>
      <c r="AA192" s="53" t="s">
        <v>2702</v>
      </c>
      <c r="AB192" s="114"/>
      <c r="AC192" s="45" t="str">
        <f>+VLOOKUP(E192,[3]Sheet1!$B$11:$I$388,8,0)</f>
        <v>58 - 114</v>
      </c>
      <c r="AD192" s="114" t="s">
        <v>1787</v>
      </c>
      <c r="AE192" s="114" t="s">
        <v>2488</v>
      </c>
      <c r="AF192" s="115" t="s">
        <v>2488</v>
      </c>
      <c r="AG192" s="56" t="s">
        <v>2488</v>
      </c>
      <c r="AH192" s="172" t="s">
        <v>2489</v>
      </c>
      <c r="AI192" s="114" t="s">
        <v>2427</v>
      </c>
      <c r="AJ192" s="114"/>
      <c r="AK192" s="116"/>
      <c r="AL192" s="114"/>
      <c r="AM192" s="114"/>
      <c r="AN192" s="114"/>
      <c r="AO192" s="114" t="s">
        <v>564</v>
      </c>
      <c r="AP192" s="114"/>
      <c r="AQ192" s="114"/>
      <c r="AR192" s="109"/>
      <c r="AS192" s="109"/>
      <c r="AT192" s="109"/>
      <c r="AU192" s="114"/>
      <c r="AV192" s="109"/>
      <c r="AW192" s="77"/>
      <c r="AX192" s="55" t="s">
        <v>1518</v>
      </c>
    </row>
    <row r="193" spans="1:100" s="161" customFormat="1" x14ac:dyDescent="0.3">
      <c r="A193" s="43">
        <v>192</v>
      </c>
      <c r="B193" s="43">
        <v>35</v>
      </c>
      <c r="C193" s="102" t="s">
        <v>2542</v>
      </c>
      <c r="D193" s="182">
        <v>10</v>
      </c>
      <c r="E193" s="149" t="s">
        <v>3027</v>
      </c>
      <c r="F193" s="115" t="s">
        <v>3028</v>
      </c>
      <c r="G193" s="109">
        <v>34706</v>
      </c>
      <c r="H193" s="47">
        <f t="shared" si="40"/>
        <v>55525</v>
      </c>
      <c r="I193" s="48">
        <f t="shared" si="41"/>
        <v>55550</v>
      </c>
      <c r="J193" s="48">
        <v>55550</v>
      </c>
      <c r="K193" s="109">
        <v>45047</v>
      </c>
      <c r="L193" s="183" t="s">
        <v>732</v>
      </c>
      <c r="M193" s="187" t="s">
        <v>287</v>
      </c>
      <c r="N193" s="102" t="s">
        <v>281</v>
      </c>
      <c r="O193" s="109">
        <v>45047</v>
      </c>
      <c r="P193" s="110"/>
      <c r="Q193" s="110" t="s">
        <v>72</v>
      </c>
      <c r="R193" s="102">
        <v>1.41</v>
      </c>
      <c r="S193" s="113"/>
      <c r="T193" s="168">
        <v>0.1</v>
      </c>
      <c r="U193" s="52">
        <f t="shared" si="34"/>
        <v>6669300</v>
      </c>
      <c r="V193" s="52">
        <f t="shared" si="37"/>
        <v>0</v>
      </c>
      <c r="W193" s="52">
        <f t="shared" si="38"/>
        <v>234000</v>
      </c>
      <c r="X193" s="52">
        <f t="shared" ref="X193:X252" si="42">+U193+V193+W193</f>
        <v>6903300</v>
      </c>
      <c r="Y193" s="52">
        <f>+VLOOKUP(E193,[2]Sheet1!$B$11:$J$400,9,0)</f>
        <v>6045600</v>
      </c>
      <c r="Z193" s="52"/>
      <c r="AA193" s="53" t="s">
        <v>3219</v>
      </c>
      <c r="AB193" s="114" t="s">
        <v>3384</v>
      </c>
      <c r="AC193" s="45" t="str">
        <f>+VLOOKUP(E193,[3]Sheet1!$B$11:$I$388,8,0)</f>
        <v>58 - 114</v>
      </c>
      <c r="AD193" s="114" t="s">
        <v>1787</v>
      </c>
      <c r="AE193" s="123" t="s">
        <v>3042</v>
      </c>
      <c r="AF193" s="115" t="s">
        <v>3029</v>
      </c>
      <c r="AG193" s="123"/>
      <c r="AH193" s="172" t="s">
        <v>3030</v>
      </c>
      <c r="AI193" s="114" t="s">
        <v>3031</v>
      </c>
      <c r="AJ193" s="114" t="s">
        <v>3032</v>
      </c>
      <c r="AK193" s="116"/>
      <c r="AL193" s="114"/>
      <c r="AM193" s="114"/>
      <c r="AN193" s="114"/>
      <c r="AO193" s="114"/>
      <c r="AP193" s="91" t="s">
        <v>3025</v>
      </c>
      <c r="AQ193" s="109">
        <v>45047</v>
      </c>
      <c r="AR193" s="114"/>
      <c r="AS193" s="114"/>
      <c r="AT193" s="114"/>
      <c r="AU193" s="114"/>
      <c r="AV193" s="114"/>
      <c r="AW193" s="188"/>
      <c r="AX193" s="55" t="s">
        <v>1518</v>
      </c>
      <c r="AY193" s="55"/>
      <c r="AZ193" s="55"/>
      <c r="BA193" s="55"/>
      <c r="BB193" s="55"/>
      <c r="BC193" s="55"/>
      <c r="BD193" s="55"/>
      <c r="BE193" s="55"/>
      <c r="BF193" s="55"/>
      <c r="BG193" s="55"/>
      <c r="BH193" s="55"/>
      <c r="BI193" s="55"/>
      <c r="BJ193" s="55"/>
      <c r="BK193" s="55"/>
      <c r="BL193" s="55"/>
      <c r="BM193" s="55"/>
      <c r="BN193" s="55"/>
      <c r="BO193" s="55"/>
      <c r="BP193" s="55"/>
      <c r="BQ193" s="55"/>
      <c r="BR193" s="55"/>
      <c r="BS193" s="55"/>
      <c r="BT193" s="55"/>
      <c r="BU193" s="55"/>
      <c r="BV193" s="55"/>
      <c r="BW193" s="55"/>
      <c r="BX193" s="55"/>
      <c r="BY193" s="55"/>
      <c r="BZ193" s="55"/>
      <c r="CA193" s="55"/>
      <c r="CB193" s="55"/>
      <c r="CC193" s="55"/>
      <c r="CD193" s="55"/>
      <c r="CE193" s="55"/>
      <c r="CF193" s="55"/>
      <c r="CG193" s="55"/>
      <c r="CH193" s="55"/>
      <c r="CI193" s="55"/>
      <c r="CJ193" s="55"/>
      <c r="CK193" s="55"/>
      <c r="CL193" s="55"/>
      <c r="CM193" s="55"/>
      <c r="CN193" s="55"/>
      <c r="CO193" s="55"/>
      <c r="CP193" s="55"/>
      <c r="CQ193" s="55"/>
      <c r="CR193" s="55"/>
      <c r="CS193" s="55"/>
      <c r="CT193" s="55"/>
      <c r="CU193" s="55"/>
      <c r="CV193" s="55"/>
    </row>
    <row r="194" spans="1:100" s="161" customFormat="1" x14ac:dyDescent="0.3">
      <c r="A194" s="43">
        <v>193</v>
      </c>
      <c r="B194" s="43">
        <v>36</v>
      </c>
      <c r="C194" s="102" t="s">
        <v>2542</v>
      </c>
      <c r="D194" s="182">
        <v>11</v>
      </c>
      <c r="E194" s="149" t="s">
        <v>3349</v>
      </c>
      <c r="F194" s="115" t="s">
        <v>3350</v>
      </c>
      <c r="G194" s="109">
        <v>38457</v>
      </c>
      <c r="H194" s="47">
        <f t="shared" si="40"/>
        <v>59276</v>
      </c>
      <c r="I194" s="48">
        <f t="shared" si="41"/>
        <v>59292</v>
      </c>
      <c r="J194" s="48">
        <v>59292</v>
      </c>
      <c r="K194" s="109">
        <v>45717</v>
      </c>
      <c r="L194" s="183" t="s">
        <v>732</v>
      </c>
      <c r="M194" s="187" t="s">
        <v>287</v>
      </c>
      <c r="N194" s="102" t="s">
        <v>281</v>
      </c>
      <c r="O194" s="109">
        <v>45717</v>
      </c>
      <c r="P194" s="110" t="s">
        <v>3438</v>
      </c>
      <c r="Q194" s="110" t="s">
        <v>73</v>
      </c>
      <c r="R194" s="102">
        <v>1.33</v>
      </c>
      <c r="S194" s="113"/>
      <c r="T194" s="168">
        <v>0.1</v>
      </c>
      <c r="U194" s="52">
        <f t="shared" si="34"/>
        <v>6290900</v>
      </c>
      <c r="V194" s="52">
        <f t="shared" si="37"/>
        <v>0</v>
      </c>
      <c r="W194" s="52">
        <f t="shared" si="38"/>
        <v>234000</v>
      </c>
      <c r="X194" s="52">
        <f t="shared" si="42"/>
        <v>6524900</v>
      </c>
      <c r="Y194" s="52"/>
      <c r="Z194" s="52"/>
      <c r="AA194" s="73">
        <v>5820075656</v>
      </c>
      <c r="AB194" s="114" t="s">
        <v>3256</v>
      </c>
      <c r="AC194" s="45"/>
      <c r="AD194" s="114" t="s">
        <v>1787</v>
      </c>
      <c r="AE194" s="150" t="s">
        <v>3351</v>
      </c>
      <c r="AF194" s="115"/>
      <c r="AG194" s="123"/>
      <c r="AH194" s="189">
        <v>44305</v>
      </c>
      <c r="AI194" s="114" t="s">
        <v>2427</v>
      </c>
      <c r="AJ194" s="114" t="s">
        <v>3352</v>
      </c>
      <c r="AK194" s="116"/>
      <c r="AL194" s="114"/>
      <c r="AM194" s="114"/>
      <c r="AN194" s="114"/>
      <c r="AO194" s="114"/>
      <c r="AP194" s="91" t="s">
        <v>3025</v>
      </c>
      <c r="AQ194" s="109">
        <v>45689</v>
      </c>
      <c r="AR194" s="114"/>
      <c r="AS194" s="109">
        <v>45717</v>
      </c>
      <c r="AT194" s="114"/>
      <c r="AU194" s="114"/>
      <c r="AV194" s="114"/>
      <c r="AW194" s="188"/>
      <c r="AX194" s="55" t="s">
        <v>1518</v>
      </c>
      <c r="AY194" s="55"/>
      <c r="AZ194" s="55"/>
      <c r="BA194" s="55"/>
      <c r="BB194" s="55"/>
      <c r="BC194" s="55"/>
      <c r="BD194" s="55"/>
      <c r="BE194" s="55"/>
      <c r="BF194" s="55"/>
      <c r="BG194" s="55"/>
      <c r="BH194" s="55"/>
      <c r="BI194" s="55"/>
      <c r="BJ194" s="55"/>
      <c r="BK194" s="55"/>
      <c r="BL194" s="55"/>
      <c r="BM194" s="55"/>
      <c r="BN194" s="55"/>
      <c r="BO194" s="55"/>
      <c r="BP194" s="55"/>
      <c r="BQ194" s="55"/>
      <c r="BR194" s="55"/>
      <c r="BS194" s="55"/>
      <c r="BT194" s="55"/>
      <c r="BU194" s="55"/>
      <c r="BV194" s="55"/>
      <c r="BW194" s="55"/>
      <c r="BX194" s="55"/>
      <c r="BY194" s="55"/>
      <c r="BZ194" s="55"/>
      <c r="CA194" s="55"/>
      <c r="CB194" s="55"/>
      <c r="CC194" s="55"/>
      <c r="CD194" s="55"/>
      <c r="CE194" s="55"/>
      <c r="CF194" s="55"/>
      <c r="CG194" s="55"/>
      <c r="CH194" s="55"/>
      <c r="CI194" s="55"/>
      <c r="CJ194" s="55"/>
      <c r="CK194" s="55"/>
      <c r="CL194" s="55"/>
      <c r="CM194" s="55"/>
      <c r="CN194" s="55"/>
      <c r="CO194" s="55"/>
      <c r="CP194" s="55"/>
      <c r="CQ194" s="55"/>
      <c r="CR194" s="55"/>
      <c r="CS194" s="55"/>
      <c r="CT194" s="55"/>
      <c r="CU194" s="55"/>
      <c r="CV194" s="55"/>
    </row>
    <row r="195" spans="1:100" s="161" customFormat="1" x14ac:dyDescent="0.3">
      <c r="A195" s="43">
        <v>194</v>
      </c>
      <c r="B195" s="43">
        <v>37</v>
      </c>
      <c r="C195" s="102" t="s">
        <v>2542</v>
      </c>
      <c r="D195" s="182">
        <v>12</v>
      </c>
      <c r="E195" s="149" t="s">
        <v>3415</v>
      </c>
      <c r="F195" s="115" t="s">
        <v>3416</v>
      </c>
      <c r="G195" s="109">
        <v>34058</v>
      </c>
      <c r="H195" s="47">
        <f t="shared" si="40"/>
        <v>54877</v>
      </c>
      <c r="I195" s="48">
        <f t="shared" si="41"/>
        <v>54879</v>
      </c>
      <c r="J195" s="48">
        <v>54879</v>
      </c>
      <c r="K195" s="109">
        <v>45839</v>
      </c>
      <c r="L195" s="183" t="s">
        <v>732</v>
      </c>
      <c r="M195" s="187" t="s">
        <v>287</v>
      </c>
      <c r="N195" s="102" t="s">
        <v>281</v>
      </c>
      <c r="O195" s="109">
        <v>45839</v>
      </c>
      <c r="P195" s="110"/>
      <c r="Q195" s="110" t="s">
        <v>72</v>
      </c>
      <c r="R195" s="102">
        <v>1.41</v>
      </c>
      <c r="S195" s="113"/>
      <c r="T195" s="168">
        <v>0.1</v>
      </c>
      <c r="U195" s="52">
        <f t="shared" si="34"/>
        <v>6669300</v>
      </c>
      <c r="V195" s="52">
        <f t="shared" si="37"/>
        <v>0</v>
      </c>
      <c r="W195" s="52">
        <f t="shared" si="38"/>
        <v>234000</v>
      </c>
      <c r="X195" s="52">
        <f t="shared" si="42"/>
        <v>6903300</v>
      </c>
      <c r="Y195" s="52"/>
      <c r="Z195" s="52"/>
      <c r="AA195" s="73">
        <v>5820886878</v>
      </c>
      <c r="AB195" s="114" t="s">
        <v>3432</v>
      </c>
      <c r="AC195" s="45"/>
      <c r="AD195" s="114" t="s">
        <v>1787</v>
      </c>
      <c r="AE195" s="150" t="s">
        <v>3417</v>
      </c>
      <c r="AF195" s="115"/>
      <c r="AG195" s="123"/>
      <c r="AH195" s="189"/>
      <c r="AI195" s="114" t="s">
        <v>2427</v>
      </c>
      <c r="AJ195" s="114" t="s">
        <v>3418</v>
      </c>
      <c r="AK195" s="116"/>
      <c r="AL195" s="114"/>
      <c r="AM195" s="114"/>
      <c r="AN195" s="114"/>
      <c r="AO195" s="114" t="s">
        <v>3419</v>
      </c>
      <c r="AP195" s="91"/>
      <c r="AQ195" s="109"/>
      <c r="AR195" s="114"/>
      <c r="AS195" s="109"/>
      <c r="AT195" s="114"/>
      <c r="AU195" s="114"/>
      <c r="AV195" s="114"/>
      <c r="AW195" s="188"/>
      <c r="AX195" s="55" t="s">
        <v>1518</v>
      </c>
      <c r="AY195" s="55"/>
      <c r="AZ195" s="55"/>
      <c r="BA195" s="55"/>
      <c r="BB195" s="55"/>
      <c r="BC195" s="55"/>
      <c r="BD195" s="55"/>
      <c r="BE195" s="55"/>
      <c r="BF195" s="55"/>
      <c r="BG195" s="55"/>
      <c r="BH195" s="55"/>
      <c r="BI195" s="55"/>
      <c r="BJ195" s="55"/>
      <c r="BK195" s="55"/>
      <c r="BL195" s="55"/>
      <c r="BM195" s="55"/>
      <c r="BN195" s="55"/>
      <c r="BO195" s="55"/>
      <c r="BP195" s="55"/>
      <c r="BQ195" s="55"/>
      <c r="BR195" s="55"/>
      <c r="BS195" s="55"/>
      <c r="BT195" s="55"/>
      <c r="BU195" s="55"/>
      <c r="BV195" s="55"/>
      <c r="BW195" s="55"/>
      <c r="BX195" s="55"/>
      <c r="BY195" s="55"/>
      <c r="BZ195" s="55"/>
      <c r="CA195" s="55"/>
      <c r="CB195" s="55"/>
      <c r="CC195" s="55"/>
      <c r="CD195" s="55"/>
      <c r="CE195" s="55"/>
      <c r="CF195" s="55"/>
      <c r="CG195" s="55"/>
      <c r="CH195" s="55"/>
      <c r="CI195" s="55"/>
      <c r="CJ195" s="55"/>
      <c r="CK195" s="55"/>
      <c r="CL195" s="55"/>
      <c r="CM195" s="55"/>
      <c r="CN195" s="55"/>
      <c r="CO195" s="55"/>
      <c r="CP195" s="55"/>
      <c r="CQ195" s="55"/>
      <c r="CR195" s="55"/>
      <c r="CS195" s="55"/>
      <c r="CT195" s="55"/>
      <c r="CU195" s="55"/>
      <c r="CV195" s="55"/>
    </row>
    <row r="196" spans="1:100" s="161" customFormat="1" x14ac:dyDescent="0.3">
      <c r="A196" s="43">
        <v>195</v>
      </c>
      <c r="B196" s="43">
        <v>38</v>
      </c>
      <c r="C196" s="102" t="s">
        <v>2542</v>
      </c>
      <c r="D196" s="182">
        <v>13</v>
      </c>
      <c r="E196" s="149" t="s">
        <v>3471</v>
      </c>
      <c r="F196" s="115" t="s">
        <v>3472</v>
      </c>
      <c r="G196" s="109">
        <v>34012</v>
      </c>
      <c r="H196" s="47">
        <f t="shared" si="40"/>
        <v>54831</v>
      </c>
      <c r="I196" s="48">
        <f t="shared" si="41"/>
        <v>54848</v>
      </c>
      <c r="J196" s="48">
        <v>54848</v>
      </c>
      <c r="K196" s="109">
        <v>54848</v>
      </c>
      <c r="L196" s="183" t="s">
        <v>732</v>
      </c>
      <c r="M196" s="187" t="s">
        <v>287</v>
      </c>
      <c r="N196" s="102" t="s">
        <v>281</v>
      </c>
      <c r="O196" s="109" t="s">
        <v>3473</v>
      </c>
      <c r="P196" s="110"/>
      <c r="Q196" s="110" t="s">
        <v>72</v>
      </c>
      <c r="R196" s="102">
        <v>1.41</v>
      </c>
      <c r="S196" s="113"/>
      <c r="T196" s="168">
        <v>0.1</v>
      </c>
      <c r="U196" s="52">
        <f t="shared" si="34"/>
        <v>6669300</v>
      </c>
      <c r="V196" s="52">
        <f>+S196*4410000</f>
        <v>0</v>
      </c>
      <c r="W196" s="52">
        <f t="shared" si="38"/>
        <v>234000</v>
      </c>
      <c r="X196" s="52">
        <f t="shared" si="42"/>
        <v>6903300</v>
      </c>
      <c r="Y196" s="52"/>
      <c r="Z196" s="52"/>
      <c r="AA196" s="73">
        <v>5616010307</v>
      </c>
      <c r="AB196" s="114"/>
      <c r="AC196" s="45"/>
      <c r="AD196" s="114" t="s">
        <v>1787</v>
      </c>
      <c r="AE196" s="150" t="s">
        <v>3474</v>
      </c>
      <c r="AF196" s="115"/>
      <c r="AG196" s="123"/>
      <c r="AH196" s="189"/>
      <c r="AI196" s="114" t="s">
        <v>2427</v>
      </c>
      <c r="AJ196" s="114" t="s">
        <v>3475</v>
      </c>
      <c r="AK196" s="116"/>
      <c r="AL196" s="114"/>
      <c r="AM196" s="114"/>
      <c r="AN196" s="114"/>
      <c r="AO196" s="114" t="s">
        <v>564</v>
      </c>
      <c r="AP196" s="91"/>
      <c r="AQ196" s="109"/>
      <c r="AR196" s="114"/>
      <c r="AS196" s="109"/>
      <c r="AT196" s="114"/>
      <c r="AU196" s="114"/>
      <c r="AV196" s="114"/>
      <c r="AW196" s="190" t="s">
        <v>3476</v>
      </c>
      <c r="AX196" s="55" t="s">
        <v>1518</v>
      </c>
      <c r="AY196" s="55"/>
      <c r="AZ196" s="55"/>
      <c r="BA196" s="55"/>
      <c r="BB196" s="55"/>
      <c r="BC196" s="55"/>
      <c r="BD196" s="55"/>
      <c r="BE196" s="55"/>
      <c r="BF196" s="55"/>
      <c r="BG196" s="55"/>
      <c r="BH196" s="55"/>
      <c r="BI196" s="55"/>
      <c r="BJ196" s="55"/>
      <c r="BK196" s="55"/>
      <c r="BL196" s="55"/>
      <c r="BM196" s="55"/>
      <c r="BN196" s="55"/>
      <c r="BO196" s="55"/>
      <c r="BP196" s="55"/>
      <c r="BQ196" s="55"/>
      <c r="BR196" s="55"/>
      <c r="BS196" s="55"/>
      <c r="BT196" s="55"/>
      <c r="BU196" s="55"/>
      <c r="BV196" s="55"/>
      <c r="BW196" s="55"/>
      <c r="BX196" s="55"/>
      <c r="BY196" s="55"/>
      <c r="BZ196" s="55"/>
      <c r="CA196" s="55"/>
      <c r="CB196" s="55"/>
      <c r="CC196" s="55"/>
      <c r="CD196" s="55"/>
      <c r="CE196" s="55"/>
      <c r="CF196" s="55"/>
      <c r="CG196" s="55"/>
      <c r="CH196" s="55"/>
      <c r="CI196" s="55"/>
      <c r="CJ196" s="55"/>
      <c r="CK196" s="55"/>
      <c r="CL196" s="55"/>
      <c r="CM196" s="55"/>
      <c r="CN196" s="55"/>
      <c r="CO196" s="55"/>
      <c r="CP196" s="55"/>
      <c r="CQ196" s="55"/>
      <c r="CR196" s="55"/>
      <c r="CS196" s="55"/>
      <c r="CT196" s="55"/>
      <c r="CU196" s="55"/>
      <c r="CV196" s="55"/>
    </row>
    <row r="197" spans="1:100" s="170" customFormat="1" x14ac:dyDescent="0.3">
      <c r="A197" s="43">
        <v>196</v>
      </c>
      <c r="B197" s="43">
        <v>39</v>
      </c>
      <c r="C197" s="102" t="s">
        <v>2542</v>
      </c>
      <c r="D197" s="191">
        <v>1</v>
      </c>
      <c r="E197" s="157" t="s">
        <v>1808</v>
      </c>
      <c r="F197" s="115" t="s">
        <v>402</v>
      </c>
      <c r="G197" s="109">
        <v>27421</v>
      </c>
      <c r="H197" s="47">
        <f t="shared" si="40"/>
        <v>48240</v>
      </c>
      <c r="I197" s="48">
        <f t="shared" si="41"/>
        <v>48245</v>
      </c>
      <c r="J197" s="48">
        <v>48245</v>
      </c>
      <c r="K197" s="109">
        <v>36586</v>
      </c>
      <c r="L197" s="104" t="s">
        <v>721</v>
      </c>
      <c r="M197" s="112" t="s">
        <v>287</v>
      </c>
      <c r="N197" s="102" t="s">
        <v>281</v>
      </c>
      <c r="O197" s="109">
        <v>41456</v>
      </c>
      <c r="P197" s="110"/>
      <c r="Q197" s="162" t="s">
        <v>76</v>
      </c>
      <c r="R197" s="102">
        <v>1.58</v>
      </c>
      <c r="S197" s="113"/>
      <c r="T197" s="114">
        <v>0.1</v>
      </c>
      <c r="U197" s="52">
        <f t="shared" si="34"/>
        <v>7473400</v>
      </c>
      <c r="V197" s="52">
        <f t="shared" si="37"/>
        <v>0</v>
      </c>
      <c r="W197" s="52">
        <f t="shared" si="38"/>
        <v>234000</v>
      </c>
      <c r="X197" s="52">
        <f t="shared" si="42"/>
        <v>7707400</v>
      </c>
      <c r="Y197" s="52">
        <f>+VLOOKUP(E197,[2]Sheet1!$B$11:$J$400,9,0)</f>
        <v>6752800</v>
      </c>
      <c r="Z197" s="52"/>
      <c r="AA197" s="53" t="s">
        <v>1673</v>
      </c>
      <c r="AB197" s="114" t="s">
        <v>899</v>
      </c>
      <c r="AC197" s="45" t="str">
        <f>+VLOOKUP(E197,[3]Sheet1!$B$11:$I$388,8,0)</f>
        <v>58 - 114</v>
      </c>
      <c r="AD197" s="114" t="s">
        <v>1787</v>
      </c>
      <c r="AE197" s="114" t="s">
        <v>2865</v>
      </c>
      <c r="AF197" s="115" t="s">
        <v>2466</v>
      </c>
      <c r="AG197" s="45">
        <f>+VALUE(AF197:AF595)</f>
        <v>151125228</v>
      </c>
      <c r="AH197" s="114" t="s">
        <v>1214</v>
      </c>
      <c r="AI197" s="114" t="s">
        <v>503</v>
      </c>
      <c r="AJ197" s="114" t="s">
        <v>1215</v>
      </c>
      <c r="AK197" s="116" t="s">
        <v>1216</v>
      </c>
      <c r="AL197" s="114"/>
      <c r="AM197" s="114"/>
      <c r="AN197" s="114"/>
      <c r="AO197" s="114" t="s">
        <v>504</v>
      </c>
      <c r="AP197" s="114"/>
      <c r="AQ197" s="114"/>
      <c r="AR197" s="114"/>
      <c r="AS197" s="114"/>
      <c r="AT197" s="114"/>
      <c r="AU197" s="114"/>
      <c r="AV197" s="114"/>
      <c r="AW197" s="55" t="s">
        <v>2272</v>
      </c>
      <c r="AX197" s="55" t="s">
        <v>1518</v>
      </c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55"/>
    </row>
    <row r="198" spans="1:100" x14ac:dyDescent="0.3">
      <c r="A198" s="43">
        <v>197</v>
      </c>
      <c r="B198" s="43">
        <v>40</v>
      </c>
      <c r="C198" s="102" t="s">
        <v>2542</v>
      </c>
      <c r="D198" s="191">
        <v>2</v>
      </c>
      <c r="E198" s="149" t="s">
        <v>194</v>
      </c>
      <c r="F198" s="115" t="s">
        <v>403</v>
      </c>
      <c r="G198" s="109">
        <v>30402</v>
      </c>
      <c r="H198" s="47">
        <f t="shared" si="40"/>
        <v>51222</v>
      </c>
      <c r="I198" s="48">
        <f t="shared" si="41"/>
        <v>51227</v>
      </c>
      <c r="J198" s="48">
        <v>51227</v>
      </c>
      <c r="K198" s="109">
        <v>39479</v>
      </c>
      <c r="L198" s="104" t="s">
        <v>721</v>
      </c>
      <c r="M198" s="112" t="s">
        <v>287</v>
      </c>
      <c r="N198" s="102" t="s">
        <v>286</v>
      </c>
      <c r="O198" s="109">
        <v>43405</v>
      </c>
      <c r="P198" s="110"/>
      <c r="Q198" s="162" t="s">
        <v>76</v>
      </c>
      <c r="R198" s="102">
        <v>1.58</v>
      </c>
      <c r="S198" s="113">
        <v>0.06</v>
      </c>
      <c r="T198" s="114">
        <v>0.1</v>
      </c>
      <c r="U198" s="52">
        <f t="shared" si="34"/>
        <v>7473400</v>
      </c>
      <c r="V198" s="52">
        <f t="shared" si="37"/>
        <v>264600</v>
      </c>
      <c r="W198" s="52">
        <f t="shared" si="38"/>
        <v>234000</v>
      </c>
      <c r="X198" s="52">
        <f t="shared" si="42"/>
        <v>7972000</v>
      </c>
      <c r="Y198" s="52">
        <f>+VLOOKUP(E198,[2]Sheet1!$B$11:$J$400,9,0)</f>
        <v>7002400</v>
      </c>
      <c r="Z198" s="52"/>
      <c r="AA198" s="53" t="s">
        <v>1674</v>
      </c>
      <c r="AB198" s="114" t="s">
        <v>899</v>
      </c>
      <c r="AC198" s="45" t="str">
        <f>+VLOOKUP(E198,[3]Sheet1!$B$11:$I$388,8,0)</f>
        <v>58 - 114</v>
      </c>
      <c r="AD198" s="114" t="s">
        <v>1787</v>
      </c>
      <c r="AE198" s="114" t="s">
        <v>2866</v>
      </c>
      <c r="AF198" s="115" t="s">
        <v>2467</v>
      </c>
      <c r="AG198" s="45">
        <f>+VALUE(AF198:AF596)</f>
        <v>264270546</v>
      </c>
      <c r="AH198" s="123" t="s">
        <v>528</v>
      </c>
      <c r="AI198" s="114" t="s">
        <v>503</v>
      </c>
      <c r="AJ198" s="114" t="s">
        <v>1218</v>
      </c>
      <c r="AK198" s="116" t="s">
        <v>1219</v>
      </c>
      <c r="AL198" s="114"/>
      <c r="AM198" s="114"/>
      <c r="AN198" s="114"/>
      <c r="AO198" s="114" t="s">
        <v>504</v>
      </c>
      <c r="AP198" s="114"/>
      <c r="AQ198" s="114"/>
      <c r="AR198" s="114"/>
      <c r="AS198" s="114"/>
      <c r="AT198" s="114"/>
      <c r="AU198" s="114"/>
      <c r="AV198" s="114"/>
      <c r="AW198" s="55" t="s">
        <v>2273</v>
      </c>
      <c r="AX198" s="55" t="s">
        <v>1518</v>
      </c>
    </row>
    <row r="199" spans="1:100" s="161" customFormat="1" x14ac:dyDescent="0.3">
      <c r="A199" s="43">
        <v>198</v>
      </c>
      <c r="B199" s="43">
        <v>41</v>
      </c>
      <c r="C199" s="102" t="s">
        <v>2542</v>
      </c>
      <c r="D199" s="191">
        <v>3</v>
      </c>
      <c r="E199" s="168" t="s">
        <v>1980</v>
      </c>
      <c r="F199" s="164" t="s">
        <v>1981</v>
      </c>
      <c r="G199" s="184">
        <v>37121</v>
      </c>
      <c r="H199" s="47">
        <f t="shared" si="40"/>
        <v>57940</v>
      </c>
      <c r="I199" s="48">
        <f t="shared" si="41"/>
        <v>57954</v>
      </c>
      <c r="J199" s="48">
        <v>57954</v>
      </c>
      <c r="K199" s="165">
        <v>43709</v>
      </c>
      <c r="L199" s="183" t="s">
        <v>721</v>
      </c>
      <c r="M199" s="112" t="s">
        <v>287</v>
      </c>
      <c r="N199" s="102" t="s">
        <v>281</v>
      </c>
      <c r="O199" s="192" t="s">
        <v>3238</v>
      </c>
      <c r="P199" s="181"/>
      <c r="Q199" s="111" t="s">
        <v>71</v>
      </c>
      <c r="R199" s="112">
        <v>1.49</v>
      </c>
      <c r="S199" s="167"/>
      <c r="T199" s="168">
        <v>0.1</v>
      </c>
      <c r="U199" s="52">
        <f t="shared" si="34"/>
        <v>7047700</v>
      </c>
      <c r="V199" s="52">
        <f t="shared" si="37"/>
        <v>0</v>
      </c>
      <c r="W199" s="52">
        <f t="shared" si="38"/>
        <v>234000</v>
      </c>
      <c r="X199" s="52">
        <f t="shared" si="42"/>
        <v>7281700</v>
      </c>
      <c r="Y199" s="52">
        <f>+VLOOKUP(E199,[2]Sheet1!$B$11:$J$400,9,0)</f>
        <v>6045600</v>
      </c>
      <c r="Z199" s="52"/>
      <c r="AA199" s="53" t="s">
        <v>1994</v>
      </c>
      <c r="AB199" s="168" t="s">
        <v>604</v>
      </c>
      <c r="AC199" s="45" t="str">
        <f>+VLOOKUP(E199,[3]Sheet1!$B$11:$I$388,8,0)</f>
        <v>58 - 114</v>
      </c>
      <c r="AD199" s="168" t="s">
        <v>1787</v>
      </c>
      <c r="AE199" s="114" t="s">
        <v>2867</v>
      </c>
      <c r="AF199" s="164" t="s">
        <v>1982</v>
      </c>
      <c r="AG199" s="45">
        <f>+VALUE(AF199:AF599)</f>
        <v>264530231</v>
      </c>
      <c r="AH199" s="184" t="s">
        <v>1983</v>
      </c>
      <c r="AI199" s="168" t="s">
        <v>503</v>
      </c>
      <c r="AJ199" s="168" t="s">
        <v>1984</v>
      </c>
      <c r="AK199" s="169" t="s">
        <v>548</v>
      </c>
      <c r="AL199" s="168"/>
      <c r="AM199" s="168"/>
      <c r="AN199" s="168"/>
      <c r="AO199" s="168" t="s">
        <v>564</v>
      </c>
      <c r="AP199" s="168"/>
      <c r="AQ199" s="168"/>
      <c r="AR199" s="168"/>
      <c r="AS199" s="168"/>
      <c r="AT199" s="165">
        <v>43709</v>
      </c>
      <c r="AU199" s="168"/>
      <c r="AV199" s="165">
        <v>44440</v>
      </c>
      <c r="AW199" s="55" t="s">
        <v>2274</v>
      </c>
      <c r="AX199" s="55" t="s">
        <v>1518</v>
      </c>
      <c r="AY199" s="170"/>
      <c r="AZ199" s="170"/>
      <c r="BA199" s="170"/>
      <c r="BB199" s="170"/>
      <c r="BC199" s="170"/>
      <c r="BD199" s="170"/>
      <c r="BE199" s="170"/>
      <c r="BF199" s="170"/>
      <c r="BG199" s="170"/>
      <c r="BH199" s="170"/>
      <c r="BI199" s="170"/>
    </row>
    <row r="200" spans="1:100" s="170" customFormat="1" x14ac:dyDescent="0.3">
      <c r="A200" s="43">
        <v>199</v>
      </c>
      <c r="B200" s="43">
        <v>42</v>
      </c>
      <c r="C200" s="102" t="s">
        <v>2542</v>
      </c>
      <c r="D200" s="191">
        <v>4</v>
      </c>
      <c r="E200" s="163" t="s">
        <v>188</v>
      </c>
      <c r="F200" s="164" t="s">
        <v>397</v>
      </c>
      <c r="G200" s="165">
        <v>30144</v>
      </c>
      <c r="H200" s="47">
        <f>+DATE(YEAR(G200)+57,MONTH(G200),DAY(G200))</f>
        <v>50963</v>
      </c>
      <c r="I200" s="48">
        <f>+EOMONTH(H200,0)+1</f>
        <v>50983</v>
      </c>
      <c r="J200" s="48">
        <v>50983</v>
      </c>
      <c r="K200" s="165">
        <v>39479</v>
      </c>
      <c r="L200" s="183" t="s">
        <v>721</v>
      </c>
      <c r="M200" s="112" t="s">
        <v>287</v>
      </c>
      <c r="N200" s="102" t="s">
        <v>285</v>
      </c>
      <c r="O200" s="165">
        <v>43405</v>
      </c>
      <c r="P200" s="166"/>
      <c r="Q200" s="185" t="s">
        <v>76</v>
      </c>
      <c r="R200" s="112">
        <v>1.58</v>
      </c>
      <c r="S200" s="167">
        <v>0.04</v>
      </c>
      <c r="T200" s="168">
        <v>0.1</v>
      </c>
      <c r="U200" s="52">
        <f t="shared" si="34"/>
        <v>7473400</v>
      </c>
      <c r="V200" s="52">
        <f>+S200*4410000</f>
        <v>176400</v>
      </c>
      <c r="W200" s="52">
        <f>+T200*2340000</f>
        <v>234000</v>
      </c>
      <c r="X200" s="52">
        <f>+U200+V200+W200</f>
        <v>7883800</v>
      </c>
      <c r="Y200" s="52">
        <f>+VLOOKUP(E200,[2]Sheet1!$B$11:$J$400,9,0)</f>
        <v>6752800</v>
      </c>
      <c r="Z200" s="52"/>
      <c r="AA200" s="53" t="s">
        <v>1667</v>
      </c>
      <c r="AB200" s="168" t="s">
        <v>899</v>
      </c>
      <c r="AC200" s="45" t="str">
        <f>+VLOOKUP(E200,[3]Sheet1!$B$11:$I$388,8,0)</f>
        <v>58 - 007</v>
      </c>
      <c r="AD200" s="168" t="s">
        <v>1787</v>
      </c>
      <c r="AE200" s="114" t="s">
        <v>2859</v>
      </c>
      <c r="AF200" s="164" t="s">
        <v>2459</v>
      </c>
      <c r="AG200" s="45">
        <f>+VALUE(AF189:AF586)</f>
        <v>260970724</v>
      </c>
      <c r="AH200" s="168" t="s">
        <v>652</v>
      </c>
      <c r="AI200" s="168" t="s">
        <v>503</v>
      </c>
      <c r="AJ200" s="168" t="s">
        <v>1203</v>
      </c>
      <c r="AK200" s="169" t="s">
        <v>1204</v>
      </c>
      <c r="AL200" s="168"/>
      <c r="AM200" s="168"/>
      <c r="AN200" s="168"/>
      <c r="AO200" s="168" t="s">
        <v>504</v>
      </c>
      <c r="AP200" s="168"/>
      <c r="AQ200" s="168"/>
      <c r="AR200" s="168"/>
      <c r="AS200" s="168"/>
      <c r="AT200" s="168"/>
      <c r="AU200" s="168"/>
      <c r="AV200" s="168"/>
      <c r="AW200" s="55" t="s">
        <v>2265</v>
      </c>
      <c r="AX200" s="55" t="s">
        <v>1518</v>
      </c>
    </row>
    <row r="201" spans="1:100" x14ac:dyDescent="0.3">
      <c r="A201" s="43">
        <v>200</v>
      </c>
      <c r="B201" s="43">
        <v>43</v>
      </c>
      <c r="C201" s="102" t="s">
        <v>2542</v>
      </c>
      <c r="D201" s="191">
        <v>5</v>
      </c>
      <c r="E201" s="157" t="s">
        <v>1944</v>
      </c>
      <c r="F201" s="115" t="s">
        <v>1946</v>
      </c>
      <c r="G201" s="172">
        <v>33734</v>
      </c>
      <c r="H201" s="47">
        <f t="shared" si="40"/>
        <v>54553</v>
      </c>
      <c r="I201" s="48">
        <f t="shared" si="41"/>
        <v>54575</v>
      </c>
      <c r="J201" s="48">
        <v>54575</v>
      </c>
      <c r="K201" s="109">
        <v>43556</v>
      </c>
      <c r="L201" s="183" t="s">
        <v>721</v>
      </c>
      <c r="M201" s="112" t="s">
        <v>287</v>
      </c>
      <c r="N201" s="102" t="s">
        <v>281</v>
      </c>
      <c r="O201" s="109">
        <v>43556</v>
      </c>
      <c r="P201" s="110"/>
      <c r="Q201" s="158" t="s">
        <v>71</v>
      </c>
      <c r="R201" s="102">
        <v>1.49</v>
      </c>
      <c r="S201" s="113"/>
      <c r="T201" s="168">
        <v>0.1</v>
      </c>
      <c r="U201" s="52">
        <f t="shared" si="34"/>
        <v>7047700</v>
      </c>
      <c r="V201" s="52">
        <f t="shared" si="37"/>
        <v>0</v>
      </c>
      <c r="W201" s="52">
        <f t="shared" si="38"/>
        <v>234000</v>
      </c>
      <c r="X201" s="52">
        <f t="shared" si="42"/>
        <v>7281700</v>
      </c>
      <c r="Y201" s="52">
        <f>+VLOOKUP(E201,[2]Sheet1!$B$11:$J$400,9,0)</f>
        <v>6378400</v>
      </c>
      <c r="Z201" s="52"/>
      <c r="AA201" s="53" t="s">
        <v>1953</v>
      </c>
      <c r="AB201" s="114" t="s">
        <v>1226</v>
      </c>
      <c r="AC201" s="45" t="str">
        <f>+VLOOKUP(E201,[3]Sheet1!$B$11:$I$388,8,0)</f>
        <v>58 - 114</v>
      </c>
      <c r="AD201" s="114" t="s">
        <v>1787</v>
      </c>
      <c r="AE201" s="114" t="s">
        <v>2869</v>
      </c>
      <c r="AF201" s="115" t="s">
        <v>1947</v>
      </c>
      <c r="AG201" s="114">
        <f>+VALUE(AF201:AF601)</f>
        <v>264439864</v>
      </c>
      <c r="AH201" s="172" t="s">
        <v>1948</v>
      </c>
      <c r="AI201" s="114" t="s">
        <v>503</v>
      </c>
      <c r="AJ201" s="114" t="s">
        <v>1949</v>
      </c>
      <c r="AK201" s="116" t="s">
        <v>1138</v>
      </c>
      <c r="AL201" s="114"/>
      <c r="AM201" s="114"/>
      <c r="AN201" s="114" t="s">
        <v>562</v>
      </c>
      <c r="AO201" s="114"/>
      <c r="AP201" s="114"/>
      <c r="AQ201" s="114"/>
      <c r="AR201" s="114"/>
      <c r="AS201" s="114"/>
      <c r="AT201" s="109">
        <v>43571</v>
      </c>
      <c r="AU201" s="114"/>
      <c r="AV201" s="109">
        <v>44302</v>
      </c>
      <c r="AW201" s="161" t="s">
        <v>2276</v>
      </c>
      <c r="AX201" s="161" t="s">
        <v>1518</v>
      </c>
      <c r="AY201" s="161"/>
      <c r="AZ201" s="161"/>
      <c r="BA201" s="161"/>
      <c r="BB201" s="161"/>
      <c r="BC201" s="161"/>
      <c r="BD201" s="161"/>
      <c r="BE201" s="161"/>
      <c r="BF201" s="161"/>
      <c r="BG201" s="161"/>
      <c r="BH201" s="161"/>
      <c r="BI201" s="161"/>
    </row>
    <row r="202" spans="1:100" x14ac:dyDescent="0.3">
      <c r="A202" s="43">
        <v>201</v>
      </c>
      <c r="B202" s="43">
        <v>44</v>
      </c>
      <c r="C202" s="102" t="s">
        <v>2542</v>
      </c>
      <c r="D202" s="191">
        <v>6</v>
      </c>
      <c r="E202" s="149" t="s">
        <v>130</v>
      </c>
      <c r="F202" s="115" t="s">
        <v>334</v>
      </c>
      <c r="G202" s="109">
        <v>30935</v>
      </c>
      <c r="H202" s="47">
        <f t="shared" si="40"/>
        <v>51754</v>
      </c>
      <c r="I202" s="48">
        <f t="shared" si="41"/>
        <v>51775</v>
      </c>
      <c r="J202" s="48">
        <v>51775</v>
      </c>
      <c r="K202" s="109">
        <v>41671</v>
      </c>
      <c r="L202" s="183" t="s">
        <v>721</v>
      </c>
      <c r="M202" s="187" t="s">
        <v>287</v>
      </c>
      <c r="N202" s="102" t="s">
        <v>281</v>
      </c>
      <c r="O202" s="109">
        <v>42370</v>
      </c>
      <c r="P202" s="110"/>
      <c r="Q202" s="111" t="s">
        <v>71</v>
      </c>
      <c r="R202" s="112">
        <v>1.49</v>
      </c>
      <c r="S202" s="113"/>
      <c r="T202" s="168">
        <v>0.1</v>
      </c>
      <c r="U202" s="52">
        <f t="shared" si="34"/>
        <v>7047700</v>
      </c>
      <c r="V202" s="52">
        <f t="shared" si="37"/>
        <v>0</v>
      </c>
      <c r="W202" s="52">
        <f t="shared" si="38"/>
        <v>234000</v>
      </c>
      <c r="X202" s="52">
        <f t="shared" si="42"/>
        <v>7281700</v>
      </c>
      <c r="Y202" s="52">
        <f>+VLOOKUP(E202,[2]Sheet1!$B$11:$J$400,9,0)</f>
        <v>6378400</v>
      </c>
      <c r="Z202" s="52"/>
      <c r="AA202" s="53" t="s">
        <v>1604</v>
      </c>
      <c r="AB202" s="114" t="s">
        <v>592</v>
      </c>
      <c r="AC202" s="45" t="str">
        <f>+VLOOKUP(E202,[3]Sheet1!$B$11:$I$388,8,0)</f>
        <v>79 - 034</v>
      </c>
      <c r="AD202" s="114" t="s">
        <v>1787</v>
      </c>
      <c r="AE202" s="114" t="s">
        <v>2870</v>
      </c>
      <c r="AF202" s="115" t="s">
        <v>1842</v>
      </c>
      <c r="AG202" s="114">
        <f>+VALUE(AF107:AF505)</f>
        <v>264262751</v>
      </c>
      <c r="AH202" s="114" t="s">
        <v>1031</v>
      </c>
      <c r="AI202" s="114" t="s">
        <v>503</v>
      </c>
      <c r="AJ202" s="114" t="s">
        <v>1032</v>
      </c>
      <c r="AK202" s="116" t="s">
        <v>1843</v>
      </c>
      <c r="AL202" s="114"/>
      <c r="AM202" s="114"/>
      <c r="AN202" s="114"/>
      <c r="AO202" s="114"/>
      <c r="AP202" s="114" t="s">
        <v>532</v>
      </c>
      <c r="AQ202" s="114"/>
      <c r="AR202" s="114"/>
      <c r="AS202" s="114"/>
      <c r="AT202" s="114"/>
      <c r="AU202" s="114"/>
      <c r="AV202" s="114"/>
      <c r="AW202" s="188" t="s">
        <v>2201</v>
      </c>
      <c r="AX202" s="55" t="s">
        <v>1518</v>
      </c>
    </row>
    <row r="203" spans="1:100" s="161" customFormat="1" x14ac:dyDescent="0.3">
      <c r="A203" s="43">
        <v>202</v>
      </c>
      <c r="B203" s="43">
        <v>45</v>
      </c>
      <c r="C203" s="102" t="s">
        <v>2542</v>
      </c>
      <c r="D203" s="191">
        <v>7</v>
      </c>
      <c r="E203" s="149" t="s">
        <v>2519</v>
      </c>
      <c r="F203" s="115" t="s">
        <v>2520</v>
      </c>
      <c r="G203" s="109">
        <v>34099</v>
      </c>
      <c r="H203" s="47">
        <f t="shared" si="40"/>
        <v>54918</v>
      </c>
      <c r="I203" s="48">
        <f t="shared" si="41"/>
        <v>54940</v>
      </c>
      <c r="J203" s="48">
        <v>54940</v>
      </c>
      <c r="K203" s="109">
        <v>44621</v>
      </c>
      <c r="L203" s="183" t="s">
        <v>721</v>
      </c>
      <c r="M203" s="187" t="s">
        <v>287</v>
      </c>
      <c r="N203" s="102" t="s">
        <v>281</v>
      </c>
      <c r="O203" s="109">
        <v>42370</v>
      </c>
      <c r="P203" s="110"/>
      <c r="Q203" s="110" t="s">
        <v>72</v>
      </c>
      <c r="R203" s="102">
        <v>1.41</v>
      </c>
      <c r="S203" s="113"/>
      <c r="T203" s="168">
        <v>0.1</v>
      </c>
      <c r="U203" s="52">
        <f t="shared" si="34"/>
        <v>6669300</v>
      </c>
      <c r="V203" s="52">
        <f t="shared" si="37"/>
        <v>0</v>
      </c>
      <c r="W203" s="52">
        <f t="shared" si="38"/>
        <v>234000</v>
      </c>
      <c r="X203" s="52">
        <f t="shared" si="42"/>
        <v>6903300</v>
      </c>
      <c r="Y203" s="52">
        <f>+VLOOKUP(E203,[2]Sheet1!$B$11:$J$400,9,0)</f>
        <v>6045600</v>
      </c>
      <c r="Z203" s="52"/>
      <c r="AA203" s="53" t="s">
        <v>2703</v>
      </c>
      <c r="AB203" s="114"/>
      <c r="AC203" s="45" t="str">
        <f>+VLOOKUP(E203,[3]Sheet1!$B$11:$I$388,8,0)</f>
        <v>58 - 114</v>
      </c>
      <c r="AD203" s="114" t="s">
        <v>1787</v>
      </c>
      <c r="AE203" s="114" t="s">
        <v>2521</v>
      </c>
      <c r="AF203" s="115" t="s">
        <v>2521</v>
      </c>
      <c r="AG203" s="123" t="s">
        <v>2521</v>
      </c>
      <c r="AH203" s="123" t="s">
        <v>2522</v>
      </c>
      <c r="AI203" s="114" t="s">
        <v>2427</v>
      </c>
      <c r="AJ203" s="114" t="s">
        <v>2523</v>
      </c>
      <c r="AK203" s="116"/>
      <c r="AL203" s="114"/>
      <c r="AM203" s="114"/>
      <c r="AN203" s="114" t="s">
        <v>1521</v>
      </c>
      <c r="AO203" s="114"/>
      <c r="AP203" s="114"/>
      <c r="AQ203" s="114"/>
      <c r="AR203" s="114"/>
      <c r="AS203" s="114"/>
      <c r="AT203" s="114"/>
      <c r="AU203" s="114"/>
      <c r="AV203" s="114"/>
      <c r="AW203" s="188" t="s">
        <v>2524</v>
      </c>
      <c r="AX203" s="55" t="s">
        <v>1518</v>
      </c>
      <c r="AY203" s="55"/>
      <c r="AZ203" s="55"/>
      <c r="BA203" s="55"/>
      <c r="BB203" s="55"/>
      <c r="BC203" s="55"/>
      <c r="BD203" s="55"/>
      <c r="BE203" s="55"/>
      <c r="BF203" s="55"/>
      <c r="BG203" s="55"/>
      <c r="BH203" s="55"/>
      <c r="BI203" s="55"/>
      <c r="BJ203" s="55"/>
      <c r="BK203" s="55"/>
      <c r="BL203" s="55"/>
      <c r="BM203" s="55"/>
      <c r="BN203" s="55"/>
      <c r="BO203" s="55"/>
      <c r="BP203" s="55"/>
      <c r="BQ203" s="55"/>
      <c r="BR203" s="55"/>
      <c r="BS203" s="55"/>
      <c r="BT203" s="55"/>
      <c r="BU203" s="55"/>
      <c r="BV203" s="55"/>
      <c r="BW203" s="55"/>
      <c r="BX203" s="55"/>
      <c r="BY203" s="55"/>
      <c r="BZ203" s="55"/>
      <c r="CA203" s="55"/>
      <c r="CB203" s="55"/>
      <c r="CC203" s="55"/>
      <c r="CD203" s="55"/>
      <c r="CE203" s="55"/>
      <c r="CF203" s="55"/>
      <c r="CG203" s="55"/>
      <c r="CH203" s="55"/>
      <c r="CI203" s="55"/>
      <c r="CJ203" s="55"/>
      <c r="CK203" s="55"/>
      <c r="CL203" s="55"/>
      <c r="CM203" s="55"/>
      <c r="CN203" s="55"/>
      <c r="CO203" s="55"/>
      <c r="CP203" s="55"/>
      <c r="CQ203" s="55"/>
      <c r="CR203" s="55"/>
      <c r="CS203" s="55"/>
      <c r="CT203" s="55"/>
      <c r="CU203" s="55"/>
      <c r="CV203" s="55"/>
    </row>
    <row r="204" spans="1:100" s="161" customFormat="1" x14ac:dyDescent="0.3">
      <c r="A204" s="43">
        <v>203</v>
      </c>
      <c r="B204" s="43">
        <v>46</v>
      </c>
      <c r="C204" s="102" t="s">
        <v>2542</v>
      </c>
      <c r="D204" s="191">
        <v>8</v>
      </c>
      <c r="E204" s="149" t="s">
        <v>3345</v>
      </c>
      <c r="F204" s="115" t="s">
        <v>3346</v>
      </c>
      <c r="G204" s="109">
        <v>36946</v>
      </c>
      <c r="H204" s="47">
        <f>+DATE(YEAR(G204)+57,MONTH(G204),DAY(G204))</f>
        <v>57765</v>
      </c>
      <c r="I204" s="48">
        <f>+EOMONTH(H204,0)+1</f>
        <v>57770</v>
      </c>
      <c r="J204" s="48">
        <v>57770</v>
      </c>
      <c r="K204" s="109">
        <v>45717</v>
      </c>
      <c r="L204" s="183" t="s">
        <v>721</v>
      </c>
      <c r="M204" s="187" t="s">
        <v>287</v>
      </c>
      <c r="N204" s="102" t="s">
        <v>281</v>
      </c>
      <c r="O204" s="109">
        <v>45717</v>
      </c>
      <c r="P204" s="110"/>
      <c r="Q204" s="110" t="s">
        <v>72</v>
      </c>
      <c r="R204" s="102">
        <v>1.41</v>
      </c>
      <c r="S204" s="113"/>
      <c r="T204" s="168">
        <v>0.1</v>
      </c>
      <c r="U204" s="52">
        <f t="shared" si="34"/>
        <v>6669300</v>
      </c>
      <c r="V204" s="52">
        <f>+S204*4410000</f>
        <v>0</v>
      </c>
      <c r="W204" s="52">
        <f>+T204*2340000</f>
        <v>234000</v>
      </c>
      <c r="X204" s="52">
        <f>+U204+V204+W204</f>
        <v>6903300</v>
      </c>
      <c r="Y204" s="52"/>
      <c r="Z204" s="52"/>
      <c r="AA204" s="73">
        <v>5820769820</v>
      </c>
      <c r="AB204" s="114" t="s">
        <v>3256</v>
      </c>
      <c r="AC204" s="45" t="e">
        <f>+VLOOKUP(E204,[3]Sheet1!$B$11:$I$388,8,0)</f>
        <v>#N/A</v>
      </c>
      <c r="AD204" s="114" t="s">
        <v>1787</v>
      </c>
      <c r="AE204" s="150" t="s">
        <v>3347</v>
      </c>
      <c r="AF204" s="115"/>
      <c r="AG204" s="123"/>
      <c r="AH204" s="189">
        <v>44557</v>
      </c>
      <c r="AI204" s="114" t="s">
        <v>2427</v>
      </c>
      <c r="AJ204" s="114" t="s">
        <v>3348</v>
      </c>
      <c r="AK204" s="116"/>
      <c r="AL204" s="114"/>
      <c r="AM204" s="114"/>
      <c r="AN204" s="114" t="s">
        <v>1919</v>
      </c>
      <c r="AO204" s="114"/>
      <c r="AP204" s="91"/>
      <c r="AQ204" s="109">
        <v>45689</v>
      </c>
      <c r="AR204" s="114"/>
      <c r="AS204" s="109">
        <v>45717</v>
      </c>
      <c r="AT204" s="114"/>
      <c r="AU204" s="114"/>
      <c r="AV204" s="114"/>
      <c r="AW204" s="188"/>
      <c r="AX204" s="55" t="s">
        <v>1518</v>
      </c>
      <c r="AY204" s="55"/>
      <c r="AZ204" s="55"/>
      <c r="BA204" s="55"/>
      <c r="BB204" s="55"/>
      <c r="BC204" s="55"/>
      <c r="BD204" s="55"/>
      <c r="BE204" s="55"/>
      <c r="BF204" s="55"/>
      <c r="BG204" s="55"/>
      <c r="BH204" s="55"/>
      <c r="BI204" s="55"/>
      <c r="BJ204" s="55"/>
      <c r="BK204" s="55"/>
      <c r="BL204" s="55"/>
      <c r="BM204" s="55"/>
      <c r="BN204" s="55"/>
      <c r="BO204" s="55"/>
      <c r="BP204" s="55"/>
      <c r="BQ204" s="55"/>
      <c r="BR204" s="55"/>
      <c r="BS204" s="55"/>
      <c r="BT204" s="55"/>
      <c r="BU204" s="55"/>
      <c r="BV204" s="55"/>
      <c r="BW204" s="55"/>
      <c r="BX204" s="55"/>
      <c r="BY204" s="55"/>
      <c r="BZ204" s="55"/>
      <c r="CA204" s="55"/>
      <c r="CB204" s="55"/>
      <c r="CC204" s="55"/>
      <c r="CD204" s="55"/>
      <c r="CE204" s="55"/>
      <c r="CF204" s="55"/>
      <c r="CG204" s="55"/>
      <c r="CH204" s="55"/>
      <c r="CI204" s="55"/>
      <c r="CJ204" s="55"/>
      <c r="CK204" s="55"/>
      <c r="CL204" s="55"/>
      <c r="CM204" s="55"/>
      <c r="CN204" s="55"/>
      <c r="CO204" s="55"/>
      <c r="CP204" s="55"/>
      <c r="CQ204" s="55"/>
      <c r="CR204" s="55"/>
      <c r="CS204" s="55"/>
      <c r="CT204" s="55"/>
      <c r="CU204" s="55"/>
      <c r="CV204" s="55"/>
    </row>
    <row r="205" spans="1:100" s="161" customFormat="1" x14ac:dyDescent="0.3">
      <c r="A205" s="43">
        <v>204</v>
      </c>
      <c r="B205" s="43">
        <v>47</v>
      </c>
      <c r="C205" s="102" t="s">
        <v>2542</v>
      </c>
      <c r="D205" s="191">
        <v>9</v>
      </c>
      <c r="E205" s="149" t="s">
        <v>3259</v>
      </c>
      <c r="F205" s="115" t="s">
        <v>3260</v>
      </c>
      <c r="G205" s="172">
        <v>38730</v>
      </c>
      <c r="H205" s="47">
        <f t="shared" si="40"/>
        <v>59549</v>
      </c>
      <c r="I205" s="48">
        <f t="shared" si="41"/>
        <v>59568</v>
      </c>
      <c r="J205" s="48">
        <v>59568</v>
      </c>
      <c r="K205" s="109">
        <v>45597</v>
      </c>
      <c r="L205" s="183" t="s">
        <v>721</v>
      </c>
      <c r="M205" s="112" t="s">
        <v>287</v>
      </c>
      <c r="N205" s="102" t="s">
        <v>281</v>
      </c>
      <c r="O205" s="109">
        <v>45597</v>
      </c>
      <c r="P205" s="171" t="s">
        <v>3265</v>
      </c>
      <c r="Q205" s="159" t="s">
        <v>73</v>
      </c>
      <c r="R205" s="102">
        <v>1.33</v>
      </c>
      <c r="S205" s="113"/>
      <c r="T205" s="114">
        <v>0.1</v>
      </c>
      <c r="U205" s="52">
        <f t="shared" si="34"/>
        <v>6290900</v>
      </c>
      <c r="V205" s="52">
        <f t="shared" si="37"/>
        <v>0</v>
      </c>
      <c r="W205" s="52">
        <f t="shared" ref="W205:W233" si="43">+T205*2340000</f>
        <v>234000</v>
      </c>
      <c r="X205" s="52">
        <f t="shared" si="42"/>
        <v>6524900</v>
      </c>
      <c r="Y205" s="52"/>
      <c r="Z205" s="52"/>
      <c r="AA205" s="73">
        <v>5820167557</v>
      </c>
      <c r="AB205" s="168" t="s">
        <v>604</v>
      </c>
      <c r="AC205" s="45"/>
      <c r="AD205" s="114" t="s">
        <v>1787</v>
      </c>
      <c r="AE205" s="150" t="s">
        <v>3261</v>
      </c>
      <c r="AF205" s="115"/>
      <c r="AG205" s="45"/>
      <c r="AH205" s="172"/>
      <c r="AI205" s="114" t="s">
        <v>2427</v>
      </c>
      <c r="AJ205" s="114" t="s">
        <v>3262</v>
      </c>
      <c r="AK205" s="116"/>
      <c r="AL205" s="114"/>
      <c r="AM205" s="114"/>
      <c r="AN205" s="114"/>
      <c r="AO205" s="114"/>
      <c r="AP205" s="91" t="s">
        <v>3025</v>
      </c>
      <c r="AQ205" s="109">
        <v>45566</v>
      </c>
      <c r="AR205" s="114"/>
      <c r="AS205" s="109">
        <v>45597</v>
      </c>
      <c r="AT205" s="109"/>
      <c r="AU205" s="109"/>
      <c r="AV205" s="109"/>
      <c r="AW205" s="193" t="s">
        <v>3277</v>
      </c>
      <c r="AX205" s="55" t="s">
        <v>1518</v>
      </c>
      <c r="AY205" s="55"/>
      <c r="AZ205" s="55"/>
      <c r="BA205" s="55"/>
      <c r="BB205" s="55"/>
      <c r="BC205" s="55"/>
      <c r="BD205" s="55"/>
      <c r="BE205" s="55"/>
      <c r="BF205" s="55"/>
      <c r="BG205" s="55"/>
      <c r="BH205" s="55"/>
      <c r="BI205" s="55"/>
      <c r="BJ205" s="55"/>
      <c r="BK205" s="55"/>
      <c r="BL205" s="55"/>
      <c r="BM205" s="55"/>
      <c r="BN205" s="55"/>
      <c r="BO205" s="55"/>
      <c r="BP205" s="55"/>
      <c r="BQ205" s="55"/>
      <c r="BR205" s="55"/>
      <c r="BS205" s="55"/>
      <c r="BT205" s="55"/>
      <c r="BU205" s="55"/>
      <c r="BV205" s="55"/>
      <c r="BW205" s="55"/>
      <c r="BX205" s="55"/>
      <c r="BY205" s="55"/>
      <c r="BZ205" s="55"/>
      <c r="CA205" s="55"/>
      <c r="CB205" s="55"/>
      <c r="CC205" s="55"/>
      <c r="CD205" s="55"/>
      <c r="CE205" s="55"/>
      <c r="CF205" s="55"/>
      <c r="CG205" s="55"/>
      <c r="CH205" s="55"/>
      <c r="CI205" s="55"/>
      <c r="CJ205" s="55"/>
      <c r="CK205" s="55"/>
      <c r="CL205" s="55"/>
      <c r="CM205" s="55"/>
      <c r="CN205" s="55"/>
      <c r="CO205" s="55"/>
      <c r="CP205" s="55"/>
      <c r="CQ205" s="55"/>
      <c r="CR205" s="55"/>
      <c r="CS205" s="55"/>
      <c r="CT205" s="55"/>
      <c r="CU205" s="55"/>
      <c r="CV205" s="55"/>
    </row>
    <row r="206" spans="1:100" x14ac:dyDescent="0.3">
      <c r="A206" s="43">
        <v>205</v>
      </c>
      <c r="B206" s="43">
        <v>48</v>
      </c>
      <c r="C206" s="102" t="s">
        <v>2542</v>
      </c>
      <c r="D206" s="191">
        <v>10</v>
      </c>
      <c r="E206" s="157" t="s">
        <v>193</v>
      </c>
      <c r="F206" s="115" t="s">
        <v>401</v>
      </c>
      <c r="G206" s="165">
        <v>26947</v>
      </c>
      <c r="H206" s="47">
        <f t="shared" si="40"/>
        <v>47766</v>
      </c>
      <c r="I206" s="48">
        <f t="shared" si="41"/>
        <v>47788</v>
      </c>
      <c r="J206" s="48">
        <v>47788</v>
      </c>
      <c r="K206" s="109">
        <v>34851</v>
      </c>
      <c r="L206" s="183" t="s">
        <v>721</v>
      </c>
      <c r="M206" s="112" t="s">
        <v>287</v>
      </c>
      <c r="N206" s="102" t="s">
        <v>281</v>
      </c>
      <c r="O206" s="109">
        <v>40360</v>
      </c>
      <c r="P206" s="110"/>
      <c r="Q206" s="158" t="s">
        <v>74</v>
      </c>
      <c r="R206" s="102">
        <v>1.68</v>
      </c>
      <c r="S206" s="113"/>
      <c r="T206" s="114">
        <v>0.1</v>
      </c>
      <c r="U206" s="52">
        <f t="shared" si="34"/>
        <v>7946400</v>
      </c>
      <c r="V206" s="52">
        <f t="shared" ref="V206:V214" si="44">+S206*4410000</f>
        <v>0</v>
      </c>
      <c r="W206" s="52">
        <f t="shared" si="43"/>
        <v>234000</v>
      </c>
      <c r="X206" s="52">
        <f t="shared" si="42"/>
        <v>8180400</v>
      </c>
      <c r="Y206" s="52">
        <f>+VLOOKUP(E206,[2]Sheet1!$B$11:$J$400,9,0)</f>
        <v>7168800</v>
      </c>
      <c r="Z206" s="52"/>
      <c r="AA206" s="53" t="s">
        <v>1672</v>
      </c>
      <c r="AB206" s="114" t="s">
        <v>899</v>
      </c>
      <c r="AC206" s="45" t="str">
        <f>+VLOOKUP(E206,[3]Sheet1!$B$11:$I$388,8,0)</f>
        <v>60 - 004</v>
      </c>
      <c r="AD206" s="114" t="s">
        <v>1787</v>
      </c>
      <c r="AE206" s="114" t="s">
        <v>2864</v>
      </c>
      <c r="AF206" s="115" t="s">
        <v>2465</v>
      </c>
      <c r="AG206" s="114">
        <f>+VALUE(AF197:AF593)</f>
        <v>261250768</v>
      </c>
      <c r="AH206" s="114" t="s">
        <v>1211</v>
      </c>
      <c r="AI206" s="114" t="s">
        <v>515</v>
      </c>
      <c r="AJ206" s="114" t="s">
        <v>1212</v>
      </c>
      <c r="AK206" s="116" t="s">
        <v>1213</v>
      </c>
      <c r="AL206" s="114"/>
      <c r="AM206" s="114" t="s">
        <v>502</v>
      </c>
      <c r="AN206" s="114"/>
      <c r="AO206" s="114"/>
      <c r="AP206" s="114"/>
      <c r="AQ206" s="114"/>
      <c r="AR206" s="114"/>
      <c r="AS206" s="114"/>
      <c r="AT206" s="114"/>
      <c r="AU206" s="114"/>
      <c r="AV206" s="114"/>
      <c r="AW206" s="161" t="s">
        <v>2271</v>
      </c>
      <c r="AX206" s="161" t="s">
        <v>1518</v>
      </c>
      <c r="AY206" s="161"/>
      <c r="AZ206" s="161"/>
      <c r="BA206" s="161"/>
      <c r="BB206" s="161"/>
      <c r="BC206" s="161"/>
      <c r="BD206" s="161"/>
      <c r="BE206" s="161"/>
      <c r="BF206" s="161"/>
      <c r="BG206" s="161"/>
      <c r="BH206" s="161"/>
      <c r="BI206" s="161"/>
    </row>
    <row r="207" spans="1:100" x14ac:dyDescent="0.3">
      <c r="A207" s="43">
        <v>206</v>
      </c>
      <c r="B207" s="43">
        <v>49</v>
      </c>
      <c r="C207" s="102" t="s">
        <v>2542</v>
      </c>
      <c r="D207" s="191">
        <v>11</v>
      </c>
      <c r="E207" s="157" t="s">
        <v>3448</v>
      </c>
      <c r="F207" s="115" t="s">
        <v>3411</v>
      </c>
      <c r="G207" s="165">
        <v>35585</v>
      </c>
      <c r="H207" s="47">
        <f t="shared" si="40"/>
        <v>56404</v>
      </c>
      <c r="I207" s="48">
        <f t="shared" si="41"/>
        <v>56431</v>
      </c>
      <c r="J207" s="48">
        <v>56431</v>
      </c>
      <c r="K207" s="109">
        <v>45839</v>
      </c>
      <c r="L207" s="183" t="s">
        <v>721</v>
      </c>
      <c r="M207" s="112" t="s">
        <v>287</v>
      </c>
      <c r="N207" s="102" t="s">
        <v>281</v>
      </c>
      <c r="O207" s="109">
        <v>45839</v>
      </c>
      <c r="P207" s="110"/>
      <c r="Q207" s="110" t="s">
        <v>72</v>
      </c>
      <c r="R207" s="102">
        <v>1.41</v>
      </c>
      <c r="S207" s="113"/>
      <c r="T207" s="114">
        <v>0.1</v>
      </c>
      <c r="U207" s="52">
        <f t="shared" si="34"/>
        <v>6669300</v>
      </c>
      <c r="V207" s="52">
        <f t="shared" si="44"/>
        <v>0</v>
      </c>
      <c r="W207" s="52">
        <f t="shared" si="43"/>
        <v>234000</v>
      </c>
      <c r="X207" s="52">
        <f t="shared" si="42"/>
        <v>6903300</v>
      </c>
      <c r="Y207" s="52"/>
      <c r="Z207" s="52"/>
      <c r="AA207" s="73">
        <v>5820080699</v>
      </c>
      <c r="AB207" s="114" t="s">
        <v>3433</v>
      </c>
      <c r="AC207" s="45"/>
      <c r="AD207" s="114" t="s">
        <v>1787</v>
      </c>
      <c r="AE207" s="178" t="s">
        <v>3414</v>
      </c>
      <c r="AF207" s="115"/>
      <c r="AG207" s="114"/>
      <c r="AH207" s="114"/>
      <c r="AI207" s="114"/>
      <c r="AJ207" s="114" t="s">
        <v>3413</v>
      </c>
      <c r="AK207" s="116"/>
      <c r="AL207" s="114"/>
      <c r="AM207" s="114"/>
      <c r="AN207" s="114" t="s">
        <v>3412</v>
      </c>
      <c r="AO207" s="114"/>
      <c r="AP207" s="114"/>
      <c r="AQ207" s="114"/>
      <c r="AR207" s="114"/>
      <c r="AS207" s="114"/>
      <c r="AT207" s="114"/>
      <c r="AU207" s="114"/>
      <c r="AV207" s="114"/>
      <c r="AW207" s="161"/>
      <c r="AX207" s="161" t="s">
        <v>1518</v>
      </c>
      <c r="AY207" s="161"/>
      <c r="AZ207" s="161"/>
      <c r="BA207" s="161"/>
      <c r="BB207" s="161"/>
      <c r="BC207" s="161"/>
      <c r="BD207" s="161"/>
      <c r="BE207" s="161"/>
      <c r="BF207" s="161"/>
      <c r="BG207" s="161"/>
      <c r="BH207" s="161"/>
      <c r="BI207" s="161"/>
    </row>
    <row r="208" spans="1:100" x14ac:dyDescent="0.3">
      <c r="A208" s="43">
        <v>207</v>
      </c>
      <c r="B208" s="43">
        <v>50</v>
      </c>
      <c r="C208" s="102" t="s">
        <v>2542</v>
      </c>
      <c r="D208" s="182">
        <v>1</v>
      </c>
      <c r="E208" s="157" t="s">
        <v>203</v>
      </c>
      <c r="F208" s="115" t="s">
        <v>544</v>
      </c>
      <c r="G208" s="165">
        <v>35426</v>
      </c>
      <c r="H208" s="47">
        <f>+DATE(YEAR(G208)+57,MONTH(G208),DAY(G208))</f>
        <v>56245</v>
      </c>
      <c r="I208" s="48">
        <f>+EOMONTH(H208,0)+1</f>
        <v>56250</v>
      </c>
      <c r="J208" s="48">
        <v>56250</v>
      </c>
      <c r="K208" s="109">
        <v>43160</v>
      </c>
      <c r="L208" s="104" t="s">
        <v>3298</v>
      </c>
      <c r="M208" s="112" t="s">
        <v>287</v>
      </c>
      <c r="N208" s="102" t="s">
        <v>286</v>
      </c>
      <c r="O208" s="109">
        <v>43160</v>
      </c>
      <c r="P208" s="110"/>
      <c r="Q208" s="111" t="s">
        <v>71</v>
      </c>
      <c r="R208" s="112">
        <v>1.49</v>
      </c>
      <c r="S208" s="113">
        <v>0.06</v>
      </c>
      <c r="T208" s="168">
        <v>0.1</v>
      </c>
      <c r="U208" s="52">
        <f t="shared" si="34"/>
        <v>7047700</v>
      </c>
      <c r="V208" s="52">
        <f>+S208*4410000</f>
        <v>264600</v>
      </c>
      <c r="W208" s="52">
        <f>+T208*2340000</f>
        <v>234000</v>
      </c>
      <c r="X208" s="52">
        <f>+U208+V208+W208</f>
        <v>7546300</v>
      </c>
      <c r="Y208" s="52">
        <f>+VLOOKUP(E208,[2]Sheet1!$B$11:$J$400,9,0)</f>
        <v>6544800</v>
      </c>
      <c r="Z208" s="52"/>
      <c r="AA208" s="53" t="s">
        <v>1683</v>
      </c>
      <c r="AB208" s="114" t="e">
        <v>#N/A</v>
      </c>
      <c r="AC208" s="45" t="str">
        <f>+VLOOKUP(E208,[3]Sheet1!$B$11:$I$388,8,0)</f>
        <v>58 - 114</v>
      </c>
      <c r="AD208" s="114" t="s">
        <v>1787</v>
      </c>
      <c r="AE208" s="114" t="s">
        <v>2868</v>
      </c>
      <c r="AF208" s="115" t="s">
        <v>545</v>
      </c>
      <c r="AG208" s="45">
        <f>+VALUE(AF201:AF600)</f>
        <v>264500513</v>
      </c>
      <c r="AH208" s="123" t="s">
        <v>546</v>
      </c>
      <c r="AI208" s="114" t="s">
        <v>503</v>
      </c>
      <c r="AJ208" s="114" t="s">
        <v>547</v>
      </c>
      <c r="AK208" s="116" t="s">
        <v>548</v>
      </c>
      <c r="AL208" s="114"/>
      <c r="AM208" s="114"/>
      <c r="AN208" s="114" t="s">
        <v>549</v>
      </c>
      <c r="AO208" s="114"/>
      <c r="AP208" s="114"/>
      <c r="AQ208" s="114"/>
      <c r="AR208" s="114" t="s">
        <v>543</v>
      </c>
      <c r="AS208" s="114"/>
      <c r="AT208" s="114"/>
      <c r="AU208" s="114"/>
      <c r="AV208" s="114"/>
      <c r="AW208" s="55" t="s">
        <v>2275</v>
      </c>
      <c r="AX208" s="55" t="s">
        <v>1518</v>
      </c>
    </row>
    <row r="209" spans="1:100" x14ac:dyDescent="0.3">
      <c r="A209" s="43">
        <v>208</v>
      </c>
      <c r="B209" s="43">
        <v>51</v>
      </c>
      <c r="C209" s="102" t="s">
        <v>2542</v>
      </c>
      <c r="D209" s="148">
        <v>2</v>
      </c>
      <c r="E209" s="157" t="s">
        <v>589</v>
      </c>
      <c r="F209" s="115" t="s">
        <v>1526</v>
      </c>
      <c r="G209" s="109">
        <v>34729</v>
      </c>
      <c r="H209" s="47">
        <f t="shared" si="40"/>
        <v>55548</v>
      </c>
      <c r="I209" s="48">
        <f t="shared" si="41"/>
        <v>55550</v>
      </c>
      <c r="J209" s="48">
        <v>55550</v>
      </c>
      <c r="K209" s="109">
        <v>43191</v>
      </c>
      <c r="L209" s="104" t="s">
        <v>3298</v>
      </c>
      <c r="M209" s="112" t="s">
        <v>287</v>
      </c>
      <c r="N209" s="102" t="s">
        <v>285</v>
      </c>
      <c r="O209" s="109">
        <v>43160</v>
      </c>
      <c r="P209" s="110"/>
      <c r="Q209" s="159" t="s">
        <v>71</v>
      </c>
      <c r="R209" s="102">
        <v>1.49</v>
      </c>
      <c r="S209" s="113">
        <v>0.04</v>
      </c>
      <c r="T209" s="168">
        <v>0.1</v>
      </c>
      <c r="U209" s="52">
        <f t="shared" si="34"/>
        <v>7047700</v>
      </c>
      <c r="V209" s="52">
        <f t="shared" si="44"/>
        <v>176400</v>
      </c>
      <c r="W209" s="52">
        <f t="shared" si="43"/>
        <v>234000</v>
      </c>
      <c r="X209" s="52">
        <f t="shared" si="42"/>
        <v>7458100</v>
      </c>
      <c r="Y209" s="52">
        <f>+VLOOKUP(E209,[2]Sheet1!$B$11:$J$400,9,0)</f>
        <v>6558400</v>
      </c>
      <c r="Z209" s="52"/>
      <c r="AA209" s="53" t="s">
        <v>1685</v>
      </c>
      <c r="AB209" s="114"/>
      <c r="AC209" s="45" t="str">
        <f>+VLOOKUP(E209,[3]Sheet1!$B$11:$I$388,8,0)</f>
        <v>60 - 171</v>
      </c>
      <c r="AD209" s="114" t="s">
        <v>1787</v>
      </c>
      <c r="AE209" s="114" t="s">
        <v>2875</v>
      </c>
      <c r="AF209" s="115" t="s">
        <v>1527</v>
      </c>
      <c r="AG209" s="45">
        <f>+VALUE(AF209:AF608)</f>
        <v>261351772</v>
      </c>
      <c r="AH209" s="172" t="s">
        <v>1528</v>
      </c>
      <c r="AI209" s="114" t="s">
        <v>515</v>
      </c>
      <c r="AJ209" s="114" t="s">
        <v>1523</v>
      </c>
      <c r="AK209" s="116"/>
      <c r="AL209" s="114"/>
      <c r="AM209" s="114"/>
      <c r="AN209" s="114" t="s">
        <v>1521</v>
      </c>
      <c r="AO209" s="114"/>
      <c r="AP209" s="114"/>
      <c r="AQ209" s="114"/>
      <c r="AR209" s="114"/>
      <c r="AS209" s="114"/>
      <c r="AT209" s="114"/>
      <c r="AU209" s="114"/>
      <c r="AV209" s="114"/>
      <c r="AW209" s="55" t="s">
        <v>2283</v>
      </c>
      <c r="AX209" s="55" t="s">
        <v>1518</v>
      </c>
    </row>
    <row r="210" spans="1:100" x14ac:dyDescent="0.3">
      <c r="A210" s="43">
        <v>209</v>
      </c>
      <c r="B210" s="43">
        <v>52</v>
      </c>
      <c r="C210" s="102" t="s">
        <v>2542</v>
      </c>
      <c r="D210" s="182">
        <v>3</v>
      </c>
      <c r="E210" s="157" t="s">
        <v>198</v>
      </c>
      <c r="F210" s="115" t="s">
        <v>407</v>
      </c>
      <c r="G210" s="109">
        <v>26163</v>
      </c>
      <c r="H210" s="47">
        <f t="shared" si="40"/>
        <v>46983</v>
      </c>
      <c r="I210" s="48">
        <f t="shared" si="41"/>
        <v>46997</v>
      </c>
      <c r="J210" s="48">
        <v>46997</v>
      </c>
      <c r="K210" s="109">
        <v>32568</v>
      </c>
      <c r="L210" s="104" t="s">
        <v>3298</v>
      </c>
      <c r="M210" s="112" t="s">
        <v>287</v>
      </c>
      <c r="N210" s="102" t="s">
        <v>281</v>
      </c>
      <c r="O210" s="109">
        <v>43405</v>
      </c>
      <c r="P210" s="110"/>
      <c r="Q210" s="159" t="s">
        <v>74</v>
      </c>
      <c r="R210" s="102">
        <v>1.68</v>
      </c>
      <c r="S210" s="113"/>
      <c r="T210" s="168">
        <v>0.1</v>
      </c>
      <c r="U210" s="52">
        <f t="shared" si="34"/>
        <v>7946400</v>
      </c>
      <c r="V210" s="52">
        <f t="shared" si="44"/>
        <v>0</v>
      </c>
      <c r="W210" s="52">
        <f t="shared" si="43"/>
        <v>234000</v>
      </c>
      <c r="X210" s="52">
        <f t="shared" si="42"/>
        <v>8180400</v>
      </c>
      <c r="Y210" s="52">
        <f>+VLOOKUP(E210,[2]Sheet1!$B$11:$J$400,9,0)</f>
        <v>7348800</v>
      </c>
      <c r="Z210" s="52"/>
      <c r="AA210" s="53" t="s">
        <v>1678</v>
      </c>
      <c r="AB210" s="114" t="s">
        <v>1220</v>
      </c>
      <c r="AC210" s="45" t="str">
        <f>+VLOOKUP(E210,[3]Sheet1!$B$11:$I$388,8,0)</f>
        <v>60 - 004</v>
      </c>
      <c r="AD210" s="114" t="s">
        <v>1787</v>
      </c>
      <c r="AE210" s="178" t="s">
        <v>3303</v>
      </c>
      <c r="AF210" s="115" t="s">
        <v>2469</v>
      </c>
      <c r="AG210" s="45">
        <f>+VALUE(AF210:AF605)</f>
        <v>261205972</v>
      </c>
      <c r="AH210" s="114" t="s">
        <v>1229</v>
      </c>
      <c r="AI210" s="114" t="s">
        <v>515</v>
      </c>
      <c r="AJ210" s="114" t="s">
        <v>1230</v>
      </c>
      <c r="AK210" s="116" t="s">
        <v>1231</v>
      </c>
      <c r="AL210" s="114"/>
      <c r="AM210" s="114"/>
      <c r="AN210" s="114"/>
      <c r="AO210" s="114" t="s">
        <v>504</v>
      </c>
      <c r="AP210" s="114"/>
      <c r="AQ210" s="114"/>
      <c r="AR210" s="114"/>
      <c r="AS210" s="114"/>
      <c r="AT210" s="114"/>
      <c r="AU210" s="114"/>
      <c r="AV210" s="114"/>
      <c r="AW210" s="55" t="s">
        <v>2280</v>
      </c>
      <c r="AX210" s="55" t="s">
        <v>1518</v>
      </c>
    </row>
    <row r="211" spans="1:100" x14ac:dyDescent="0.3">
      <c r="A211" s="43">
        <v>210</v>
      </c>
      <c r="B211" s="43">
        <v>53</v>
      </c>
      <c r="C211" s="102" t="s">
        <v>2542</v>
      </c>
      <c r="D211" s="148">
        <v>4</v>
      </c>
      <c r="E211" s="157" t="s">
        <v>199</v>
      </c>
      <c r="F211" s="115" t="s">
        <v>408</v>
      </c>
      <c r="G211" s="109">
        <v>30315</v>
      </c>
      <c r="H211" s="47">
        <f t="shared" si="40"/>
        <v>51134</v>
      </c>
      <c r="I211" s="48">
        <f t="shared" si="41"/>
        <v>51136</v>
      </c>
      <c r="J211" s="48">
        <v>51136</v>
      </c>
      <c r="K211" s="109">
        <v>39234</v>
      </c>
      <c r="L211" s="104" t="s">
        <v>3298</v>
      </c>
      <c r="M211" s="112" t="s">
        <v>287</v>
      </c>
      <c r="N211" s="102" t="s">
        <v>281</v>
      </c>
      <c r="O211" s="109">
        <v>37803</v>
      </c>
      <c r="P211" s="110"/>
      <c r="Q211" s="158" t="s">
        <v>76</v>
      </c>
      <c r="R211" s="102">
        <v>1.58</v>
      </c>
      <c r="S211" s="113"/>
      <c r="T211" s="168">
        <v>0.1</v>
      </c>
      <c r="U211" s="52">
        <f t="shared" si="34"/>
        <v>7473400</v>
      </c>
      <c r="V211" s="52">
        <f t="shared" si="44"/>
        <v>0</v>
      </c>
      <c r="W211" s="52">
        <f t="shared" si="43"/>
        <v>234000</v>
      </c>
      <c r="X211" s="52">
        <f t="shared" si="42"/>
        <v>7707400</v>
      </c>
      <c r="Y211" s="52">
        <f>+VLOOKUP(E211,[2]Sheet1!$B$11:$J$400,9,0)</f>
        <v>6932800</v>
      </c>
      <c r="Z211" s="52"/>
      <c r="AA211" s="53" t="s">
        <v>1679</v>
      </c>
      <c r="AB211" s="114" t="s">
        <v>1226</v>
      </c>
      <c r="AC211" s="45" t="str">
        <f>+VLOOKUP(E211,[3]Sheet1!$B$11:$I$388,8,0)</f>
        <v>60 - 004</v>
      </c>
      <c r="AD211" s="114" t="s">
        <v>1787</v>
      </c>
      <c r="AE211" s="114" t="s">
        <v>2873</v>
      </c>
      <c r="AF211" s="115" t="s">
        <v>2470</v>
      </c>
      <c r="AG211" s="114">
        <f>+VALUE(AF211:AF606)</f>
        <v>261518404</v>
      </c>
      <c r="AH211" s="123" t="s">
        <v>530</v>
      </c>
      <c r="AI211" s="114" t="s">
        <v>515</v>
      </c>
      <c r="AJ211" s="114" t="s">
        <v>531</v>
      </c>
      <c r="AK211" s="116" t="s">
        <v>1232</v>
      </c>
      <c r="AL211" s="114"/>
      <c r="AM211" s="114"/>
      <c r="AN211" s="114"/>
      <c r="AO211" s="114" t="s">
        <v>554</v>
      </c>
      <c r="AP211" s="114"/>
      <c r="AQ211" s="114"/>
      <c r="AR211" s="114"/>
      <c r="AS211" s="114"/>
      <c r="AT211" s="114"/>
      <c r="AU211" s="114"/>
      <c r="AV211" s="114"/>
      <c r="AW211" s="161" t="s">
        <v>2281</v>
      </c>
      <c r="AX211" s="161" t="s">
        <v>1518</v>
      </c>
      <c r="AY211" s="161"/>
      <c r="AZ211" s="161"/>
      <c r="BA211" s="161"/>
      <c r="BB211" s="161"/>
      <c r="BC211" s="161"/>
      <c r="BD211" s="161"/>
      <c r="BE211" s="161"/>
      <c r="BF211" s="161"/>
      <c r="BG211" s="161"/>
      <c r="BH211" s="161"/>
      <c r="BI211" s="161"/>
    </row>
    <row r="212" spans="1:100" s="161" customFormat="1" x14ac:dyDescent="0.3">
      <c r="A212" s="43">
        <v>211</v>
      </c>
      <c r="B212" s="43">
        <v>54</v>
      </c>
      <c r="C212" s="102" t="s">
        <v>2542</v>
      </c>
      <c r="D212" s="182">
        <v>5</v>
      </c>
      <c r="E212" s="157" t="s">
        <v>2619</v>
      </c>
      <c r="F212" s="115" t="s">
        <v>2620</v>
      </c>
      <c r="G212" s="172">
        <v>37071</v>
      </c>
      <c r="H212" s="47">
        <f t="shared" si="40"/>
        <v>57890</v>
      </c>
      <c r="I212" s="48">
        <f t="shared" si="41"/>
        <v>57892</v>
      </c>
      <c r="J212" s="48">
        <v>57892</v>
      </c>
      <c r="K212" s="109">
        <v>44896</v>
      </c>
      <c r="L212" s="104" t="s">
        <v>3298</v>
      </c>
      <c r="M212" s="112" t="s">
        <v>287</v>
      </c>
      <c r="N212" s="102" t="s">
        <v>281</v>
      </c>
      <c r="O212" s="109">
        <v>44896</v>
      </c>
      <c r="P212" s="110"/>
      <c r="Q212" s="159" t="s">
        <v>72</v>
      </c>
      <c r="R212" s="102">
        <v>1.41</v>
      </c>
      <c r="S212" s="113"/>
      <c r="T212" s="168">
        <v>0.1</v>
      </c>
      <c r="U212" s="52">
        <f t="shared" si="34"/>
        <v>6669300</v>
      </c>
      <c r="V212" s="52">
        <f t="shared" si="44"/>
        <v>0</v>
      </c>
      <c r="W212" s="52">
        <f t="shared" si="43"/>
        <v>234000</v>
      </c>
      <c r="X212" s="52">
        <f t="shared" si="42"/>
        <v>6903300</v>
      </c>
      <c r="Y212" s="52">
        <f>+VLOOKUP(E212,[2]Sheet1!$B$11:$J$400,9,0)</f>
        <v>6225600</v>
      </c>
      <c r="Z212" s="52"/>
      <c r="AA212" s="53" t="s">
        <v>2704</v>
      </c>
      <c r="AB212" s="114"/>
      <c r="AC212" s="45" t="str">
        <f>+VLOOKUP(E212,[3]Sheet1!$B$11:$I$388,8,0)</f>
        <v>60 - 171</v>
      </c>
      <c r="AD212" s="114" t="s">
        <v>1787</v>
      </c>
      <c r="AE212" s="114" t="s">
        <v>2621</v>
      </c>
      <c r="AF212" s="115" t="s">
        <v>2621</v>
      </c>
      <c r="AG212" s="45">
        <f>+VALUE(AF212:AF615)</f>
        <v>60201013051</v>
      </c>
      <c r="AH212" s="172" t="s">
        <v>2517</v>
      </c>
      <c r="AI212" s="114" t="s">
        <v>2427</v>
      </c>
      <c r="AJ212" s="114" t="s">
        <v>2622</v>
      </c>
      <c r="AK212" s="114" t="s">
        <v>2623</v>
      </c>
      <c r="AL212" s="114"/>
      <c r="AM212" s="114"/>
      <c r="AN212" s="114"/>
      <c r="AO212" s="114"/>
      <c r="AP212" s="114" t="s">
        <v>524</v>
      </c>
      <c r="AQ212" s="109">
        <v>44896</v>
      </c>
      <c r="AR212" s="114"/>
      <c r="AS212" s="114"/>
      <c r="AT212" s="109">
        <v>44927</v>
      </c>
      <c r="AU212" s="114"/>
      <c r="AV212" s="109"/>
      <c r="AW212" s="77" t="s">
        <v>2624</v>
      </c>
      <c r="AX212" s="55" t="s">
        <v>1518</v>
      </c>
      <c r="AY212" s="55"/>
      <c r="AZ212" s="55"/>
      <c r="BA212" s="55"/>
      <c r="BB212" s="55"/>
      <c r="BC212" s="55"/>
      <c r="BD212" s="55"/>
      <c r="BE212" s="55"/>
      <c r="BF212" s="55"/>
      <c r="BG212" s="55"/>
      <c r="BH212" s="55"/>
      <c r="BI212" s="55"/>
      <c r="BJ212" s="55"/>
      <c r="BK212" s="55"/>
      <c r="BL212" s="55"/>
      <c r="BM212" s="55"/>
      <c r="BN212" s="55"/>
      <c r="BO212" s="55"/>
      <c r="BP212" s="55"/>
      <c r="BQ212" s="55"/>
      <c r="BR212" s="55"/>
      <c r="BS212" s="55"/>
      <c r="BT212" s="55"/>
      <c r="BU212" s="55"/>
      <c r="BV212" s="55"/>
      <c r="BW212" s="55"/>
      <c r="BX212" s="55"/>
      <c r="BY212" s="55"/>
      <c r="BZ212" s="55"/>
      <c r="CA212" s="55"/>
      <c r="CB212" s="55"/>
      <c r="CC212" s="55"/>
      <c r="CD212" s="55"/>
      <c r="CE212" s="55"/>
      <c r="CF212" s="55"/>
      <c r="CG212" s="55"/>
      <c r="CH212" s="55"/>
      <c r="CI212" s="55"/>
      <c r="CJ212" s="55"/>
      <c r="CK212" s="55"/>
      <c r="CL212" s="55"/>
      <c r="CM212" s="55"/>
      <c r="CN212" s="55"/>
      <c r="CO212" s="55"/>
      <c r="CP212" s="55"/>
      <c r="CQ212" s="55"/>
      <c r="CR212" s="55"/>
      <c r="CS212" s="55"/>
      <c r="CT212" s="55"/>
      <c r="CU212" s="55"/>
      <c r="CV212" s="55"/>
    </row>
    <row r="213" spans="1:100" x14ac:dyDescent="0.3">
      <c r="A213" s="43">
        <v>212</v>
      </c>
      <c r="B213" s="43">
        <v>55</v>
      </c>
      <c r="C213" s="102" t="s">
        <v>2542</v>
      </c>
      <c r="D213" s="148">
        <v>6</v>
      </c>
      <c r="E213" s="149" t="s">
        <v>3019</v>
      </c>
      <c r="F213" s="115" t="s">
        <v>3108</v>
      </c>
      <c r="G213" s="172">
        <v>37341</v>
      </c>
      <c r="H213" s="47">
        <f t="shared" si="40"/>
        <v>58160</v>
      </c>
      <c r="I213" s="48">
        <f t="shared" si="41"/>
        <v>58166</v>
      </c>
      <c r="J213" s="48">
        <v>58166</v>
      </c>
      <c r="K213" s="109">
        <v>45047</v>
      </c>
      <c r="L213" s="104" t="s">
        <v>3298</v>
      </c>
      <c r="M213" s="112" t="s">
        <v>287</v>
      </c>
      <c r="N213" s="102" t="s">
        <v>281</v>
      </c>
      <c r="O213" s="109">
        <v>45047</v>
      </c>
      <c r="P213" s="171"/>
      <c r="Q213" s="159" t="s">
        <v>72</v>
      </c>
      <c r="R213" s="102">
        <v>1.41</v>
      </c>
      <c r="S213" s="113"/>
      <c r="T213" s="168">
        <v>0.1</v>
      </c>
      <c r="U213" s="52">
        <f t="shared" si="34"/>
        <v>6669300</v>
      </c>
      <c r="V213" s="52">
        <f t="shared" si="44"/>
        <v>0</v>
      </c>
      <c r="W213" s="52">
        <f t="shared" si="43"/>
        <v>234000</v>
      </c>
      <c r="X213" s="52">
        <f t="shared" si="42"/>
        <v>6903300</v>
      </c>
      <c r="Y213" s="52">
        <f>+VLOOKUP(E213,[2]Sheet1!$B$11:$J$400,9,0)</f>
        <v>6225600</v>
      </c>
      <c r="Z213" s="52"/>
      <c r="AA213" s="53" t="s">
        <v>3109</v>
      </c>
      <c r="AB213" s="114"/>
      <c r="AC213" s="45" t="str">
        <f>+VLOOKUP(E213,[3]Sheet1!$B$11:$I$388,8,0)</f>
        <v>60 - 171</v>
      </c>
      <c r="AD213" s="114" t="s">
        <v>1787</v>
      </c>
      <c r="AE213" s="123" t="s">
        <v>3020</v>
      </c>
      <c r="AF213" s="115"/>
      <c r="AG213" s="45"/>
      <c r="AH213" s="172" t="s">
        <v>3021</v>
      </c>
      <c r="AI213" s="114" t="s">
        <v>2427</v>
      </c>
      <c r="AJ213" s="114" t="s">
        <v>3022</v>
      </c>
      <c r="AK213" s="116"/>
      <c r="AL213" s="114"/>
      <c r="AM213" s="114"/>
      <c r="AN213" s="114" t="s">
        <v>3023</v>
      </c>
      <c r="AO213" s="114"/>
      <c r="AP213" s="114"/>
      <c r="AQ213" s="109">
        <v>45047</v>
      </c>
      <c r="AR213" s="114"/>
      <c r="AS213" s="114"/>
      <c r="AT213" s="109"/>
      <c r="AU213" s="109"/>
      <c r="AV213" s="109"/>
      <c r="AW213" s="77"/>
      <c r="AX213" s="55" t="s">
        <v>1518</v>
      </c>
      <c r="AY213" s="55" t="s">
        <v>3248</v>
      </c>
    </row>
    <row r="214" spans="1:100" s="161" customFormat="1" x14ac:dyDescent="0.3">
      <c r="A214" s="43">
        <v>213</v>
      </c>
      <c r="B214" s="43">
        <v>56</v>
      </c>
      <c r="C214" s="102" t="s">
        <v>2542</v>
      </c>
      <c r="D214" s="182">
        <v>7</v>
      </c>
      <c r="E214" s="149" t="s">
        <v>3016</v>
      </c>
      <c r="F214" s="115" t="s">
        <v>3015</v>
      </c>
      <c r="G214" s="109">
        <v>34812</v>
      </c>
      <c r="H214" s="47">
        <f t="shared" si="40"/>
        <v>55632</v>
      </c>
      <c r="I214" s="48">
        <f t="shared" si="41"/>
        <v>55640</v>
      </c>
      <c r="J214" s="48">
        <v>55640</v>
      </c>
      <c r="K214" s="109">
        <v>45017</v>
      </c>
      <c r="L214" s="104" t="s">
        <v>3298</v>
      </c>
      <c r="M214" s="112" t="s">
        <v>287</v>
      </c>
      <c r="N214" s="102" t="s">
        <v>281</v>
      </c>
      <c r="O214" s="109">
        <v>45017</v>
      </c>
      <c r="P214" s="171"/>
      <c r="Q214" s="159" t="s">
        <v>72</v>
      </c>
      <c r="R214" s="102">
        <v>1.41</v>
      </c>
      <c r="S214" s="113"/>
      <c r="T214" s="168">
        <v>0.1</v>
      </c>
      <c r="U214" s="52">
        <f t="shared" si="34"/>
        <v>6669300</v>
      </c>
      <c r="V214" s="52">
        <f t="shared" si="44"/>
        <v>0</v>
      </c>
      <c r="W214" s="52">
        <f t="shared" si="43"/>
        <v>234000</v>
      </c>
      <c r="X214" s="52">
        <f t="shared" si="42"/>
        <v>6903300</v>
      </c>
      <c r="Y214" s="52">
        <f>+VLOOKUP(E214,[2]Sheet1!$B$11:$J$400,9,0)</f>
        <v>6225600</v>
      </c>
      <c r="Z214" s="52"/>
      <c r="AA214" s="53" t="s">
        <v>3220</v>
      </c>
      <c r="AB214" s="114"/>
      <c r="AC214" s="45" t="str">
        <f>+VLOOKUP(E214,[3]Sheet1!$B$11:$I$388,8,0)</f>
        <v>60 - 004</v>
      </c>
      <c r="AD214" s="114" t="s">
        <v>1787</v>
      </c>
      <c r="AE214" s="123" t="s">
        <v>3014</v>
      </c>
      <c r="AF214" s="115"/>
      <c r="AG214" s="45"/>
      <c r="AH214" s="172" t="s">
        <v>3013</v>
      </c>
      <c r="AI214" s="114" t="s">
        <v>2427</v>
      </c>
      <c r="AJ214" s="114" t="s">
        <v>3012</v>
      </c>
      <c r="AK214" s="116">
        <v>22978</v>
      </c>
      <c r="AL214" s="114"/>
      <c r="AM214" s="114"/>
      <c r="AN214" s="114"/>
      <c r="AO214" s="114"/>
      <c r="AP214" s="91" t="s">
        <v>3025</v>
      </c>
      <c r="AQ214" s="109">
        <v>45017</v>
      </c>
      <c r="AR214" s="114"/>
      <c r="AS214" s="114"/>
      <c r="AT214" s="109">
        <v>45047</v>
      </c>
      <c r="AU214" s="109"/>
      <c r="AV214" s="109"/>
      <c r="AW214" s="77" t="s">
        <v>3017</v>
      </c>
      <c r="AX214" s="55" t="s">
        <v>1518</v>
      </c>
      <c r="AY214" s="55"/>
      <c r="AZ214" s="55"/>
      <c r="BA214" s="55"/>
      <c r="BB214" s="55"/>
      <c r="BC214" s="55"/>
      <c r="BD214" s="55"/>
      <c r="BE214" s="55"/>
      <c r="BF214" s="55"/>
      <c r="BG214" s="55"/>
      <c r="BH214" s="55"/>
      <c r="BI214" s="55"/>
      <c r="BJ214" s="55"/>
      <c r="BK214" s="55"/>
      <c r="BL214" s="55"/>
      <c r="BM214" s="55"/>
      <c r="BN214" s="55"/>
      <c r="BO214" s="55"/>
      <c r="BP214" s="55"/>
      <c r="BQ214" s="55"/>
      <c r="BR214" s="55"/>
      <c r="BS214" s="55"/>
      <c r="BT214" s="55"/>
      <c r="BU214" s="55"/>
      <c r="BV214" s="55"/>
      <c r="BW214" s="55"/>
      <c r="BX214" s="55"/>
      <c r="BY214" s="55"/>
      <c r="BZ214" s="55"/>
      <c r="CA214" s="55"/>
      <c r="CB214" s="55"/>
      <c r="CC214" s="55"/>
      <c r="CD214" s="55"/>
      <c r="CE214" s="55"/>
      <c r="CF214" s="55"/>
      <c r="CG214" s="55"/>
      <c r="CH214" s="55"/>
      <c r="CI214" s="55"/>
      <c r="CJ214" s="55"/>
      <c r="CK214" s="55"/>
      <c r="CL214" s="55"/>
      <c r="CM214" s="55"/>
      <c r="CN214" s="55"/>
      <c r="CO214" s="55"/>
      <c r="CP214" s="55"/>
      <c r="CQ214" s="55"/>
      <c r="CR214" s="55"/>
      <c r="CS214" s="55"/>
      <c r="CT214" s="55"/>
      <c r="CU214" s="55"/>
      <c r="CV214" s="55"/>
    </row>
    <row r="215" spans="1:100" s="161" customFormat="1" x14ac:dyDescent="0.3">
      <c r="A215" s="43">
        <v>214</v>
      </c>
      <c r="B215" s="43">
        <v>57</v>
      </c>
      <c r="C215" s="102" t="s">
        <v>2542</v>
      </c>
      <c r="D215" s="148">
        <v>8</v>
      </c>
      <c r="E215" s="149" t="s">
        <v>3252</v>
      </c>
      <c r="F215" s="115" t="s">
        <v>3199</v>
      </c>
      <c r="G215" s="172">
        <v>37570</v>
      </c>
      <c r="H215" s="47">
        <f t="shared" si="40"/>
        <v>58389</v>
      </c>
      <c r="I215" s="48">
        <f t="shared" si="41"/>
        <v>58410</v>
      </c>
      <c r="J215" s="48">
        <v>58441</v>
      </c>
      <c r="K215" s="109">
        <v>45566</v>
      </c>
      <c r="L215" s="104" t="s">
        <v>3298</v>
      </c>
      <c r="M215" s="112" t="s">
        <v>287</v>
      </c>
      <c r="N215" s="102" t="s">
        <v>281</v>
      </c>
      <c r="O215" s="109">
        <v>45566</v>
      </c>
      <c r="P215" s="171" t="s">
        <v>3437</v>
      </c>
      <c r="Q215" s="159" t="s">
        <v>73</v>
      </c>
      <c r="R215" s="102">
        <v>1.33</v>
      </c>
      <c r="S215" s="113"/>
      <c r="T215" s="168">
        <v>0.1</v>
      </c>
      <c r="U215" s="52">
        <f t="shared" si="34"/>
        <v>6290900</v>
      </c>
      <c r="V215" s="52">
        <f t="shared" ref="V215:V247" si="45">+S215*4410000</f>
        <v>0</v>
      </c>
      <c r="W215" s="52">
        <f t="shared" si="43"/>
        <v>234000</v>
      </c>
      <c r="X215" s="52">
        <f t="shared" si="42"/>
        <v>6524900</v>
      </c>
      <c r="Y215" s="52"/>
      <c r="Z215" s="52"/>
      <c r="AA215" s="73">
        <v>5820084063</v>
      </c>
      <c r="AB215" s="114" t="s">
        <v>3257</v>
      </c>
      <c r="AC215" s="45"/>
      <c r="AD215" s="114" t="s">
        <v>1787</v>
      </c>
      <c r="AE215" s="150" t="s">
        <v>3253</v>
      </c>
      <c r="AF215" s="115"/>
      <c r="AG215" s="45"/>
      <c r="AH215" s="172">
        <v>45091</v>
      </c>
      <c r="AI215" s="114" t="s">
        <v>2427</v>
      </c>
      <c r="AJ215" s="114" t="s">
        <v>3254</v>
      </c>
      <c r="AK215" s="116"/>
      <c r="AL215" s="114"/>
      <c r="AM215" s="114"/>
      <c r="AN215" s="114"/>
      <c r="AO215" s="114"/>
      <c r="AP215" s="91" t="s">
        <v>3025</v>
      </c>
      <c r="AQ215" s="109"/>
      <c r="AR215" s="114"/>
      <c r="AS215" s="109"/>
      <c r="AT215" s="109"/>
      <c r="AU215" s="109"/>
      <c r="AV215" s="109"/>
      <c r="AW215" s="77"/>
      <c r="AX215" s="55" t="s">
        <v>1518</v>
      </c>
      <c r="AY215" s="55"/>
      <c r="AZ215" s="55"/>
      <c r="BA215" s="55"/>
      <c r="BB215" s="55"/>
      <c r="BC215" s="55"/>
      <c r="BD215" s="55"/>
      <c r="BE215" s="55"/>
      <c r="BF215" s="55"/>
      <c r="BG215" s="55"/>
      <c r="BH215" s="55"/>
      <c r="BI215" s="55"/>
      <c r="BJ215" s="55"/>
      <c r="BK215" s="55"/>
      <c r="BL215" s="55"/>
      <c r="BM215" s="55"/>
      <c r="BN215" s="55"/>
      <c r="BO215" s="55"/>
      <c r="BP215" s="55"/>
      <c r="BQ215" s="55"/>
      <c r="BR215" s="55"/>
      <c r="BS215" s="55"/>
      <c r="BT215" s="55"/>
      <c r="BU215" s="55"/>
      <c r="BV215" s="55"/>
      <c r="BW215" s="55"/>
      <c r="BX215" s="55"/>
      <c r="BY215" s="55"/>
      <c r="BZ215" s="55"/>
      <c r="CA215" s="55"/>
      <c r="CB215" s="55"/>
      <c r="CC215" s="55"/>
      <c r="CD215" s="55"/>
      <c r="CE215" s="55"/>
      <c r="CF215" s="55"/>
      <c r="CG215" s="55"/>
      <c r="CH215" s="55"/>
      <c r="CI215" s="55"/>
      <c r="CJ215" s="55"/>
      <c r="CK215" s="55"/>
      <c r="CL215" s="55"/>
      <c r="CM215" s="55"/>
      <c r="CN215" s="55"/>
      <c r="CO215" s="55"/>
      <c r="CP215" s="55"/>
      <c r="CQ215" s="55"/>
      <c r="CR215" s="55"/>
      <c r="CS215" s="55"/>
      <c r="CT215" s="55"/>
      <c r="CU215" s="55"/>
      <c r="CV215" s="55"/>
    </row>
    <row r="216" spans="1:100" s="161" customFormat="1" x14ac:dyDescent="0.3">
      <c r="A216" s="43">
        <v>215</v>
      </c>
      <c r="B216" s="43">
        <v>58</v>
      </c>
      <c r="C216" s="102" t="s">
        <v>2542</v>
      </c>
      <c r="D216" s="182">
        <v>9</v>
      </c>
      <c r="E216" s="149" t="s">
        <v>3405</v>
      </c>
      <c r="F216" s="115" t="s">
        <v>3406</v>
      </c>
      <c r="G216" s="172">
        <v>37196</v>
      </c>
      <c r="H216" s="47">
        <f t="shared" si="40"/>
        <v>58015</v>
      </c>
      <c r="I216" s="48">
        <f t="shared" si="41"/>
        <v>58045</v>
      </c>
      <c r="J216" s="48">
        <v>58045</v>
      </c>
      <c r="K216" s="109">
        <v>45809</v>
      </c>
      <c r="L216" s="104" t="s">
        <v>3298</v>
      </c>
      <c r="M216" s="112" t="s">
        <v>287</v>
      </c>
      <c r="N216" s="102" t="s">
        <v>281</v>
      </c>
      <c r="O216" s="109">
        <v>45809</v>
      </c>
      <c r="P216" s="171"/>
      <c r="Q216" s="159" t="s">
        <v>72</v>
      </c>
      <c r="R216" s="102">
        <v>1.41</v>
      </c>
      <c r="S216" s="113"/>
      <c r="T216" s="168">
        <v>0.1</v>
      </c>
      <c r="U216" s="52">
        <f t="shared" si="34"/>
        <v>6669300</v>
      </c>
      <c r="V216" s="52">
        <f>+S216*4410000</f>
        <v>0</v>
      </c>
      <c r="W216" s="52">
        <f>+T216*2340000</f>
        <v>234000</v>
      </c>
      <c r="X216" s="52">
        <f t="shared" si="42"/>
        <v>6903300</v>
      </c>
      <c r="Y216" s="52"/>
      <c r="Z216" s="52"/>
      <c r="AA216" s="73">
        <v>6020340500</v>
      </c>
      <c r="AB216" s="114"/>
      <c r="AC216" s="45"/>
      <c r="AD216" s="114" t="s">
        <v>1787</v>
      </c>
      <c r="AE216" s="150" t="s">
        <v>3407</v>
      </c>
      <c r="AF216" s="115"/>
      <c r="AG216" s="45"/>
      <c r="AH216" s="172"/>
      <c r="AI216" s="114"/>
      <c r="AJ216" s="114" t="s">
        <v>3408</v>
      </c>
      <c r="AK216" s="116"/>
      <c r="AL216" s="114"/>
      <c r="AM216" s="114" t="s">
        <v>3409</v>
      </c>
      <c r="AN216" s="114"/>
      <c r="AO216" s="114"/>
      <c r="AP216" s="91"/>
      <c r="AQ216" s="109"/>
      <c r="AR216" s="114"/>
      <c r="AS216" s="109">
        <v>45809</v>
      </c>
      <c r="AT216" s="109"/>
      <c r="AU216" s="109"/>
      <c r="AV216" s="109"/>
      <c r="AW216" s="77"/>
      <c r="AX216" s="55" t="s">
        <v>1518</v>
      </c>
      <c r="AY216" s="55"/>
      <c r="AZ216" s="55"/>
      <c r="BA216" s="55"/>
      <c r="BB216" s="55"/>
      <c r="BC216" s="55"/>
      <c r="BD216" s="55"/>
      <c r="BE216" s="55"/>
      <c r="BF216" s="55"/>
      <c r="BG216" s="55"/>
      <c r="BH216" s="55"/>
      <c r="BI216" s="55"/>
      <c r="BJ216" s="55"/>
      <c r="BK216" s="55"/>
      <c r="BL216" s="55"/>
      <c r="BM216" s="55"/>
      <c r="BN216" s="55"/>
      <c r="BO216" s="55"/>
      <c r="BP216" s="55"/>
      <c r="BQ216" s="55"/>
      <c r="BR216" s="55"/>
      <c r="BS216" s="55"/>
      <c r="BT216" s="55"/>
      <c r="BU216" s="55"/>
      <c r="BV216" s="55"/>
      <c r="BW216" s="55"/>
      <c r="BX216" s="55"/>
      <c r="BY216" s="55"/>
      <c r="BZ216" s="55"/>
      <c r="CA216" s="55"/>
      <c r="CB216" s="55"/>
      <c r="CC216" s="55"/>
      <c r="CD216" s="55"/>
      <c r="CE216" s="55"/>
      <c r="CF216" s="55"/>
      <c r="CG216" s="55"/>
      <c r="CH216" s="55"/>
      <c r="CI216" s="55"/>
      <c r="CJ216" s="55"/>
      <c r="CK216" s="55"/>
      <c r="CL216" s="55"/>
      <c r="CM216" s="55"/>
      <c r="CN216" s="55"/>
      <c r="CO216" s="55"/>
      <c r="CP216" s="55"/>
      <c r="CQ216" s="55"/>
      <c r="CR216" s="55"/>
      <c r="CS216" s="55"/>
      <c r="CT216" s="55"/>
      <c r="CU216" s="55"/>
      <c r="CV216" s="55"/>
    </row>
    <row r="217" spans="1:100" x14ac:dyDescent="0.3">
      <c r="A217" s="43">
        <v>216</v>
      </c>
      <c r="B217" s="43">
        <v>59</v>
      </c>
      <c r="C217" s="102" t="s">
        <v>2542</v>
      </c>
      <c r="D217" s="148">
        <v>10</v>
      </c>
      <c r="E217" s="186" t="s">
        <v>3450</v>
      </c>
      <c r="F217" s="115" t="s">
        <v>3098</v>
      </c>
      <c r="G217" s="172">
        <v>38376</v>
      </c>
      <c r="H217" s="47">
        <f>+DATE(YEAR(G217)+57,MONTH(G217),DAY(G217))</f>
        <v>59195</v>
      </c>
      <c r="I217" s="48">
        <f>+EOMONTH(H217,0)+1</f>
        <v>59203</v>
      </c>
      <c r="J217" s="48">
        <v>58382</v>
      </c>
      <c r="K217" s="109">
        <v>45261</v>
      </c>
      <c r="L217" s="104" t="s">
        <v>3298</v>
      </c>
      <c r="M217" s="112" t="s">
        <v>287</v>
      </c>
      <c r="N217" s="102" t="s">
        <v>281</v>
      </c>
      <c r="O217" s="109">
        <v>45261</v>
      </c>
      <c r="P217" s="171"/>
      <c r="Q217" s="159" t="s">
        <v>72</v>
      </c>
      <c r="R217" s="102">
        <v>1.41</v>
      </c>
      <c r="S217" s="113"/>
      <c r="T217" s="114">
        <v>0.1</v>
      </c>
      <c r="U217" s="52">
        <f t="shared" si="34"/>
        <v>6669300</v>
      </c>
      <c r="V217" s="52">
        <f>+S217*4410000</f>
        <v>0</v>
      </c>
      <c r="W217" s="52">
        <f>+T217*2340000</f>
        <v>234000</v>
      </c>
      <c r="X217" s="52">
        <f>+U217+V217+W217</f>
        <v>6903300</v>
      </c>
      <c r="Y217" s="52" t="e">
        <f>+VLOOKUP(E217,[2]Sheet1!$B$11:$J$400,9,0)</f>
        <v>#N/A</v>
      </c>
      <c r="Z217" s="52"/>
      <c r="AA217" s="53" t="s">
        <v>3226</v>
      </c>
      <c r="AB217" s="114"/>
      <c r="AC217" s="45" t="e">
        <f>+VLOOKUP(E217,[3]Sheet1!$B$11:$I$388,8,0)</f>
        <v>#N/A</v>
      </c>
      <c r="AD217" s="114" t="s">
        <v>1787</v>
      </c>
      <c r="AE217" s="123" t="s">
        <v>3099</v>
      </c>
      <c r="AF217" s="115"/>
      <c r="AG217" s="45"/>
      <c r="AH217" s="172" t="s">
        <v>3040</v>
      </c>
      <c r="AI217" s="114" t="s">
        <v>2427</v>
      </c>
      <c r="AJ217" s="114" t="s">
        <v>3100</v>
      </c>
      <c r="AK217" s="116" t="s">
        <v>3101</v>
      </c>
      <c r="AL217" s="114"/>
      <c r="AM217" s="114"/>
      <c r="AN217" s="114"/>
      <c r="AO217" s="114"/>
      <c r="AP217" s="114" t="s">
        <v>2630</v>
      </c>
      <c r="AQ217" s="109">
        <v>45261</v>
      </c>
      <c r="AR217" s="114"/>
      <c r="AS217" s="109">
        <v>45292</v>
      </c>
      <c r="AT217" s="109"/>
      <c r="AU217" s="109"/>
      <c r="AV217" s="109">
        <v>46023</v>
      </c>
      <c r="AW217" s="77" t="s">
        <v>3102</v>
      </c>
      <c r="AX217" s="55" t="s">
        <v>1518</v>
      </c>
    </row>
    <row r="218" spans="1:100" x14ac:dyDescent="0.3">
      <c r="A218" s="43">
        <v>217</v>
      </c>
      <c r="B218" s="43">
        <v>60</v>
      </c>
      <c r="C218" s="102" t="s">
        <v>2542</v>
      </c>
      <c r="D218" s="182">
        <v>11</v>
      </c>
      <c r="E218" s="186" t="s">
        <v>3451</v>
      </c>
      <c r="F218" s="115" t="s">
        <v>3135</v>
      </c>
      <c r="G218" s="172">
        <v>37391</v>
      </c>
      <c r="H218" s="47">
        <f>+DATE(YEAR(G218)+57,MONTH(G218),DAY(G218))</f>
        <v>58210</v>
      </c>
      <c r="I218" s="48">
        <f>+EOMONTH(H218,0)+1</f>
        <v>58227</v>
      </c>
      <c r="J218" s="48">
        <v>58167</v>
      </c>
      <c r="K218" s="109">
        <v>45383</v>
      </c>
      <c r="L218" s="104" t="s">
        <v>3298</v>
      </c>
      <c r="M218" s="112" t="s">
        <v>287</v>
      </c>
      <c r="N218" s="102" t="s">
        <v>281</v>
      </c>
      <c r="O218" s="109">
        <v>45383</v>
      </c>
      <c r="P218" s="171"/>
      <c r="Q218" s="159" t="s">
        <v>72</v>
      </c>
      <c r="R218" s="102">
        <v>1.41</v>
      </c>
      <c r="S218" s="113"/>
      <c r="T218" s="114">
        <v>0.1</v>
      </c>
      <c r="U218" s="52">
        <f t="shared" si="34"/>
        <v>6669300</v>
      </c>
      <c r="V218" s="52">
        <f>+S218*4410000</f>
        <v>0</v>
      </c>
      <c r="W218" s="52">
        <f>+T218*2340000</f>
        <v>234000</v>
      </c>
      <c r="X218" s="52">
        <f>+U218+V218+W218</f>
        <v>6903300</v>
      </c>
      <c r="Y218" s="52" t="e">
        <f>+VLOOKUP(E218,[2]Sheet1!$B$11:$J$400,9,0)</f>
        <v>#N/A</v>
      </c>
      <c r="Z218" s="52"/>
      <c r="AA218" s="53" t="s">
        <v>3231</v>
      </c>
      <c r="AB218" s="114"/>
      <c r="AC218" s="45" t="e">
        <f>+VLOOKUP(E218,[3]Sheet1!$B$11:$I$388,8,0)</f>
        <v>#N/A</v>
      </c>
      <c r="AD218" s="114" t="s">
        <v>1787</v>
      </c>
      <c r="AE218" s="123" t="s">
        <v>3136</v>
      </c>
      <c r="AF218" s="115"/>
      <c r="AG218" s="45"/>
      <c r="AH218" s="172" t="s">
        <v>3137</v>
      </c>
      <c r="AI218" s="114" t="s">
        <v>2427</v>
      </c>
      <c r="AJ218" s="114" t="s">
        <v>3138</v>
      </c>
      <c r="AK218" s="114" t="s">
        <v>2641</v>
      </c>
      <c r="AL218" s="114"/>
      <c r="AM218" s="114"/>
      <c r="AN218" s="114"/>
      <c r="AO218" s="114"/>
      <c r="AP218" s="123" t="s">
        <v>3025</v>
      </c>
      <c r="AQ218" s="109">
        <v>45383</v>
      </c>
      <c r="AR218" s="114"/>
      <c r="AS218" s="109"/>
      <c r="AT218" s="109"/>
      <c r="AU218" s="109"/>
      <c r="AV218" s="109"/>
      <c r="AW218" s="77" t="s">
        <v>3139</v>
      </c>
      <c r="AX218" s="55" t="s">
        <v>1518</v>
      </c>
    </row>
    <row r="219" spans="1:100" s="161" customFormat="1" x14ac:dyDescent="0.3">
      <c r="A219" s="43">
        <v>218</v>
      </c>
      <c r="B219" s="43">
        <v>61</v>
      </c>
      <c r="C219" s="102" t="s">
        <v>2542</v>
      </c>
      <c r="D219" s="148">
        <v>12</v>
      </c>
      <c r="E219" s="163" t="s">
        <v>3052</v>
      </c>
      <c r="F219" s="115" t="s">
        <v>3053</v>
      </c>
      <c r="G219" s="172">
        <v>36950</v>
      </c>
      <c r="H219" s="47">
        <f>+DATE(YEAR(G219)+57,MONTH(G219),DAY(G219))</f>
        <v>57769</v>
      </c>
      <c r="I219" s="48">
        <f>+EOMONTH(H219,0)+1</f>
        <v>57770</v>
      </c>
      <c r="J219" s="48">
        <v>57770</v>
      </c>
      <c r="K219" s="109">
        <v>45078</v>
      </c>
      <c r="L219" s="104" t="s">
        <v>3298</v>
      </c>
      <c r="M219" s="112" t="s">
        <v>287</v>
      </c>
      <c r="N219" s="102" t="s">
        <v>281</v>
      </c>
      <c r="O219" s="109">
        <v>45078</v>
      </c>
      <c r="P219" s="171"/>
      <c r="Q219" s="159" t="s">
        <v>72</v>
      </c>
      <c r="R219" s="102">
        <v>1.41</v>
      </c>
      <c r="S219" s="113"/>
      <c r="T219" s="114">
        <v>0.1</v>
      </c>
      <c r="U219" s="52">
        <f t="shared" si="34"/>
        <v>6669300</v>
      </c>
      <c r="V219" s="52">
        <f>+S219*4410000</f>
        <v>0</v>
      </c>
      <c r="W219" s="52">
        <f>+T219*2340000</f>
        <v>234000</v>
      </c>
      <c r="X219" s="52">
        <f>+U219+V219+W219</f>
        <v>6903300</v>
      </c>
      <c r="Y219" s="52">
        <f>+VLOOKUP(E219,[2]Sheet1!$B$11:$J$400,9,0)</f>
        <v>6225600</v>
      </c>
      <c r="Z219" s="52"/>
      <c r="AA219" s="53" t="s">
        <v>3228</v>
      </c>
      <c r="AB219" s="114"/>
      <c r="AC219" s="45" t="str">
        <f>+VLOOKUP(E219,[3]Sheet1!$B$11:$I$388,8,0)</f>
        <v>60 - 152</v>
      </c>
      <c r="AD219" s="114" t="s">
        <v>1787</v>
      </c>
      <c r="AE219" s="123" t="s">
        <v>3054</v>
      </c>
      <c r="AF219" s="115"/>
      <c r="AG219" s="45"/>
      <c r="AH219" s="172" t="s">
        <v>3040</v>
      </c>
      <c r="AI219" s="114" t="s">
        <v>2427</v>
      </c>
      <c r="AJ219" s="114" t="s">
        <v>3055</v>
      </c>
      <c r="AK219" s="116"/>
      <c r="AL219" s="114"/>
      <c r="AM219" s="114"/>
      <c r="AN219" s="114"/>
      <c r="AO219" s="114"/>
      <c r="AP219" s="91" t="s">
        <v>3025</v>
      </c>
      <c r="AQ219" s="109">
        <v>45078</v>
      </c>
      <c r="AR219" s="114"/>
      <c r="AS219" s="109">
        <v>45108</v>
      </c>
      <c r="AT219" s="109"/>
      <c r="AU219" s="109"/>
      <c r="AV219" s="109">
        <v>45474</v>
      </c>
      <c r="AW219" s="77" t="s">
        <v>3060</v>
      </c>
      <c r="AX219" s="55" t="s">
        <v>1518</v>
      </c>
      <c r="AY219" s="55" t="s">
        <v>3246</v>
      </c>
      <c r="AZ219" s="55"/>
      <c r="BA219" s="55"/>
      <c r="BB219" s="55"/>
      <c r="BC219" s="55"/>
      <c r="BD219" s="55"/>
      <c r="BE219" s="55"/>
      <c r="BF219" s="55"/>
      <c r="BG219" s="55"/>
      <c r="BH219" s="55"/>
      <c r="BI219" s="55"/>
      <c r="BJ219" s="55"/>
      <c r="BK219" s="55"/>
      <c r="BL219" s="55"/>
      <c r="BM219" s="55"/>
      <c r="BN219" s="55"/>
      <c r="BO219" s="55"/>
      <c r="BP219" s="55"/>
      <c r="BQ219" s="55"/>
      <c r="BR219" s="55"/>
      <c r="BS219" s="55"/>
      <c r="BT219" s="55"/>
      <c r="BU219" s="55"/>
      <c r="BV219" s="55"/>
      <c r="BW219" s="55"/>
      <c r="BX219" s="55"/>
      <c r="BY219" s="55"/>
      <c r="BZ219" s="55"/>
      <c r="CA219" s="55"/>
      <c r="CB219" s="55"/>
      <c r="CC219" s="55"/>
      <c r="CD219" s="55"/>
      <c r="CE219" s="55"/>
      <c r="CF219" s="55"/>
      <c r="CG219" s="55"/>
      <c r="CH219" s="55"/>
      <c r="CI219" s="55"/>
      <c r="CJ219" s="55"/>
      <c r="CK219" s="55"/>
      <c r="CL219" s="55"/>
      <c r="CM219" s="55"/>
      <c r="CN219" s="55"/>
      <c r="CO219" s="55"/>
      <c r="CP219" s="55"/>
      <c r="CQ219" s="55"/>
      <c r="CR219" s="55"/>
      <c r="CS219" s="55"/>
      <c r="CT219" s="55"/>
      <c r="CU219" s="55"/>
      <c r="CV219" s="55"/>
    </row>
    <row r="220" spans="1:100" s="161" customFormat="1" x14ac:dyDescent="0.3">
      <c r="A220" s="43">
        <v>219</v>
      </c>
      <c r="B220" s="43">
        <v>62</v>
      </c>
      <c r="C220" s="102" t="s">
        <v>2542</v>
      </c>
      <c r="D220" s="155">
        <v>1</v>
      </c>
      <c r="E220" s="149" t="s">
        <v>2153</v>
      </c>
      <c r="F220" s="115" t="s">
        <v>3058</v>
      </c>
      <c r="G220" s="172">
        <v>27576</v>
      </c>
      <c r="H220" s="47">
        <v>48396</v>
      </c>
      <c r="I220" s="48">
        <v>48427</v>
      </c>
      <c r="J220" s="48">
        <v>48427</v>
      </c>
      <c r="K220" s="109">
        <v>34243</v>
      </c>
      <c r="L220" s="104" t="s">
        <v>722</v>
      </c>
      <c r="M220" s="112" t="s">
        <v>287</v>
      </c>
      <c r="N220" s="102" t="s">
        <v>281</v>
      </c>
      <c r="O220" s="109">
        <v>42309</v>
      </c>
      <c r="P220" s="171" t="s">
        <v>3238</v>
      </c>
      <c r="Q220" s="159" t="s">
        <v>74</v>
      </c>
      <c r="R220" s="102">
        <v>1.68</v>
      </c>
      <c r="S220" s="113"/>
      <c r="T220" s="114">
        <v>0.2</v>
      </c>
      <c r="U220" s="52">
        <f t="shared" si="34"/>
        <v>7946400</v>
      </c>
      <c r="V220" s="52">
        <f t="shared" si="45"/>
        <v>0</v>
      </c>
      <c r="W220" s="52">
        <f t="shared" si="43"/>
        <v>468000</v>
      </c>
      <c r="X220" s="134">
        <f t="shared" si="42"/>
        <v>8414400</v>
      </c>
      <c r="Y220" s="52">
        <v>6752800</v>
      </c>
      <c r="Z220" s="52"/>
      <c r="AA220" s="53" t="s">
        <v>3214</v>
      </c>
      <c r="AB220" s="114" t="s">
        <v>605</v>
      </c>
      <c r="AC220" s="45" t="e">
        <v>#N/A</v>
      </c>
      <c r="AD220" s="114" t="s">
        <v>1787</v>
      </c>
      <c r="AE220" s="150" t="s">
        <v>3081</v>
      </c>
      <c r="AF220" s="115" t="s">
        <v>534</v>
      </c>
      <c r="AG220" s="45">
        <v>261348046</v>
      </c>
      <c r="AH220" s="172" t="s">
        <v>535</v>
      </c>
      <c r="AI220" s="114" t="s">
        <v>515</v>
      </c>
      <c r="AJ220" s="114" t="s">
        <v>536</v>
      </c>
      <c r="AK220" s="116" t="s">
        <v>1846</v>
      </c>
      <c r="AL220" s="114"/>
      <c r="AM220" s="114"/>
      <c r="AN220" s="114"/>
      <c r="AO220" s="114" t="s">
        <v>504</v>
      </c>
      <c r="AP220" s="91"/>
      <c r="AQ220" s="109"/>
      <c r="AR220" s="114"/>
      <c r="AS220" s="109"/>
      <c r="AT220" s="109"/>
      <c r="AU220" s="109"/>
      <c r="AV220" s="109"/>
      <c r="AW220" s="77" t="s">
        <v>2288</v>
      </c>
      <c r="AX220" s="55" t="s">
        <v>1518</v>
      </c>
      <c r="AY220" s="55"/>
      <c r="AZ220" s="55"/>
      <c r="BA220" s="55"/>
      <c r="BB220" s="55"/>
      <c r="BC220" s="55"/>
      <c r="BD220" s="55"/>
      <c r="BE220" s="55"/>
      <c r="BF220" s="55"/>
      <c r="BG220" s="55"/>
      <c r="BH220" s="55"/>
      <c r="BI220" s="55"/>
      <c r="BJ220" s="55"/>
      <c r="BK220" s="55"/>
      <c r="BL220" s="55"/>
      <c r="BM220" s="55"/>
      <c r="BN220" s="55"/>
      <c r="BO220" s="55"/>
      <c r="BP220" s="55"/>
      <c r="BQ220" s="55"/>
      <c r="BR220" s="55"/>
      <c r="BS220" s="55"/>
      <c r="BT220" s="55"/>
      <c r="BU220" s="55"/>
      <c r="BV220" s="55"/>
      <c r="BW220" s="55"/>
      <c r="BX220" s="55"/>
      <c r="BY220" s="55"/>
      <c r="BZ220" s="55"/>
      <c r="CA220" s="55"/>
      <c r="CB220" s="55"/>
      <c r="CC220" s="55"/>
      <c r="CD220" s="55"/>
      <c r="CE220" s="55"/>
      <c r="CF220" s="55"/>
      <c r="CG220" s="55"/>
      <c r="CH220" s="55"/>
      <c r="CI220" s="55"/>
      <c r="CJ220" s="55"/>
      <c r="CK220" s="55"/>
      <c r="CL220" s="55"/>
      <c r="CM220" s="55"/>
      <c r="CN220" s="55"/>
      <c r="CO220" s="55"/>
      <c r="CP220" s="55"/>
      <c r="CQ220" s="55"/>
      <c r="CR220" s="55"/>
      <c r="CS220" s="55"/>
      <c r="CT220" s="55"/>
      <c r="CU220" s="55"/>
      <c r="CV220" s="55"/>
    </row>
    <row r="221" spans="1:100" x14ac:dyDescent="0.3">
      <c r="A221" s="43">
        <v>220</v>
      </c>
      <c r="B221" s="43">
        <v>63</v>
      </c>
      <c r="C221" s="102" t="s">
        <v>2542</v>
      </c>
      <c r="D221" s="155">
        <v>2</v>
      </c>
      <c r="E221" s="157" t="s">
        <v>196</v>
      </c>
      <c r="F221" s="115" t="s">
        <v>405</v>
      </c>
      <c r="G221" s="109">
        <v>27748</v>
      </c>
      <c r="H221" s="47">
        <f t="shared" ref="H221:H233" si="46">+DATE(YEAR(G221)+57,MONTH(G221),DAY(G221))</f>
        <v>48568</v>
      </c>
      <c r="I221" s="48">
        <f t="shared" ref="I221:I250" si="47">+EOMONTH(H221,0)+1</f>
        <v>48580</v>
      </c>
      <c r="J221" s="48">
        <v>48580</v>
      </c>
      <c r="K221" s="109">
        <v>36220</v>
      </c>
      <c r="L221" s="104" t="s">
        <v>722</v>
      </c>
      <c r="M221" s="112" t="s">
        <v>287</v>
      </c>
      <c r="N221" s="102" t="s">
        <v>281</v>
      </c>
      <c r="O221" s="109">
        <v>40360</v>
      </c>
      <c r="P221" s="110"/>
      <c r="Q221" s="162" t="s">
        <v>76</v>
      </c>
      <c r="R221" s="102">
        <v>1.58</v>
      </c>
      <c r="S221" s="113"/>
      <c r="T221" s="114">
        <v>0.2</v>
      </c>
      <c r="U221" s="52">
        <f t="shared" si="34"/>
        <v>7473400</v>
      </c>
      <c r="V221" s="52">
        <f t="shared" si="45"/>
        <v>0</v>
      </c>
      <c r="W221" s="52">
        <f t="shared" si="43"/>
        <v>468000</v>
      </c>
      <c r="X221" s="52">
        <f t="shared" si="42"/>
        <v>7941400</v>
      </c>
      <c r="Y221" s="52">
        <f>+VLOOKUP(E221,[2]Sheet1!$B$11:$J$400,9,0)</f>
        <v>7099200</v>
      </c>
      <c r="Z221" s="52"/>
      <c r="AA221" s="53" t="s">
        <v>1676</v>
      </c>
      <c r="AB221" s="114" t="s">
        <v>1220</v>
      </c>
      <c r="AC221" s="45" t="str">
        <f>+VLOOKUP(E221,[3]Sheet1!$B$11:$I$388,8,0)</f>
        <v>60 - 171</v>
      </c>
      <c r="AD221" s="114" t="s">
        <v>1787</v>
      </c>
      <c r="AE221" s="123" t="s">
        <v>3083</v>
      </c>
      <c r="AF221" s="115">
        <v>261355214</v>
      </c>
      <c r="AG221" s="45">
        <f>+VALUE(AF221:AF603)</f>
        <v>261355214</v>
      </c>
      <c r="AH221" s="114" t="s">
        <v>1224</v>
      </c>
      <c r="AI221" s="114" t="s">
        <v>515</v>
      </c>
      <c r="AJ221" s="114" t="s">
        <v>1222</v>
      </c>
      <c r="AK221" s="116" t="s">
        <v>1225</v>
      </c>
      <c r="AL221" s="114"/>
      <c r="AM221" s="114"/>
      <c r="AN221" s="114"/>
      <c r="AO221" s="114" t="s">
        <v>504</v>
      </c>
      <c r="AP221" s="114"/>
      <c r="AQ221" s="114"/>
      <c r="AR221" s="114"/>
      <c r="AS221" s="114"/>
      <c r="AT221" s="114"/>
      <c r="AU221" s="114"/>
      <c r="AV221" s="114"/>
      <c r="AW221" s="55" t="s">
        <v>2278</v>
      </c>
      <c r="AX221" s="55" t="s">
        <v>1518</v>
      </c>
    </row>
    <row r="222" spans="1:100" s="161" customFormat="1" x14ac:dyDescent="0.3">
      <c r="A222" s="43">
        <v>221</v>
      </c>
      <c r="B222" s="43">
        <v>64</v>
      </c>
      <c r="C222" s="102" t="s">
        <v>2542</v>
      </c>
      <c r="D222" s="155">
        <v>3</v>
      </c>
      <c r="E222" s="157" t="s">
        <v>197</v>
      </c>
      <c r="F222" s="115" t="s">
        <v>406</v>
      </c>
      <c r="G222" s="109">
        <v>27381</v>
      </c>
      <c r="H222" s="47">
        <f t="shared" si="46"/>
        <v>48200</v>
      </c>
      <c r="I222" s="48">
        <f t="shared" si="47"/>
        <v>48214</v>
      </c>
      <c r="J222" s="48">
        <v>48214</v>
      </c>
      <c r="K222" s="109">
        <v>35827</v>
      </c>
      <c r="L222" s="104" t="s">
        <v>722</v>
      </c>
      <c r="M222" s="112" t="s">
        <v>287</v>
      </c>
      <c r="N222" s="102" t="s">
        <v>281</v>
      </c>
      <c r="O222" s="109">
        <v>41091</v>
      </c>
      <c r="P222" s="110" t="s">
        <v>3238</v>
      </c>
      <c r="Q222" s="162" t="s">
        <v>76</v>
      </c>
      <c r="R222" s="102">
        <v>1.58</v>
      </c>
      <c r="S222" s="113"/>
      <c r="T222" s="114">
        <v>0.2</v>
      </c>
      <c r="U222" s="52">
        <f t="shared" si="34"/>
        <v>7473400</v>
      </c>
      <c r="V222" s="52">
        <f t="shared" si="45"/>
        <v>0</v>
      </c>
      <c r="W222" s="52">
        <f t="shared" si="43"/>
        <v>468000</v>
      </c>
      <c r="X222" s="52">
        <f t="shared" si="42"/>
        <v>7941400</v>
      </c>
      <c r="Y222" s="52">
        <f>+VLOOKUP(E222,[2]Sheet1!$B$11:$J$400,9,0)</f>
        <v>6558400</v>
      </c>
      <c r="Z222" s="52"/>
      <c r="AA222" s="53" t="s">
        <v>1677</v>
      </c>
      <c r="AB222" s="114" t="s">
        <v>1226</v>
      </c>
      <c r="AC222" s="45" t="str">
        <f>+VLOOKUP(E222,[3]Sheet1!$B$11:$I$388,8,0)</f>
        <v>60 - 171</v>
      </c>
      <c r="AD222" s="114" t="s">
        <v>1787</v>
      </c>
      <c r="AE222" s="114" t="s">
        <v>2872</v>
      </c>
      <c r="AF222" s="115">
        <v>261355645</v>
      </c>
      <c r="AG222" s="45">
        <f>+VALUE(AF222:AF604)</f>
        <v>261355645</v>
      </c>
      <c r="AH222" s="123" t="s">
        <v>529</v>
      </c>
      <c r="AI222" s="114" t="s">
        <v>515</v>
      </c>
      <c r="AJ222" s="114" t="s">
        <v>1227</v>
      </c>
      <c r="AK222" s="116" t="s">
        <v>1228</v>
      </c>
      <c r="AL222" s="114"/>
      <c r="AM222" s="114"/>
      <c r="AN222" s="114"/>
      <c r="AO222" s="114" t="s">
        <v>504</v>
      </c>
      <c r="AP222" s="114"/>
      <c r="AQ222" s="114"/>
      <c r="AR222" s="114"/>
      <c r="AS222" s="114"/>
      <c r="AT222" s="114"/>
      <c r="AU222" s="114"/>
      <c r="AV222" s="114"/>
      <c r="AW222" s="55" t="s">
        <v>2279</v>
      </c>
      <c r="AX222" s="55" t="s">
        <v>1518</v>
      </c>
      <c r="AY222" s="55"/>
      <c r="AZ222" s="55"/>
      <c r="BA222" s="55"/>
      <c r="BB222" s="55"/>
      <c r="BC222" s="55"/>
      <c r="BD222" s="55"/>
      <c r="BE222" s="55"/>
      <c r="BF222" s="55"/>
      <c r="BG222" s="55"/>
      <c r="BH222" s="55"/>
      <c r="BI222" s="55"/>
    </row>
    <row r="223" spans="1:100" x14ac:dyDescent="0.3">
      <c r="A223" s="43">
        <v>222</v>
      </c>
      <c r="B223" s="43">
        <v>65</v>
      </c>
      <c r="C223" s="102" t="s">
        <v>2542</v>
      </c>
      <c r="D223" s="155">
        <v>4</v>
      </c>
      <c r="E223" s="157" t="s">
        <v>204</v>
      </c>
      <c r="F223" s="115" t="s">
        <v>550</v>
      </c>
      <c r="G223" s="109">
        <v>33303</v>
      </c>
      <c r="H223" s="47">
        <f t="shared" si="46"/>
        <v>54123</v>
      </c>
      <c r="I223" s="48">
        <f t="shared" si="47"/>
        <v>54149</v>
      </c>
      <c r="J223" s="48">
        <v>54149</v>
      </c>
      <c r="K223" s="109">
        <v>43160</v>
      </c>
      <c r="L223" s="104" t="s">
        <v>722</v>
      </c>
      <c r="M223" s="112" t="s">
        <v>287</v>
      </c>
      <c r="N223" s="102" t="s">
        <v>281</v>
      </c>
      <c r="O223" s="109">
        <v>43160</v>
      </c>
      <c r="P223" s="110"/>
      <c r="Q223" s="159" t="s">
        <v>71</v>
      </c>
      <c r="R223" s="102">
        <v>1.49</v>
      </c>
      <c r="S223" s="113"/>
      <c r="T223" s="114">
        <v>0.2</v>
      </c>
      <c r="U223" s="52">
        <f t="shared" si="34"/>
        <v>7047700</v>
      </c>
      <c r="V223" s="52">
        <f t="shared" si="45"/>
        <v>0</v>
      </c>
      <c r="W223" s="52">
        <f t="shared" si="43"/>
        <v>468000</v>
      </c>
      <c r="X223" s="52">
        <f t="shared" si="42"/>
        <v>7515700</v>
      </c>
      <c r="Y223" s="52">
        <f>+VLOOKUP(E223,[2]Sheet1!$B$11:$J$400,9,0)</f>
        <v>6558400</v>
      </c>
      <c r="Z223" s="52"/>
      <c r="AA223" s="53" t="s">
        <v>1684</v>
      </c>
      <c r="AB223" s="114" t="e">
        <v>#N/A</v>
      </c>
      <c r="AC223" s="45" t="str">
        <f>+VLOOKUP(E223,[3]Sheet1!$B$11:$I$388,8,0)</f>
        <v>60 - 171</v>
      </c>
      <c r="AD223" s="114" t="s">
        <v>1787</v>
      </c>
      <c r="AE223" s="114" t="s">
        <v>2874</v>
      </c>
      <c r="AF223" s="115" t="s">
        <v>1855</v>
      </c>
      <c r="AG223" s="45">
        <f>+VALUE(AF223:AF607)</f>
        <v>261203500</v>
      </c>
      <c r="AH223" s="172" t="s">
        <v>1856</v>
      </c>
      <c r="AI223" s="114" t="s">
        <v>515</v>
      </c>
      <c r="AJ223" s="114" t="s">
        <v>1222</v>
      </c>
      <c r="AK223" s="116" t="s">
        <v>1857</v>
      </c>
      <c r="AL223" s="114"/>
      <c r="AM223" s="114"/>
      <c r="AN223" s="114"/>
      <c r="AO223" s="114" t="s">
        <v>563</v>
      </c>
      <c r="AP223" s="114"/>
      <c r="AQ223" s="114"/>
      <c r="AR223" s="114"/>
      <c r="AS223" s="114"/>
      <c r="AT223" s="114"/>
      <c r="AU223" s="114"/>
      <c r="AV223" s="114"/>
      <c r="AW223" s="55" t="s">
        <v>2282</v>
      </c>
      <c r="AX223" s="55" t="s">
        <v>1518</v>
      </c>
    </row>
    <row r="224" spans="1:100" x14ac:dyDescent="0.3">
      <c r="A224" s="43">
        <v>223</v>
      </c>
      <c r="B224" s="43">
        <v>66</v>
      </c>
      <c r="C224" s="102" t="s">
        <v>2542</v>
      </c>
      <c r="D224" s="155">
        <v>5</v>
      </c>
      <c r="E224" s="157" t="s">
        <v>2120</v>
      </c>
      <c r="F224" s="115" t="s">
        <v>2121</v>
      </c>
      <c r="G224" s="172">
        <v>33568</v>
      </c>
      <c r="H224" s="47">
        <f t="shared" si="46"/>
        <v>54388</v>
      </c>
      <c r="I224" s="48">
        <f t="shared" si="47"/>
        <v>54393</v>
      </c>
      <c r="J224" s="48">
        <v>54393</v>
      </c>
      <c r="K224" s="109">
        <v>44228</v>
      </c>
      <c r="L224" s="104" t="s">
        <v>722</v>
      </c>
      <c r="M224" s="112" t="s">
        <v>287</v>
      </c>
      <c r="N224" s="102" t="s">
        <v>285</v>
      </c>
      <c r="O224" s="110" t="s">
        <v>3238</v>
      </c>
      <c r="P224" s="110"/>
      <c r="Q224" s="159" t="s">
        <v>71</v>
      </c>
      <c r="R224" s="102">
        <v>1.49</v>
      </c>
      <c r="S224" s="113">
        <v>0.04</v>
      </c>
      <c r="T224" s="114">
        <v>0.2</v>
      </c>
      <c r="U224" s="52">
        <f t="shared" ref="U224:U288" si="48">+R224*4730000</f>
        <v>7047700</v>
      </c>
      <c r="V224" s="52">
        <f t="shared" si="45"/>
        <v>176400</v>
      </c>
      <c r="W224" s="52">
        <f t="shared" si="43"/>
        <v>468000</v>
      </c>
      <c r="X224" s="52">
        <f t="shared" si="42"/>
        <v>7692100</v>
      </c>
      <c r="Y224" s="52">
        <f>+VLOOKUP(E224,[2]Sheet1!$B$11:$J$400,9,0)</f>
        <v>6225600</v>
      </c>
      <c r="Z224" s="52"/>
      <c r="AA224" s="53" t="s">
        <v>2122</v>
      </c>
      <c r="AB224" s="114"/>
      <c r="AC224" s="45" t="str">
        <f>+VLOOKUP(E224,[3]Sheet1!$B$11:$I$388,8,0)</f>
        <v>60 - 171</v>
      </c>
      <c r="AD224" s="114" t="s">
        <v>1787</v>
      </c>
      <c r="AE224" s="114" t="s">
        <v>2877</v>
      </c>
      <c r="AF224" s="115" t="s">
        <v>2123</v>
      </c>
      <c r="AG224" s="45">
        <f>+VALUE(AF224:AF612)</f>
        <v>261203682</v>
      </c>
      <c r="AH224" s="172" t="s">
        <v>2124</v>
      </c>
      <c r="AI224" s="114" t="s">
        <v>515</v>
      </c>
      <c r="AJ224" s="114" t="s">
        <v>2125</v>
      </c>
      <c r="AK224" s="114" t="s">
        <v>2126</v>
      </c>
      <c r="AL224" s="114"/>
      <c r="AM224" s="114"/>
      <c r="AN224" s="114" t="s">
        <v>1521</v>
      </c>
      <c r="AO224" s="114"/>
      <c r="AP224" s="114"/>
      <c r="AQ224" s="114"/>
      <c r="AR224" s="114"/>
      <c r="AS224" s="114"/>
      <c r="AT224" s="109">
        <v>44228</v>
      </c>
      <c r="AU224" s="114"/>
      <c r="AV224" s="109">
        <v>44958</v>
      </c>
      <c r="AW224" s="55" t="s">
        <v>2286</v>
      </c>
      <c r="AX224" s="55" t="s">
        <v>1518</v>
      </c>
    </row>
    <row r="225" spans="1:100" s="161" customFormat="1" x14ac:dyDescent="0.3">
      <c r="A225" s="43">
        <v>224</v>
      </c>
      <c r="B225" s="43">
        <v>67</v>
      </c>
      <c r="C225" s="102" t="s">
        <v>2542</v>
      </c>
      <c r="D225" s="155">
        <v>6</v>
      </c>
      <c r="E225" s="149" t="s">
        <v>2420</v>
      </c>
      <c r="F225" s="115" t="s">
        <v>2421</v>
      </c>
      <c r="G225" s="109">
        <v>33365</v>
      </c>
      <c r="H225" s="47">
        <f t="shared" si="46"/>
        <v>54185</v>
      </c>
      <c r="I225" s="48">
        <f t="shared" si="47"/>
        <v>54210</v>
      </c>
      <c r="J225" s="48">
        <v>54210</v>
      </c>
      <c r="K225" s="109">
        <v>44378</v>
      </c>
      <c r="L225" s="104" t="s">
        <v>722</v>
      </c>
      <c r="M225" s="112" t="s">
        <v>287</v>
      </c>
      <c r="N225" s="102" t="s">
        <v>281</v>
      </c>
      <c r="O225" s="109">
        <v>45839</v>
      </c>
      <c r="P225" s="171"/>
      <c r="Q225" s="159" t="s">
        <v>71</v>
      </c>
      <c r="R225" s="102">
        <v>1.49</v>
      </c>
      <c r="S225" s="113"/>
      <c r="T225" s="114">
        <v>0.2</v>
      </c>
      <c r="U225" s="52">
        <f t="shared" si="48"/>
        <v>7047700</v>
      </c>
      <c r="V225" s="52">
        <f t="shared" si="45"/>
        <v>0</v>
      </c>
      <c r="W225" s="52">
        <f t="shared" si="43"/>
        <v>468000</v>
      </c>
      <c r="X225" s="52">
        <f t="shared" si="42"/>
        <v>7515700</v>
      </c>
      <c r="Y225" s="52">
        <f>+VLOOKUP(E225,[2]Sheet1!$B$11:$J$400,9,0)</f>
        <v>6225600</v>
      </c>
      <c r="Z225" s="52"/>
      <c r="AA225" s="53" t="s">
        <v>2705</v>
      </c>
      <c r="AB225" s="114"/>
      <c r="AC225" s="45" t="str">
        <f>+VLOOKUP(E225,[3]Sheet1!$B$11:$I$388,8,0)</f>
        <v>60 - 040</v>
      </c>
      <c r="AD225" s="114" t="s">
        <v>1787</v>
      </c>
      <c r="AE225" s="114" t="s">
        <v>2878</v>
      </c>
      <c r="AF225" s="115" t="s">
        <v>2878</v>
      </c>
      <c r="AG225" s="45" t="e">
        <f>+VALUE(AF226:AF635)</f>
        <v>#VALUE!</v>
      </c>
      <c r="AH225" s="172">
        <v>44364</v>
      </c>
      <c r="AI225" s="114" t="s">
        <v>2427</v>
      </c>
      <c r="AJ225" s="114" t="s">
        <v>2422</v>
      </c>
      <c r="AK225" s="116">
        <v>23041</v>
      </c>
      <c r="AL225" s="114"/>
      <c r="AM225" s="114"/>
      <c r="AN225" s="114"/>
      <c r="AO225" s="114" t="s">
        <v>564</v>
      </c>
      <c r="AP225" s="114"/>
      <c r="AQ225" s="109">
        <v>44378</v>
      </c>
      <c r="AR225" s="114"/>
      <c r="AS225" s="114"/>
      <c r="AT225" s="109">
        <v>44409</v>
      </c>
      <c r="AU225" s="109"/>
      <c r="AV225" s="109">
        <v>45505</v>
      </c>
      <c r="AW225" s="77" t="s">
        <v>2423</v>
      </c>
      <c r="AX225" s="55" t="s">
        <v>1518</v>
      </c>
      <c r="AY225" s="55"/>
      <c r="AZ225" s="55"/>
      <c r="BA225" s="55"/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5"/>
      <c r="BN225" s="55"/>
      <c r="BO225" s="55"/>
      <c r="BP225" s="55"/>
      <c r="BQ225" s="55"/>
      <c r="BR225" s="55"/>
      <c r="BS225" s="55"/>
      <c r="BT225" s="55"/>
      <c r="BU225" s="55"/>
      <c r="BV225" s="55"/>
      <c r="BW225" s="55"/>
      <c r="BX225" s="55"/>
      <c r="BY225" s="55"/>
      <c r="BZ225" s="55"/>
      <c r="CA225" s="55"/>
      <c r="CB225" s="55"/>
      <c r="CC225" s="55"/>
      <c r="CD225" s="55"/>
      <c r="CE225" s="55"/>
      <c r="CF225" s="55"/>
      <c r="CG225" s="55"/>
      <c r="CH225" s="55"/>
      <c r="CI225" s="55"/>
      <c r="CJ225" s="55"/>
      <c r="CK225" s="55"/>
      <c r="CL225" s="55"/>
      <c r="CM225" s="55"/>
      <c r="CN225" s="55"/>
      <c r="CO225" s="55"/>
      <c r="CP225" s="55"/>
      <c r="CQ225" s="55"/>
      <c r="CR225" s="55"/>
      <c r="CS225" s="55"/>
      <c r="CT225" s="55"/>
      <c r="CU225" s="55"/>
      <c r="CV225" s="55"/>
    </row>
    <row r="226" spans="1:100" x14ac:dyDescent="0.3">
      <c r="A226" s="43">
        <v>225</v>
      </c>
      <c r="B226" s="43">
        <v>68</v>
      </c>
      <c r="C226" s="102" t="s">
        <v>2542</v>
      </c>
      <c r="D226" s="155">
        <v>7</v>
      </c>
      <c r="E226" s="149" t="s">
        <v>3185</v>
      </c>
      <c r="F226" s="115" t="s">
        <v>3186</v>
      </c>
      <c r="G226" s="172">
        <v>37914</v>
      </c>
      <c r="H226" s="47">
        <f t="shared" si="46"/>
        <v>58734</v>
      </c>
      <c r="I226" s="48">
        <f t="shared" si="47"/>
        <v>58746</v>
      </c>
      <c r="J226" s="48">
        <v>55642</v>
      </c>
      <c r="K226" s="109">
        <v>45444</v>
      </c>
      <c r="L226" s="104" t="s">
        <v>722</v>
      </c>
      <c r="M226" s="112" t="s">
        <v>287</v>
      </c>
      <c r="N226" s="102" t="s">
        <v>281</v>
      </c>
      <c r="O226" s="109">
        <v>45444</v>
      </c>
      <c r="P226" s="171"/>
      <c r="Q226" s="159" t="s">
        <v>72</v>
      </c>
      <c r="R226" s="102">
        <v>1.41</v>
      </c>
      <c r="S226" s="113"/>
      <c r="T226" s="114">
        <v>0.2</v>
      </c>
      <c r="U226" s="52">
        <f t="shared" si="48"/>
        <v>6669300</v>
      </c>
      <c r="V226" s="52">
        <f t="shared" si="45"/>
        <v>0</v>
      </c>
      <c r="W226" s="52">
        <f t="shared" si="43"/>
        <v>468000</v>
      </c>
      <c r="X226" s="52">
        <f t="shared" si="42"/>
        <v>7137300</v>
      </c>
      <c r="Y226" s="52">
        <v>0</v>
      </c>
      <c r="Z226" s="52"/>
      <c r="AA226" s="53" t="s">
        <v>3212</v>
      </c>
      <c r="AB226" s="114"/>
      <c r="AC226" s="45"/>
      <c r="AD226" s="114" t="s">
        <v>1787</v>
      </c>
      <c r="AE226" s="123" t="s">
        <v>3187</v>
      </c>
      <c r="AF226" s="115"/>
      <c r="AG226" s="45"/>
      <c r="AH226" s="172" t="s">
        <v>3188</v>
      </c>
      <c r="AI226" s="114" t="s">
        <v>2427</v>
      </c>
      <c r="AJ226" s="114" t="s">
        <v>3189</v>
      </c>
      <c r="AK226" s="114" t="s">
        <v>3190</v>
      </c>
      <c r="AL226" s="114"/>
      <c r="AM226" s="114"/>
      <c r="AN226" s="114" t="s">
        <v>3168</v>
      </c>
      <c r="AO226" s="114"/>
      <c r="AP226" s="123"/>
      <c r="AQ226" s="109">
        <v>45444</v>
      </c>
      <c r="AR226" s="114"/>
      <c r="AS226" s="109">
        <v>45474</v>
      </c>
      <c r="AT226" s="109"/>
      <c r="AU226" s="109"/>
      <c r="AV226" s="109"/>
      <c r="AW226" s="77"/>
      <c r="AX226" s="55" t="s">
        <v>1518</v>
      </c>
    </row>
    <row r="227" spans="1:100" x14ac:dyDescent="0.3">
      <c r="A227" s="43">
        <v>226</v>
      </c>
      <c r="B227" s="43">
        <v>69</v>
      </c>
      <c r="C227" s="102" t="s">
        <v>2542</v>
      </c>
      <c r="D227" s="155">
        <v>8</v>
      </c>
      <c r="E227" s="157" t="s">
        <v>207</v>
      </c>
      <c r="F227" s="115" t="s">
        <v>414</v>
      </c>
      <c r="G227" s="109">
        <v>28538</v>
      </c>
      <c r="H227" s="47">
        <f t="shared" si="46"/>
        <v>49357</v>
      </c>
      <c r="I227" s="48">
        <f t="shared" si="47"/>
        <v>49369</v>
      </c>
      <c r="J227" s="48">
        <v>49369</v>
      </c>
      <c r="K227" s="109">
        <v>36220</v>
      </c>
      <c r="L227" s="104" t="s">
        <v>722</v>
      </c>
      <c r="M227" s="112" t="s">
        <v>287</v>
      </c>
      <c r="N227" s="102" t="s">
        <v>281</v>
      </c>
      <c r="O227" s="109">
        <v>39264</v>
      </c>
      <c r="P227" s="110"/>
      <c r="Q227" s="162" t="s">
        <v>76</v>
      </c>
      <c r="R227" s="102">
        <v>1.58</v>
      </c>
      <c r="S227" s="113"/>
      <c r="T227" s="114">
        <v>0.2</v>
      </c>
      <c r="U227" s="52">
        <f t="shared" si="48"/>
        <v>7473400</v>
      </c>
      <c r="V227" s="52">
        <f t="shared" si="45"/>
        <v>0</v>
      </c>
      <c r="W227" s="52">
        <f t="shared" si="43"/>
        <v>468000</v>
      </c>
      <c r="X227" s="52">
        <f t="shared" si="42"/>
        <v>7941400</v>
      </c>
      <c r="Y227" s="52">
        <f>+VLOOKUP(E227,[2]Sheet1!$B$11:$J$400,9,0)</f>
        <v>6752800</v>
      </c>
      <c r="Z227" s="52"/>
      <c r="AA227" s="53" t="s">
        <v>1688</v>
      </c>
      <c r="AB227" s="114" t="s">
        <v>1246</v>
      </c>
      <c r="AC227" s="45" t="str">
        <f>+VLOOKUP(E227,[3]Sheet1!$B$11:$I$388,8,0)</f>
        <v>60 - 152</v>
      </c>
      <c r="AD227" s="114" t="s">
        <v>1787</v>
      </c>
      <c r="AE227" s="123" t="s">
        <v>3080</v>
      </c>
      <c r="AF227" s="115" t="s">
        <v>2472</v>
      </c>
      <c r="AG227" s="45">
        <f>+VALUE(AF227:AF617)</f>
        <v>261531694</v>
      </c>
      <c r="AH227" s="114" t="s">
        <v>1247</v>
      </c>
      <c r="AI227" s="114" t="s">
        <v>515</v>
      </c>
      <c r="AJ227" s="114" t="s">
        <v>1248</v>
      </c>
      <c r="AK227" s="116" t="s">
        <v>1249</v>
      </c>
      <c r="AL227" s="114"/>
      <c r="AM227" s="114"/>
      <c r="AN227" s="114"/>
      <c r="AO227" s="114" t="s">
        <v>504</v>
      </c>
      <c r="AP227" s="114"/>
      <c r="AQ227" s="114"/>
      <c r="AR227" s="114"/>
      <c r="AS227" s="114"/>
      <c r="AT227" s="114"/>
      <c r="AU227" s="114"/>
      <c r="AV227" s="114"/>
      <c r="AW227" s="55" t="s">
        <v>2290</v>
      </c>
      <c r="AX227" s="55" t="s">
        <v>1518</v>
      </c>
    </row>
    <row r="228" spans="1:100" x14ac:dyDescent="0.3">
      <c r="A228" s="43">
        <v>227</v>
      </c>
      <c r="B228" s="43">
        <v>70</v>
      </c>
      <c r="C228" s="102" t="s">
        <v>2542</v>
      </c>
      <c r="D228" s="155">
        <v>9</v>
      </c>
      <c r="E228" s="157" t="s">
        <v>3043</v>
      </c>
      <c r="F228" s="115" t="s">
        <v>3044</v>
      </c>
      <c r="G228" s="172">
        <v>32967</v>
      </c>
      <c r="H228" s="47">
        <f t="shared" si="46"/>
        <v>53786</v>
      </c>
      <c r="I228" s="48">
        <f t="shared" si="47"/>
        <v>53813</v>
      </c>
      <c r="J228" s="48">
        <v>53813</v>
      </c>
      <c r="K228" s="109">
        <v>45078</v>
      </c>
      <c r="L228" s="104" t="s">
        <v>722</v>
      </c>
      <c r="M228" s="112" t="s">
        <v>287</v>
      </c>
      <c r="N228" s="102" t="s">
        <v>281</v>
      </c>
      <c r="O228" s="109">
        <v>45078</v>
      </c>
      <c r="P228" s="110"/>
      <c r="Q228" s="159" t="s">
        <v>72</v>
      </c>
      <c r="R228" s="102">
        <v>1.41</v>
      </c>
      <c r="S228" s="113"/>
      <c r="T228" s="114">
        <v>0.2</v>
      </c>
      <c r="U228" s="52">
        <f t="shared" si="48"/>
        <v>6669300</v>
      </c>
      <c r="V228" s="52">
        <f t="shared" si="45"/>
        <v>0</v>
      </c>
      <c r="W228" s="52">
        <f t="shared" si="43"/>
        <v>468000</v>
      </c>
      <c r="X228" s="52">
        <f t="shared" si="42"/>
        <v>7137300</v>
      </c>
      <c r="Y228" s="52">
        <f>+VLOOKUP(E228,[2]Sheet1!$B$11:$J$400,9,0)</f>
        <v>6045600</v>
      </c>
      <c r="Z228" s="52"/>
      <c r="AA228" s="53" t="s">
        <v>3224</v>
      </c>
      <c r="AB228" s="114"/>
      <c r="AC228" s="45" t="str">
        <f>+VLOOKUP(E228,[3]Sheet1!$B$11:$I$388,8,0)</f>
        <v>60 - 152</v>
      </c>
      <c r="AD228" s="114" t="s">
        <v>1787</v>
      </c>
      <c r="AE228" s="123" t="s">
        <v>3046</v>
      </c>
      <c r="AF228" s="115"/>
      <c r="AG228" s="56"/>
      <c r="AH228" s="172" t="s">
        <v>3024</v>
      </c>
      <c r="AI228" s="114" t="s">
        <v>2427</v>
      </c>
      <c r="AJ228" s="114" t="s">
        <v>3045</v>
      </c>
      <c r="AK228" s="114" t="s">
        <v>3045</v>
      </c>
      <c r="AL228" s="114"/>
      <c r="AM228" s="114"/>
      <c r="AN228" s="114"/>
      <c r="AO228" s="114" t="s">
        <v>521</v>
      </c>
      <c r="AP228" s="123"/>
      <c r="AQ228" s="109">
        <v>45078</v>
      </c>
      <c r="AR228" s="114"/>
      <c r="AS228" s="109">
        <v>45108</v>
      </c>
      <c r="AT228" s="109"/>
      <c r="AU228" s="114"/>
      <c r="AV228" s="109">
        <v>45474</v>
      </c>
      <c r="AX228" s="55" t="s">
        <v>1518</v>
      </c>
    </row>
    <row r="229" spans="1:100" x14ac:dyDescent="0.3">
      <c r="A229" s="43">
        <v>228</v>
      </c>
      <c r="B229" s="43">
        <v>71</v>
      </c>
      <c r="C229" s="102" t="s">
        <v>2542</v>
      </c>
      <c r="D229" s="155">
        <v>10</v>
      </c>
      <c r="E229" s="157" t="s">
        <v>3373</v>
      </c>
      <c r="F229" s="115" t="s">
        <v>1205</v>
      </c>
      <c r="G229" s="172">
        <v>38246</v>
      </c>
      <c r="H229" s="47">
        <f t="shared" si="46"/>
        <v>59065</v>
      </c>
      <c r="I229" s="48">
        <f t="shared" si="47"/>
        <v>59080</v>
      </c>
      <c r="J229" s="48">
        <v>59080</v>
      </c>
      <c r="K229" s="109">
        <v>45748</v>
      </c>
      <c r="L229" s="104" t="s">
        <v>722</v>
      </c>
      <c r="M229" s="112" t="s">
        <v>287</v>
      </c>
      <c r="N229" s="102" t="s">
        <v>281</v>
      </c>
      <c r="O229" s="109">
        <v>45748</v>
      </c>
      <c r="P229" s="110"/>
      <c r="Q229" s="159" t="s">
        <v>72</v>
      </c>
      <c r="R229" s="102">
        <v>1.41</v>
      </c>
      <c r="S229" s="113"/>
      <c r="T229" s="114">
        <v>0.2</v>
      </c>
      <c r="U229" s="52">
        <f t="shared" si="48"/>
        <v>6669300</v>
      </c>
      <c r="V229" s="52">
        <f t="shared" si="45"/>
        <v>0</v>
      </c>
      <c r="W229" s="52">
        <f t="shared" si="43"/>
        <v>468000</v>
      </c>
      <c r="X229" s="52">
        <f>+U229+V229+W229</f>
        <v>7137300</v>
      </c>
      <c r="Y229" s="52"/>
      <c r="Z229" s="52"/>
      <c r="AA229" s="194">
        <v>6021148103</v>
      </c>
      <c r="AB229" s="114" t="s">
        <v>3399</v>
      </c>
      <c r="AC229" s="45"/>
      <c r="AD229" s="114" t="s">
        <v>1787</v>
      </c>
      <c r="AE229" s="174" t="s">
        <v>3374</v>
      </c>
      <c r="AF229" s="115"/>
      <c r="AG229" s="56"/>
      <c r="AH229" s="172"/>
      <c r="AI229" s="114" t="s">
        <v>2427</v>
      </c>
      <c r="AJ229" s="114" t="s">
        <v>3400</v>
      </c>
      <c r="AK229" s="114"/>
      <c r="AL229" s="114"/>
      <c r="AM229" s="114"/>
      <c r="AN229" s="114" t="s">
        <v>3375</v>
      </c>
      <c r="AO229" s="114"/>
      <c r="AP229" s="123"/>
      <c r="AQ229" s="109"/>
      <c r="AR229" s="114"/>
      <c r="AS229" s="109">
        <v>45748</v>
      </c>
      <c r="AT229" s="109"/>
      <c r="AU229" s="114"/>
      <c r="AV229" s="109"/>
      <c r="AX229" s="55" t="s">
        <v>1518</v>
      </c>
    </row>
    <row r="230" spans="1:100" x14ac:dyDescent="0.3">
      <c r="A230" s="43">
        <v>229</v>
      </c>
      <c r="B230" s="43">
        <v>72</v>
      </c>
      <c r="C230" s="102" t="s">
        <v>2542</v>
      </c>
      <c r="D230" s="155">
        <v>11</v>
      </c>
      <c r="E230" s="157" t="s">
        <v>206</v>
      </c>
      <c r="F230" s="115" t="s">
        <v>413</v>
      </c>
      <c r="G230" s="109">
        <v>27547</v>
      </c>
      <c r="H230" s="47">
        <f>+DATE(YEAR(G230)+57,MONTH(G230),DAY(G230))</f>
        <v>48367</v>
      </c>
      <c r="I230" s="48">
        <f>+EOMONTH(H230,0)+1</f>
        <v>48396</v>
      </c>
      <c r="J230" s="48">
        <v>48396</v>
      </c>
      <c r="K230" s="109">
        <v>35370</v>
      </c>
      <c r="L230" s="104" t="s">
        <v>722</v>
      </c>
      <c r="M230" s="112" t="s">
        <v>287</v>
      </c>
      <c r="N230" s="102" t="s">
        <v>284</v>
      </c>
      <c r="O230" s="109">
        <v>42309</v>
      </c>
      <c r="P230" s="110"/>
      <c r="Q230" s="159" t="s">
        <v>74</v>
      </c>
      <c r="R230" s="102">
        <v>1.68</v>
      </c>
      <c r="S230" s="113">
        <v>0.06</v>
      </c>
      <c r="T230" s="114">
        <v>0.2</v>
      </c>
      <c r="U230" s="52">
        <f t="shared" si="48"/>
        <v>7946400</v>
      </c>
      <c r="V230" s="52">
        <f>+S230*4410000</f>
        <v>264600</v>
      </c>
      <c r="W230" s="52">
        <f>+T230*2340000</f>
        <v>468000</v>
      </c>
      <c r="X230" s="52">
        <f>+U230+V230+W230</f>
        <v>8679000</v>
      </c>
      <c r="Y230" s="52">
        <f>+VLOOKUP(E230,[2]Sheet1!$B$11:$J$400,9,0)</f>
        <v>7168800</v>
      </c>
      <c r="Z230" s="52"/>
      <c r="AA230" s="53" t="s">
        <v>1687</v>
      </c>
      <c r="AB230" s="114" t="s">
        <v>1240</v>
      </c>
      <c r="AC230" s="45" t="str">
        <f>+VLOOKUP(E230,[3]Sheet1!$B$11:$I$388,8,0)</f>
        <v>60 - 005</v>
      </c>
      <c r="AD230" s="114" t="s">
        <v>1787</v>
      </c>
      <c r="AE230" s="114" t="s">
        <v>2880</v>
      </c>
      <c r="AF230" s="115" t="s">
        <v>2471</v>
      </c>
      <c r="AG230" s="45">
        <f>+VALUE(AF230:AF616)</f>
        <v>261483214</v>
      </c>
      <c r="AH230" s="114" t="s">
        <v>1243</v>
      </c>
      <c r="AI230" s="114" t="s">
        <v>515</v>
      </c>
      <c r="AJ230" s="114" t="s">
        <v>1244</v>
      </c>
      <c r="AK230" s="116" t="s">
        <v>1245</v>
      </c>
      <c r="AL230" s="114"/>
      <c r="AM230" s="114"/>
      <c r="AN230" s="114"/>
      <c r="AO230" s="114" t="s">
        <v>504</v>
      </c>
      <c r="AP230" s="114"/>
      <c r="AQ230" s="114"/>
      <c r="AR230" s="114"/>
      <c r="AS230" s="114"/>
      <c r="AT230" s="114"/>
      <c r="AU230" s="114"/>
      <c r="AV230" s="114"/>
      <c r="AW230" s="55" t="s">
        <v>2289</v>
      </c>
      <c r="AX230" s="55" t="s">
        <v>1518</v>
      </c>
    </row>
    <row r="231" spans="1:100" x14ac:dyDescent="0.3">
      <c r="A231" s="43">
        <v>230</v>
      </c>
      <c r="B231" s="43">
        <v>73</v>
      </c>
      <c r="C231" s="102" t="s">
        <v>2542</v>
      </c>
      <c r="D231" s="155">
        <v>12</v>
      </c>
      <c r="E231" s="157" t="s">
        <v>3420</v>
      </c>
      <c r="F231" s="115" t="s">
        <v>3421</v>
      </c>
      <c r="G231" s="109">
        <v>37231</v>
      </c>
      <c r="H231" s="47">
        <f>+DATE(YEAR(G231)+57,MONTH(G231),DAY(G231))</f>
        <v>58050</v>
      </c>
      <c r="I231" s="48">
        <f>+EOMONTH(H231,0)+1</f>
        <v>58076</v>
      </c>
      <c r="J231" s="48">
        <v>58076</v>
      </c>
      <c r="K231" s="109">
        <v>45839</v>
      </c>
      <c r="L231" s="104" t="s">
        <v>722</v>
      </c>
      <c r="M231" s="112" t="s">
        <v>287</v>
      </c>
      <c r="N231" s="102" t="s">
        <v>281</v>
      </c>
      <c r="O231" s="109">
        <v>45839</v>
      </c>
      <c r="P231" s="110"/>
      <c r="Q231" s="159" t="s">
        <v>72</v>
      </c>
      <c r="R231" s="102">
        <v>1.41</v>
      </c>
      <c r="S231" s="113"/>
      <c r="T231" s="114">
        <v>0.2</v>
      </c>
      <c r="U231" s="52">
        <f t="shared" si="48"/>
        <v>6669300</v>
      </c>
      <c r="V231" s="52">
        <f>+S231*4410000</f>
        <v>0</v>
      </c>
      <c r="W231" s="52">
        <f>+T231*2340000</f>
        <v>468000</v>
      </c>
      <c r="X231" s="52">
        <f>+U231+V231+W231</f>
        <v>7137300</v>
      </c>
      <c r="Y231" s="52"/>
      <c r="Z231" s="52"/>
      <c r="AA231" s="73">
        <v>6020692909</v>
      </c>
      <c r="AB231" s="114" t="s">
        <v>3431</v>
      </c>
      <c r="AC231" s="45"/>
      <c r="AD231" s="114" t="s">
        <v>1787</v>
      </c>
      <c r="AE231" s="115" t="s">
        <v>3422</v>
      </c>
      <c r="AF231" s="115"/>
      <c r="AG231" s="45"/>
      <c r="AH231" s="114"/>
      <c r="AI231" s="114"/>
      <c r="AJ231" s="114" t="s">
        <v>3423</v>
      </c>
      <c r="AK231" s="116"/>
      <c r="AL231" s="114"/>
      <c r="AM231" s="114" t="s">
        <v>3403</v>
      </c>
      <c r="AN231" s="114"/>
      <c r="AO231" s="114"/>
      <c r="AP231" s="114"/>
      <c r="AQ231" s="114"/>
      <c r="AR231" s="114"/>
      <c r="AS231" s="114"/>
      <c r="AT231" s="114"/>
      <c r="AU231" s="114"/>
      <c r="AV231" s="114"/>
      <c r="AX231" s="55" t="s">
        <v>1518</v>
      </c>
    </row>
    <row r="232" spans="1:100" x14ac:dyDescent="0.3">
      <c r="A232" s="43">
        <v>231</v>
      </c>
      <c r="B232" s="43">
        <v>74</v>
      </c>
      <c r="C232" s="102" t="s">
        <v>2542</v>
      </c>
      <c r="D232" s="155">
        <v>13</v>
      </c>
      <c r="E232" s="163" t="s">
        <v>3452</v>
      </c>
      <c r="F232" s="115" t="s">
        <v>2038</v>
      </c>
      <c r="G232" s="172">
        <v>33155</v>
      </c>
      <c r="H232" s="47">
        <f>+DATE(YEAR(G232)+57,MONTH(G232),DAY(G232))</f>
        <v>53974</v>
      </c>
      <c r="I232" s="48">
        <f>+EOMONTH(H232,0)+1</f>
        <v>53997</v>
      </c>
      <c r="J232" s="48">
        <v>53997</v>
      </c>
      <c r="K232" s="109">
        <v>43922</v>
      </c>
      <c r="L232" s="104" t="s">
        <v>722</v>
      </c>
      <c r="M232" s="112" t="s">
        <v>287</v>
      </c>
      <c r="N232" s="102" t="s">
        <v>281</v>
      </c>
      <c r="O232" s="110" t="s">
        <v>3238</v>
      </c>
      <c r="P232" s="110"/>
      <c r="Q232" s="111" t="s">
        <v>71</v>
      </c>
      <c r="R232" s="102">
        <v>1.49</v>
      </c>
      <c r="S232" s="113"/>
      <c r="T232" s="114">
        <v>0.2</v>
      </c>
      <c r="U232" s="52">
        <f t="shared" si="48"/>
        <v>7047700</v>
      </c>
      <c r="V232" s="52">
        <f>+S232*4410000</f>
        <v>0</v>
      </c>
      <c r="W232" s="52">
        <f>+T232*2340000</f>
        <v>468000</v>
      </c>
      <c r="X232" s="52">
        <f>+U232+V232+W232</f>
        <v>7515700</v>
      </c>
      <c r="Y232" s="52" t="e">
        <f>+VLOOKUP(E232,[2]Sheet1!$B$11:$J$400,9,0)</f>
        <v>#N/A</v>
      </c>
      <c r="Z232" s="52"/>
      <c r="AA232" s="53" t="s">
        <v>2039</v>
      </c>
      <c r="AB232" s="114" t="s">
        <v>2047</v>
      </c>
      <c r="AC232" s="45" t="e">
        <f>+VLOOKUP(E232,[3]Sheet1!$B$11:$I$388,8,0)</f>
        <v>#N/A</v>
      </c>
      <c r="AD232" s="114" t="s">
        <v>1787</v>
      </c>
      <c r="AE232" s="114" t="s">
        <v>2876</v>
      </c>
      <c r="AF232" s="115" t="s">
        <v>2040</v>
      </c>
      <c r="AG232" s="45">
        <f>+VALUE(AF224:AF609)</f>
        <v>261157922</v>
      </c>
      <c r="AH232" s="172" t="s">
        <v>2041</v>
      </c>
      <c r="AI232" s="114" t="s">
        <v>515</v>
      </c>
      <c r="AJ232" s="114" t="s">
        <v>2042</v>
      </c>
      <c r="AK232" s="116" t="s">
        <v>2043</v>
      </c>
      <c r="AL232" s="114"/>
      <c r="AM232" s="114"/>
      <c r="AN232" s="114" t="s">
        <v>2044</v>
      </c>
      <c r="AO232" s="114"/>
      <c r="AP232" s="114"/>
      <c r="AQ232" s="114"/>
      <c r="AR232" s="114"/>
      <c r="AS232" s="114"/>
      <c r="AT232" s="114"/>
      <c r="AU232" s="114"/>
      <c r="AV232" s="114"/>
      <c r="AW232" s="55" t="s">
        <v>2284</v>
      </c>
      <c r="AX232" s="55" t="s">
        <v>1518</v>
      </c>
    </row>
    <row r="233" spans="1:100" x14ac:dyDescent="0.3">
      <c r="A233" s="43">
        <v>232</v>
      </c>
      <c r="B233" s="43">
        <v>75</v>
      </c>
      <c r="C233" s="102" t="s">
        <v>2542</v>
      </c>
      <c r="D233" s="148">
        <v>1</v>
      </c>
      <c r="E233" s="157" t="s">
        <v>205</v>
      </c>
      <c r="F233" s="115" t="s">
        <v>412</v>
      </c>
      <c r="G233" s="109">
        <v>27585</v>
      </c>
      <c r="H233" s="47">
        <f t="shared" si="46"/>
        <v>48405</v>
      </c>
      <c r="I233" s="48">
        <f t="shared" si="47"/>
        <v>48427</v>
      </c>
      <c r="J233" s="48">
        <v>48427</v>
      </c>
      <c r="K233" s="109">
        <v>34851</v>
      </c>
      <c r="L233" s="104" t="s">
        <v>723</v>
      </c>
      <c r="M233" s="112" t="s">
        <v>287</v>
      </c>
      <c r="N233" s="102" t="s">
        <v>286</v>
      </c>
      <c r="O233" s="109">
        <v>42309</v>
      </c>
      <c r="P233" s="104" t="str">
        <f>+VLOOKUP(E233,'DATA 01-2026'!$E$159:$F$265,2,0)</f>
        <v>10/07/1975</v>
      </c>
      <c r="Q233" s="159" t="s">
        <v>74</v>
      </c>
      <c r="R233" s="102">
        <v>1.68</v>
      </c>
      <c r="S233" s="113">
        <v>0.06</v>
      </c>
      <c r="T233" s="114">
        <v>0.1</v>
      </c>
      <c r="U233" s="52">
        <f t="shared" si="48"/>
        <v>7946400</v>
      </c>
      <c r="V233" s="52">
        <f t="shared" si="45"/>
        <v>264600</v>
      </c>
      <c r="W233" s="52">
        <f t="shared" si="43"/>
        <v>234000</v>
      </c>
      <c r="X233" s="52">
        <f t="shared" si="42"/>
        <v>8445000</v>
      </c>
      <c r="Y233" s="52">
        <f>+VLOOKUP(E233,[2]Sheet1!$B$11:$J$400,9,0)</f>
        <v>7418400</v>
      </c>
      <c r="Z233" s="52"/>
      <c r="AA233" s="53" t="s">
        <v>1686</v>
      </c>
      <c r="AB233" s="114" t="s">
        <v>1240</v>
      </c>
      <c r="AC233" s="45" t="str">
        <f>+VLOOKUP(E233,[3]Sheet1!$B$11:$I$388,8,0)</f>
        <v>60 - 005</v>
      </c>
      <c r="AD233" s="114" t="s">
        <v>1787</v>
      </c>
      <c r="AE233" s="114" t="s">
        <v>2879</v>
      </c>
      <c r="AF233" s="115">
        <v>261531801</v>
      </c>
      <c r="AG233" s="45">
        <f>+VALUE(AF233:AF615)</f>
        <v>261531801</v>
      </c>
      <c r="AH233" s="114" t="s">
        <v>1241</v>
      </c>
      <c r="AI233" s="114" t="s">
        <v>515</v>
      </c>
      <c r="AJ233" s="114"/>
      <c r="AK233" s="116" t="s">
        <v>1242</v>
      </c>
      <c r="AL233" s="114"/>
      <c r="AM233" s="114" t="s">
        <v>89</v>
      </c>
      <c r="AN233" s="114"/>
      <c r="AO233" s="114" t="s">
        <v>504</v>
      </c>
      <c r="AP233" s="114"/>
      <c r="AQ233" s="114"/>
      <c r="AR233" s="114"/>
      <c r="AS233" s="114"/>
      <c r="AT233" s="114"/>
      <c r="AU233" s="114"/>
      <c r="AV233" s="114"/>
      <c r="AW233" s="55" t="s">
        <v>2287</v>
      </c>
      <c r="AX233" s="55" t="s">
        <v>1518</v>
      </c>
    </row>
    <row r="234" spans="1:100" x14ac:dyDescent="0.3">
      <c r="A234" s="43">
        <v>233</v>
      </c>
      <c r="B234" s="43">
        <v>76</v>
      </c>
      <c r="C234" s="102" t="s">
        <v>2542</v>
      </c>
      <c r="D234" s="148">
        <v>2</v>
      </c>
      <c r="E234" s="149" t="s">
        <v>208</v>
      </c>
      <c r="F234" s="115" t="s">
        <v>415</v>
      </c>
      <c r="G234" s="109">
        <v>30982</v>
      </c>
      <c r="H234" s="47">
        <f t="shared" ref="H234:H255" si="49">+DATE(YEAR(G234)+57,MONTH(G234),DAY(G234))</f>
        <v>51801</v>
      </c>
      <c r="I234" s="48">
        <f t="shared" si="47"/>
        <v>51806</v>
      </c>
      <c r="J234" s="48">
        <v>51806</v>
      </c>
      <c r="K234" s="109">
        <v>40299</v>
      </c>
      <c r="L234" s="104" t="s">
        <v>723</v>
      </c>
      <c r="M234" s="112" t="s">
        <v>287</v>
      </c>
      <c r="N234" s="102" t="s">
        <v>281</v>
      </c>
      <c r="O234" s="109">
        <v>42005</v>
      </c>
      <c r="P234" s="110"/>
      <c r="Q234" s="162" t="s">
        <v>71</v>
      </c>
      <c r="R234" s="102">
        <v>1.49</v>
      </c>
      <c r="S234" s="113"/>
      <c r="T234" s="114">
        <v>0.1</v>
      </c>
      <c r="U234" s="52">
        <f t="shared" si="48"/>
        <v>7047700</v>
      </c>
      <c r="V234" s="52">
        <f t="shared" si="45"/>
        <v>0</v>
      </c>
      <c r="W234" s="52">
        <f t="shared" ref="W234:W263" si="50">+T234*2340000</f>
        <v>234000</v>
      </c>
      <c r="X234" s="52">
        <f t="shared" si="42"/>
        <v>7281700</v>
      </c>
      <c r="Y234" s="52">
        <f>+VLOOKUP(E234,[2]Sheet1!$B$11:$J$400,9,0)</f>
        <v>6378400</v>
      </c>
      <c r="Z234" s="52"/>
      <c r="AA234" s="53" t="s">
        <v>1689</v>
      </c>
      <c r="AB234" s="114" t="s">
        <v>1246</v>
      </c>
      <c r="AC234" s="45" t="str">
        <f>+VLOOKUP(E234,[3]Sheet1!$B$11:$I$388,8,0)</f>
        <v>60 - 152</v>
      </c>
      <c r="AD234" s="114" t="s">
        <v>1787</v>
      </c>
      <c r="AE234" s="114" t="s">
        <v>2881</v>
      </c>
      <c r="AF234" s="115" t="s">
        <v>2473</v>
      </c>
      <c r="AG234" s="45">
        <f>+VALUE(AF234:AF618)</f>
        <v>261486847</v>
      </c>
      <c r="AH234" s="114" t="s">
        <v>1250</v>
      </c>
      <c r="AI234" s="114" t="s">
        <v>515</v>
      </c>
      <c r="AJ234" s="114" t="s">
        <v>1244</v>
      </c>
      <c r="AK234" s="116" t="s">
        <v>1251</v>
      </c>
      <c r="AL234" s="114"/>
      <c r="AM234" s="114"/>
      <c r="AN234" s="114"/>
      <c r="AO234" s="114" t="s">
        <v>504</v>
      </c>
      <c r="AP234" s="114"/>
      <c r="AQ234" s="114"/>
      <c r="AR234" s="114"/>
      <c r="AS234" s="114"/>
      <c r="AT234" s="114"/>
      <c r="AU234" s="114"/>
      <c r="AV234" s="114"/>
      <c r="AW234" s="55" t="s">
        <v>2291</v>
      </c>
      <c r="AX234" s="55" t="s">
        <v>1518</v>
      </c>
    </row>
    <row r="235" spans="1:100" x14ac:dyDescent="0.3">
      <c r="A235" s="43">
        <v>234</v>
      </c>
      <c r="B235" s="43">
        <v>77</v>
      </c>
      <c r="C235" s="102" t="s">
        <v>2542</v>
      </c>
      <c r="D235" s="148">
        <v>3</v>
      </c>
      <c r="E235" s="109" t="s">
        <v>210</v>
      </c>
      <c r="F235" s="115" t="s">
        <v>417</v>
      </c>
      <c r="G235" s="109">
        <v>34550</v>
      </c>
      <c r="H235" s="47">
        <f t="shared" si="49"/>
        <v>55369</v>
      </c>
      <c r="I235" s="48">
        <f t="shared" si="47"/>
        <v>55397</v>
      </c>
      <c r="J235" s="48">
        <v>55397</v>
      </c>
      <c r="K235" s="109">
        <v>42309</v>
      </c>
      <c r="L235" s="104" t="s">
        <v>723</v>
      </c>
      <c r="M235" s="112" t="s">
        <v>287</v>
      </c>
      <c r="N235" s="102" t="s">
        <v>281</v>
      </c>
      <c r="O235" s="109">
        <v>42370</v>
      </c>
      <c r="P235" s="171"/>
      <c r="Q235" s="111" t="s">
        <v>71</v>
      </c>
      <c r="R235" s="112">
        <v>1.49</v>
      </c>
      <c r="S235" s="113"/>
      <c r="T235" s="114">
        <v>0.1</v>
      </c>
      <c r="U235" s="52">
        <f t="shared" si="48"/>
        <v>7047700</v>
      </c>
      <c r="V235" s="52">
        <f t="shared" si="45"/>
        <v>0</v>
      </c>
      <c r="W235" s="52">
        <f t="shared" si="50"/>
        <v>234000</v>
      </c>
      <c r="X235" s="52">
        <f t="shared" si="42"/>
        <v>7281700</v>
      </c>
      <c r="Y235" s="52">
        <f>+VLOOKUP(E235,[2]Sheet1!$B$11:$J$400,9,0)</f>
        <v>6378400</v>
      </c>
      <c r="Z235" s="52"/>
      <c r="AA235" s="53" t="s">
        <v>1691</v>
      </c>
      <c r="AB235" s="114" t="s">
        <v>1240</v>
      </c>
      <c r="AC235" s="45" t="str">
        <f>+VLOOKUP(E235,[3]Sheet1!$B$11:$I$388,8,0)</f>
        <v>60 - 152</v>
      </c>
      <c r="AD235" s="114" t="s">
        <v>1787</v>
      </c>
      <c r="AE235" s="114" t="s">
        <v>2883</v>
      </c>
      <c r="AF235" s="115" t="s">
        <v>2475</v>
      </c>
      <c r="AG235" s="45">
        <f>+VALUE(AF235:AF620)</f>
        <v>184061751</v>
      </c>
      <c r="AH235" s="114" t="s">
        <v>1255</v>
      </c>
      <c r="AI235" s="114" t="s">
        <v>1256</v>
      </c>
      <c r="AJ235" s="114" t="s">
        <v>537</v>
      </c>
      <c r="AK235" s="116" t="s">
        <v>1245</v>
      </c>
      <c r="AL235" s="114"/>
      <c r="AM235" s="114"/>
      <c r="AN235" s="114"/>
      <c r="AO235" s="114" t="s">
        <v>504</v>
      </c>
      <c r="AP235" s="114"/>
      <c r="AQ235" s="114"/>
      <c r="AR235" s="114"/>
      <c r="AS235" s="114"/>
      <c r="AT235" s="114"/>
      <c r="AU235" s="114"/>
      <c r="AV235" s="114"/>
      <c r="AW235" s="55" t="s">
        <v>2293</v>
      </c>
      <c r="AX235" s="55" t="s">
        <v>1518</v>
      </c>
    </row>
    <row r="236" spans="1:100" x14ac:dyDescent="0.3">
      <c r="A236" s="43">
        <v>235</v>
      </c>
      <c r="B236" s="43">
        <v>78</v>
      </c>
      <c r="C236" s="102" t="s">
        <v>2542</v>
      </c>
      <c r="D236" s="148">
        <v>4</v>
      </c>
      <c r="E236" s="157" t="s">
        <v>654</v>
      </c>
      <c r="F236" s="115" t="s">
        <v>653</v>
      </c>
      <c r="G236" s="109">
        <v>34557</v>
      </c>
      <c r="H236" s="47">
        <f t="shared" si="49"/>
        <v>55376</v>
      </c>
      <c r="I236" s="48">
        <f t="shared" si="47"/>
        <v>55397</v>
      </c>
      <c r="J236" s="48">
        <v>55397</v>
      </c>
      <c r="K236" s="109">
        <v>43101</v>
      </c>
      <c r="L236" s="104" t="s">
        <v>723</v>
      </c>
      <c r="M236" s="112" t="s">
        <v>287</v>
      </c>
      <c r="N236" s="102" t="s">
        <v>281</v>
      </c>
      <c r="O236" s="109">
        <v>43101</v>
      </c>
      <c r="P236" s="110"/>
      <c r="Q236" s="159" t="s">
        <v>72</v>
      </c>
      <c r="R236" s="102">
        <v>1.41</v>
      </c>
      <c r="S236" s="113"/>
      <c r="T236" s="114">
        <v>0.1</v>
      </c>
      <c r="U236" s="52">
        <f t="shared" si="48"/>
        <v>6669300</v>
      </c>
      <c r="V236" s="52">
        <f t="shared" si="45"/>
        <v>0</v>
      </c>
      <c r="W236" s="52">
        <f t="shared" si="50"/>
        <v>234000</v>
      </c>
      <c r="X236" s="52">
        <f t="shared" si="42"/>
        <v>6903300</v>
      </c>
      <c r="Y236" s="52">
        <f>+VLOOKUP(E236,[2]Sheet1!$B$11:$J$400,9,0)</f>
        <v>6045600</v>
      </c>
      <c r="Z236" s="52"/>
      <c r="AA236" s="53" t="s">
        <v>1692</v>
      </c>
      <c r="AB236" s="114" t="s">
        <v>1257</v>
      </c>
      <c r="AC236" s="45" t="str">
        <f>+VLOOKUP(E236,[3]Sheet1!$B$11:$I$388,8,0)</f>
        <v>60 - 005</v>
      </c>
      <c r="AD236" s="114" t="s">
        <v>1787</v>
      </c>
      <c r="AE236" s="114" t="s">
        <v>2884</v>
      </c>
      <c r="AF236" s="115" t="s">
        <v>655</v>
      </c>
      <c r="AG236" s="45">
        <f>+VALUE(AF236:AF621)</f>
        <v>261359207</v>
      </c>
      <c r="AH236" s="123" t="s">
        <v>656</v>
      </c>
      <c r="AI236" s="114" t="s">
        <v>515</v>
      </c>
      <c r="AJ236" s="114" t="s">
        <v>1258</v>
      </c>
      <c r="AK236" s="116" t="s">
        <v>1258</v>
      </c>
      <c r="AL236" s="114"/>
      <c r="AM236" s="114"/>
      <c r="AN236" s="114"/>
      <c r="AO236" s="114" t="s">
        <v>504</v>
      </c>
      <c r="AP236" s="114"/>
      <c r="AQ236" s="114"/>
      <c r="AR236" s="114"/>
      <c r="AS236" s="114"/>
      <c r="AT236" s="114"/>
      <c r="AU236" s="114"/>
      <c r="AV236" s="114"/>
      <c r="AW236" s="55" t="s">
        <v>2294</v>
      </c>
      <c r="AX236" s="55" t="s">
        <v>1518</v>
      </c>
    </row>
    <row r="237" spans="1:100" x14ac:dyDescent="0.3">
      <c r="A237" s="43">
        <v>236</v>
      </c>
      <c r="B237" s="43">
        <v>79</v>
      </c>
      <c r="C237" s="102" t="s">
        <v>2542</v>
      </c>
      <c r="D237" s="148">
        <v>5</v>
      </c>
      <c r="E237" s="157" t="s">
        <v>1830</v>
      </c>
      <c r="F237" s="115" t="s">
        <v>1831</v>
      </c>
      <c r="G237" s="109">
        <v>35706</v>
      </c>
      <c r="H237" s="47">
        <f t="shared" si="49"/>
        <v>56525</v>
      </c>
      <c r="I237" s="48">
        <f t="shared" si="47"/>
        <v>56554</v>
      </c>
      <c r="J237" s="48">
        <v>56554</v>
      </c>
      <c r="K237" s="109">
        <v>43387</v>
      </c>
      <c r="L237" s="104" t="s">
        <v>723</v>
      </c>
      <c r="M237" s="112" t="s">
        <v>287</v>
      </c>
      <c r="N237" s="102" t="s">
        <v>281</v>
      </c>
      <c r="O237" s="109">
        <v>43387</v>
      </c>
      <c r="P237" s="110"/>
      <c r="Q237" s="111" t="s">
        <v>71</v>
      </c>
      <c r="R237" s="112">
        <v>1.49</v>
      </c>
      <c r="S237" s="113"/>
      <c r="T237" s="114">
        <v>0.1</v>
      </c>
      <c r="U237" s="52">
        <f t="shared" si="48"/>
        <v>7047700</v>
      </c>
      <c r="V237" s="52">
        <f t="shared" si="45"/>
        <v>0</v>
      </c>
      <c r="W237" s="52">
        <f t="shared" si="50"/>
        <v>234000</v>
      </c>
      <c r="X237" s="52">
        <f t="shared" si="42"/>
        <v>7281700</v>
      </c>
      <c r="Y237" s="52">
        <f>+VLOOKUP(E237,[2]Sheet1!$B$11:$J$400,9,0)</f>
        <v>6378400</v>
      </c>
      <c r="Z237" s="52"/>
      <c r="AA237" s="53" t="s">
        <v>2706</v>
      </c>
      <c r="AB237" s="114" t="s">
        <v>1257</v>
      </c>
      <c r="AC237" s="45" t="str">
        <f>+VLOOKUP(E237,[3]Sheet1!$B$11:$I$388,8,0)</f>
        <v>60 - 152</v>
      </c>
      <c r="AD237" s="114" t="s">
        <v>1787</v>
      </c>
      <c r="AE237" s="114" t="s">
        <v>2885</v>
      </c>
      <c r="AF237" s="115" t="s">
        <v>1833</v>
      </c>
      <c r="AG237" s="45">
        <f>+VALUE(AF237:AF622)</f>
        <v>261480450</v>
      </c>
      <c r="AH237" s="150" t="s">
        <v>1834</v>
      </c>
      <c r="AI237" s="114" t="s">
        <v>515</v>
      </c>
      <c r="AJ237" s="114" t="s">
        <v>1835</v>
      </c>
      <c r="AK237" s="116" t="s">
        <v>1854</v>
      </c>
      <c r="AL237" s="114"/>
      <c r="AM237" s="114"/>
      <c r="AN237" s="114" t="s">
        <v>1832</v>
      </c>
      <c r="AO237" s="114"/>
      <c r="AP237" s="114"/>
      <c r="AQ237" s="114"/>
      <c r="AR237" s="114"/>
      <c r="AS237" s="109">
        <v>44117</v>
      </c>
      <c r="AT237" s="109"/>
      <c r="AU237" s="109"/>
      <c r="AV237" s="114"/>
      <c r="AW237" s="55" t="s">
        <v>2295</v>
      </c>
      <c r="AX237" s="55" t="s">
        <v>1518</v>
      </c>
    </row>
    <row r="238" spans="1:100" x14ac:dyDescent="0.3">
      <c r="A238" s="43">
        <v>237</v>
      </c>
      <c r="B238" s="43">
        <v>80</v>
      </c>
      <c r="C238" s="102" t="s">
        <v>2542</v>
      </c>
      <c r="D238" s="148">
        <v>6</v>
      </c>
      <c r="E238" s="157" t="s">
        <v>2022</v>
      </c>
      <c r="F238" s="115" t="s">
        <v>2023</v>
      </c>
      <c r="G238" s="172">
        <v>32703</v>
      </c>
      <c r="H238" s="47">
        <f t="shared" si="49"/>
        <v>53522</v>
      </c>
      <c r="I238" s="48">
        <f t="shared" si="47"/>
        <v>53540</v>
      </c>
      <c r="J238" s="48">
        <v>53540</v>
      </c>
      <c r="K238" s="109">
        <v>43908</v>
      </c>
      <c r="L238" s="104" t="s">
        <v>723</v>
      </c>
      <c r="M238" s="112" t="s">
        <v>287</v>
      </c>
      <c r="N238" s="102" t="s">
        <v>285</v>
      </c>
      <c r="O238" s="110" t="s">
        <v>3238</v>
      </c>
      <c r="P238" s="110"/>
      <c r="Q238" s="111" t="s">
        <v>71</v>
      </c>
      <c r="R238" s="102">
        <v>1.49</v>
      </c>
      <c r="S238" s="113">
        <v>0.04</v>
      </c>
      <c r="T238" s="114">
        <v>0.1</v>
      </c>
      <c r="U238" s="52">
        <f t="shared" si="48"/>
        <v>7047700</v>
      </c>
      <c r="V238" s="52">
        <f t="shared" si="45"/>
        <v>176400</v>
      </c>
      <c r="W238" s="52">
        <f t="shared" si="50"/>
        <v>234000</v>
      </c>
      <c r="X238" s="52">
        <f t="shared" si="42"/>
        <v>7458100</v>
      </c>
      <c r="Y238" s="52">
        <f>+VLOOKUP(E238,[2]Sheet1!$B$11:$J$400,9,0)</f>
        <v>6212000</v>
      </c>
      <c r="Z238" s="52"/>
      <c r="AA238" s="53" t="s">
        <v>2105</v>
      </c>
      <c r="AB238" s="114"/>
      <c r="AC238" s="45" t="str">
        <f>+VLOOKUP(E238,[3]Sheet1!$B$11:$I$388,8,0)</f>
        <v>60 - 152</v>
      </c>
      <c r="AD238" s="114" t="s">
        <v>1787</v>
      </c>
      <c r="AE238" s="114" t="s">
        <v>2886</v>
      </c>
      <c r="AF238" s="115" t="s">
        <v>2024</v>
      </c>
      <c r="AG238" s="45">
        <f>+VALUE(AF238:AF623)</f>
        <v>261091071</v>
      </c>
      <c r="AH238" s="172" t="s">
        <v>2025</v>
      </c>
      <c r="AI238" s="114" t="s">
        <v>515</v>
      </c>
      <c r="AJ238" s="114" t="s">
        <v>2026</v>
      </c>
      <c r="AK238" s="116" t="s">
        <v>2027</v>
      </c>
      <c r="AL238" s="114"/>
      <c r="AM238" s="114"/>
      <c r="AN238" s="114"/>
      <c r="AO238" s="114" t="s">
        <v>578</v>
      </c>
      <c r="AP238" s="114"/>
      <c r="AQ238" s="114"/>
      <c r="AR238" s="114"/>
      <c r="AS238" s="114"/>
      <c r="AT238" s="109">
        <v>43907</v>
      </c>
      <c r="AU238" s="114"/>
      <c r="AV238" s="109">
        <v>44638</v>
      </c>
      <c r="AW238" s="55" t="s">
        <v>2296</v>
      </c>
      <c r="AX238" s="55" t="s">
        <v>1518</v>
      </c>
    </row>
    <row r="239" spans="1:100" x14ac:dyDescent="0.3">
      <c r="A239" s="43">
        <v>238</v>
      </c>
      <c r="B239" s="43">
        <v>81</v>
      </c>
      <c r="C239" s="102" t="s">
        <v>2542</v>
      </c>
      <c r="D239" s="148">
        <v>7</v>
      </c>
      <c r="E239" s="157" t="s">
        <v>2113</v>
      </c>
      <c r="F239" s="115" t="s">
        <v>2114</v>
      </c>
      <c r="G239" s="172">
        <v>35757</v>
      </c>
      <c r="H239" s="47">
        <f t="shared" si="49"/>
        <v>56576</v>
      </c>
      <c r="I239" s="48">
        <f t="shared" si="47"/>
        <v>56584</v>
      </c>
      <c r="J239" s="48">
        <v>56584</v>
      </c>
      <c r="K239" s="109">
        <v>44169</v>
      </c>
      <c r="L239" s="104" t="s">
        <v>723</v>
      </c>
      <c r="M239" s="112" t="s">
        <v>287</v>
      </c>
      <c r="N239" s="102" t="s">
        <v>281</v>
      </c>
      <c r="O239" s="109">
        <v>44169</v>
      </c>
      <c r="P239" s="110"/>
      <c r="Q239" s="159" t="s">
        <v>72</v>
      </c>
      <c r="R239" s="102">
        <v>1.41</v>
      </c>
      <c r="S239" s="113"/>
      <c r="T239" s="114">
        <v>0.1</v>
      </c>
      <c r="U239" s="52">
        <f t="shared" si="48"/>
        <v>6669300</v>
      </c>
      <c r="V239" s="52">
        <f t="shared" si="45"/>
        <v>0</v>
      </c>
      <c r="W239" s="52">
        <f t="shared" si="50"/>
        <v>234000</v>
      </c>
      <c r="X239" s="52">
        <f t="shared" si="42"/>
        <v>6903300</v>
      </c>
      <c r="Y239" s="52">
        <f>+VLOOKUP(E239,[2]Sheet1!$B$11:$J$400,9,0)</f>
        <v>6045600</v>
      </c>
      <c r="Z239" s="52"/>
      <c r="AA239" s="53" t="s">
        <v>2707</v>
      </c>
      <c r="AB239" s="114"/>
      <c r="AC239" s="45" t="str">
        <f>+VLOOKUP(E239,[3]Sheet1!$B$11:$I$388,8,0)</f>
        <v>60 - 171</v>
      </c>
      <c r="AD239" s="114" t="s">
        <v>1787</v>
      </c>
      <c r="AE239" s="114" t="s">
        <v>2887</v>
      </c>
      <c r="AF239" s="115" t="s">
        <v>2115</v>
      </c>
      <c r="AG239" s="45">
        <f>+VALUE(AF224:AF611)</f>
        <v>261480333</v>
      </c>
      <c r="AH239" s="172" t="s">
        <v>2116</v>
      </c>
      <c r="AI239" s="114" t="s">
        <v>515</v>
      </c>
      <c r="AJ239" s="114" t="s">
        <v>2117</v>
      </c>
      <c r="AK239" s="114" t="s">
        <v>2117</v>
      </c>
      <c r="AL239" s="114"/>
      <c r="AM239" s="114"/>
      <c r="AN239" s="114"/>
      <c r="AO239" s="114" t="s">
        <v>564</v>
      </c>
      <c r="AP239" s="114"/>
      <c r="AQ239" s="114"/>
      <c r="AR239" s="114"/>
      <c r="AS239" s="114"/>
      <c r="AT239" s="109">
        <v>44168</v>
      </c>
      <c r="AU239" s="114"/>
      <c r="AV239" s="109">
        <v>44899</v>
      </c>
      <c r="AW239" s="55" t="s">
        <v>2285</v>
      </c>
      <c r="AX239" s="55" t="s">
        <v>1518</v>
      </c>
    </row>
    <row r="240" spans="1:100" x14ac:dyDescent="0.3">
      <c r="A240" s="43">
        <v>239</v>
      </c>
      <c r="B240" s="43">
        <v>82</v>
      </c>
      <c r="C240" s="102" t="s">
        <v>2542</v>
      </c>
      <c r="D240" s="148">
        <v>8</v>
      </c>
      <c r="E240" s="157" t="s">
        <v>3033</v>
      </c>
      <c r="F240" s="115" t="s">
        <v>3026</v>
      </c>
      <c r="G240" s="172">
        <v>37257</v>
      </c>
      <c r="H240" s="47">
        <f t="shared" si="49"/>
        <v>58076</v>
      </c>
      <c r="I240" s="48">
        <f t="shared" si="47"/>
        <v>58107</v>
      </c>
      <c r="J240" s="48">
        <v>58107</v>
      </c>
      <c r="K240" s="109">
        <v>45047</v>
      </c>
      <c r="L240" s="104" t="s">
        <v>723</v>
      </c>
      <c r="M240" s="112" t="s">
        <v>287</v>
      </c>
      <c r="N240" s="102" t="s">
        <v>281</v>
      </c>
      <c r="O240" s="109">
        <v>45047</v>
      </c>
      <c r="P240" s="110"/>
      <c r="Q240" s="159" t="s">
        <v>72</v>
      </c>
      <c r="R240" s="102">
        <v>1.41</v>
      </c>
      <c r="S240" s="113"/>
      <c r="T240" s="114">
        <v>0.1</v>
      </c>
      <c r="U240" s="52">
        <f t="shared" si="48"/>
        <v>6669300</v>
      </c>
      <c r="V240" s="52">
        <f t="shared" si="45"/>
        <v>0</v>
      </c>
      <c r="W240" s="52">
        <f t="shared" si="50"/>
        <v>234000</v>
      </c>
      <c r="X240" s="52">
        <f t="shared" si="42"/>
        <v>6903300</v>
      </c>
      <c r="Y240" s="52">
        <f>+VLOOKUP(E240,[2]Sheet1!$B$11:$J$400,9,0)</f>
        <v>6045600</v>
      </c>
      <c r="Z240" s="52"/>
      <c r="AA240" s="53" t="s">
        <v>3223</v>
      </c>
      <c r="AB240" s="114"/>
      <c r="AC240" s="45" t="str">
        <f>+VLOOKUP(E240,[3]Sheet1!$B$11:$I$388,8,0)</f>
        <v>60 - 171</v>
      </c>
      <c r="AD240" s="114" t="s">
        <v>1787</v>
      </c>
      <c r="AE240" s="123" t="s">
        <v>3034</v>
      </c>
      <c r="AF240" s="115"/>
      <c r="AG240" s="56"/>
      <c r="AH240" s="172" t="s">
        <v>3035</v>
      </c>
      <c r="AI240" s="114" t="s">
        <v>2427</v>
      </c>
      <c r="AJ240" s="114" t="s">
        <v>3036</v>
      </c>
      <c r="AK240" s="114"/>
      <c r="AL240" s="114"/>
      <c r="AM240" s="114"/>
      <c r="AN240" s="114"/>
      <c r="AO240" s="114"/>
      <c r="AP240" s="123" t="s">
        <v>3025</v>
      </c>
      <c r="AQ240" s="109">
        <v>45047</v>
      </c>
      <c r="AR240" s="114"/>
      <c r="AS240" s="114"/>
      <c r="AT240" s="109"/>
      <c r="AU240" s="114"/>
      <c r="AV240" s="109"/>
      <c r="AX240" s="55" t="s">
        <v>1518</v>
      </c>
    </row>
    <row r="241" spans="1:100" x14ac:dyDescent="0.3">
      <c r="A241" s="43">
        <v>240</v>
      </c>
      <c r="B241" s="43">
        <v>83</v>
      </c>
      <c r="C241" s="102" t="s">
        <v>2542</v>
      </c>
      <c r="D241" s="148">
        <v>9</v>
      </c>
      <c r="E241" s="149" t="s">
        <v>3111</v>
      </c>
      <c r="F241" s="115" t="s">
        <v>3112</v>
      </c>
      <c r="G241" s="172">
        <v>38244</v>
      </c>
      <c r="H241" s="47">
        <f t="shared" si="49"/>
        <v>59063</v>
      </c>
      <c r="I241" s="48">
        <f t="shared" si="47"/>
        <v>59080</v>
      </c>
      <c r="J241" s="48">
        <v>53998</v>
      </c>
      <c r="K241" s="109">
        <v>45323</v>
      </c>
      <c r="L241" s="104" t="s">
        <v>723</v>
      </c>
      <c r="M241" s="112" t="s">
        <v>287</v>
      </c>
      <c r="N241" s="102" t="s">
        <v>281</v>
      </c>
      <c r="O241" s="109">
        <v>45323</v>
      </c>
      <c r="P241" s="171"/>
      <c r="Q241" s="159" t="s">
        <v>72</v>
      </c>
      <c r="R241" s="102">
        <v>1.41</v>
      </c>
      <c r="S241" s="113"/>
      <c r="T241" s="114">
        <v>0.1</v>
      </c>
      <c r="U241" s="52">
        <f t="shared" si="48"/>
        <v>6669300</v>
      </c>
      <c r="V241" s="52">
        <f t="shared" si="45"/>
        <v>0</v>
      </c>
      <c r="W241" s="52">
        <f t="shared" si="50"/>
        <v>234000</v>
      </c>
      <c r="X241" s="52">
        <f t="shared" si="42"/>
        <v>6903300</v>
      </c>
      <c r="Y241" s="52">
        <f>+VLOOKUP(E241,[2]Sheet1!$B$11:$J$400,9,0)</f>
        <v>6045600</v>
      </c>
      <c r="Z241" s="52"/>
      <c r="AA241" s="53" t="s">
        <v>3225</v>
      </c>
      <c r="AB241" s="114" t="s">
        <v>3258</v>
      </c>
      <c r="AC241" s="45" t="str">
        <f>+VLOOKUP(E241,[3]Sheet1!$B$11:$I$388,8,0)</f>
        <v>60 - 004</v>
      </c>
      <c r="AD241" s="114" t="s">
        <v>1787</v>
      </c>
      <c r="AE241" s="123" t="s">
        <v>3113</v>
      </c>
      <c r="AF241" s="115" t="s">
        <v>3113</v>
      </c>
      <c r="AG241" s="45"/>
      <c r="AH241" s="172"/>
      <c r="AI241" s="114" t="s">
        <v>2427</v>
      </c>
      <c r="AJ241" s="114" t="s">
        <v>3404</v>
      </c>
      <c r="AK241" s="116"/>
      <c r="AL241" s="114"/>
      <c r="AM241" s="114"/>
      <c r="AN241" s="114"/>
      <c r="AO241" s="114"/>
      <c r="AP241" s="91" t="s">
        <v>3025</v>
      </c>
      <c r="AQ241" s="109"/>
      <c r="AR241" s="114"/>
      <c r="AS241" s="114"/>
      <c r="AT241" s="109"/>
      <c r="AU241" s="109"/>
      <c r="AV241" s="109"/>
      <c r="AW241" s="77"/>
      <c r="AX241" s="55" t="s">
        <v>1518</v>
      </c>
      <c r="AY241" s="55" t="s">
        <v>3247</v>
      </c>
    </row>
    <row r="242" spans="1:100" s="161" customFormat="1" x14ac:dyDescent="0.3">
      <c r="A242" s="43">
        <v>241</v>
      </c>
      <c r="B242" s="43">
        <v>84</v>
      </c>
      <c r="C242" s="102" t="s">
        <v>2542</v>
      </c>
      <c r="D242" s="148">
        <v>11</v>
      </c>
      <c r="E242" s="149" t="s">
        <v>3263</v>
      </c>
      <c r="F242" s="115" t="s">
        <v>3264</v>
      </c>
      <c r="G242" s="172">
        <v>38121</v>
      </c>
      <c r="H242" s="47">
        <f t="shared" si="49"/>
        <v>58940</v>
      </c>
      <c r="I242" s="48">
        <f t="shared" si="47"/>
        <v>58958</v>
      </c>
      <c r="J242" s="48">
        <v>57771</v>
      </c>
      <c r="K242" s="109">
        <v>45597</v>
      </c>
      <c r="L242" s="104" t="s">
        <v>723</v>
      </c>
      <c r="M242" s="112" t="s">
        <v>287</v>
      </c>
      <c r="N242" s="102" t="s">
        <v>281</v>
      </c>
      <c r="O242" s="109">
        <v>45047</v>
      </c>
      <c r="P242" s="171"/>
      <c r="Q242" s="159" t="s">
        <v>72</v>
      </c>
      <c r="R242" s="102">
        <v>1.41</v>
      </c>
      <c r="S242" s="113"/>
      <c r="T242" s="114">
        <v>0.1</v>
      </c>
      <c r="U242" s="52">
        <f t="shared" si="48"/>
        <v>6669300</v>
      </c>
      <c r="V242" s="52">
        <f t="shared" si="45"/>
        <v>0</v>
      </c>
      <c r="W242" s="52">
        <f t="shared" si="50"/>
        <v>234000</v>
      </c>
      <c r="X242" s="52">
        <f t="shared" si="42"/>
        <v>6903300</v>
      </c>
      <c r="Y242" s="52"/>
      <c r="Z242" s="52"/>
      <c r="AA242" s="73">
        <v>6020570054</v>
      </c>
      <c r="AB242" s="114" t="s">
        <v>3285</v>
      </c>
      <c r="AC242" s="45"/>
      <c r="AD242" s="114" t="s">
        <v>1787</v>
      </c>
      <c r="AE242" s="150" t="s">
        <v>3274</v>
      </c>
      <c r="AF242" s="115"/>
      <c r="AG242" s="45"/>
      <c r="AH242" s="172"/>
      <c r="AI242" s="114" t="s">
        <v>2427</v>
      </c>
      <c r="AJ242" s="114" t="s">
        <v>3266</v>
      </c>
      <c r="AK242" s="116"/>
      <c r="AL242" s="114"/>
      <c r="AM242" s="114"/>
      <c r="AN242" s="99" t="s">
        <v>3470</v>
      </c>
      <c r="AO242" s="114"/>
      <c r="AP242" s="91" t="s">
        <v>3025</v>
      </c>
      <c r="AQ242" s="109">
        <v>45566</v>
      </c>
      <c r="AR242" s="114"/>
      <c r="AS242" s="109">
        <v>45597</v>
      </c>
      <c r="AT242" s="109"/>
      <c r="AU242" s="109"/>
      <c r="AV242" s="109"/>
      <c r="AW242" s="193" t="s">
        <v>3278</v>
      </c>
      <c r="AX242" s="55" t="s">
        <v>1518</v>
      </c>
      <c r="AY242" s="55"/>
      <c r="AZ242" s="55"/>
      <c r="BA242" s="55"/>
      <c r="BB242" s="55"/>
      <c r="BC242" s="55"/>
      <c r="BD242" s="55"/>
      <c r="BE242" s="55"/>
      <c r="BF242" s="55"/>
      <c r="BG242" s="55"/>
      <c r="BH242" s="55"/>
      <c r="BI242" s="55"/>
      <c r="BJ242" s="55"/>
      <c r="BK242" s="55"/>
      <c r="BL242" s="55"/>
      <c r="BM242" s="55"/>
      <c r="BN242" s="55"/>
      <c r="BO242" s="55"/>
      <c r="BP242" s="55"/>
      <c r="BQ242" s="55"/>
      <c r="BR242" s="55"/>
      <c r="BS242" s="55"/>
      <c r="BT242" s="55"/>
      <c r="BU242" s="55"/>
      <c r="BV242" s="55"/>
      <c r="BW242" s="55"/>
      <c r="BX242" s="55"/>
      <c r="BY242" s="55"/>
      <c r="BZ242" s="55"/>
      <c r="CA242" s="55"/>
      <c r="CB242" s="55"/>
      <c r="CC242" s="55"/>
      <c r="CD242" s="55"/>
      <c r="CE242" s="55"/>
      <c r="CF242" s="55"/>
      <c r="CG242" s="55"/>
      <c r="CH242" s="55"/>
      <c r="CI242" s="55"/>
      <c r="CJ242" s="55"/>
      <c r="CK242" s="55"/>
      <c r="CL242" s="55"/>
      <c r="CM242" s="55"/>
      <c r="CN242" s="55"/>
      <c r="CO242" s="55"/>
      <c r="CP242" s="55"/>
      <c r="CQ242" s="55"/>
      <c r="CR242" s="55"/>
      <c r="CS242" s="55"/>
      <c r="CT242" s="55"/>
      <c r="CU242" s="55"/>
      <c r="CV242" s="55"/>
    </row>
    <row r="243" spans="1:100" x14ac:dyDescent="0.3">
      <c r="A243" s="43">
        <v>242</v>
      </c>
      <c r="B243" s="43">
        <v>85</v>
      </c>
      <c r="C243" s="102" t="s">
        <v>2542</v>
      </c>
      <c r="D243" s="148">
        <v>12</v>
      </c>
      <c r="E243" s="157" t="s">
        <v>3037</v>
      </c>
      <c r="F243" s="115" t="s">
        <v>3038</v>
      </c>
      <c r="G243" s="172">
        <v>34027</v>
      </c>
      <c r="H243" s="47">
        <f>+DATE(YEAR(G243)+57,MONTH(G243),DAY(G243))</f>
        <v>54846</v>
      </c>
      <c r="I243" s="48">
        <f>+EOMONTH(H243,0)+1</f>
        <v>54848</v>
      </c>
      <c r="J243" s="48">
        <v>54848</v>
      </c>
      <c r="K243" s="109">
        <v>45047</v>
      </c>
      <c r="L243" s="104" t="s">
        <v>723</v>
      </c>
      <c r="M243" s="112" t="s">
        <v>287</v>
      </c>
      <c r="N243" s="102" t="s">
        <v>281</v>
      </c>
      <c r="O243" s="109">
        <v>45139</v>
      </c>
      <c r="P243" s="110"/>
      <c r="Q243" s="159" t="s">
        <v>72</v>
      </c>
      <c r="R243" s="102">
        <v>1.41</v>
      </c>
      <c r="S243" s="113"/>
      <c r="T243" s="114">
        <v>0.1</v>
      </c>
      <c r="U243" s="52">
        <f t="shared" si="48"/>
        <v>6669300</v>
      </c>
      <c r="V243" s="52">
        <f>+S243*4410000</f>
        <v>0</v>
      </c>
      <c r="W243" s="52">
        <f>+T243*2340000</f>
        <v>234000</v>
      </c>
      <c r="X243" s="52">
        <f>+U243+V243+W243</f>
        <v>6903300</v>
      </c>
      <c r="Y243" s="52">
        <f>+VLOOKUP(E243,[2]Sheet1!$B$11:$J$400,9,0)</f>
        <v>6045600</v>
      </c>
      <c r="Z243" s="52"/>
      <c r="AA243" s="53" t="s">
        <v>3222</v>
      </c>
      <c r="AB243" s="114"/>
      <c r="AC243" s="45" t="str">
        <f>+VLOOKUP(E243,[3]Sheet1!$B$11:$I$388,8,0)</f>
        <v>60 - 171</v>
      </c>
      <c r="AD243" s="114" t="s">
        <v>1787</v>
      </c>
      <c r="AE243" s="123" t="s">
        <v>3039</v>
      </c>
      <c r="AF243" s="115"/>
      <c r="AG243" s="56"/>
      <c r="AH243" s="172" t="s">
        <v>3040</v>
      </c>
      <c r="AI243" s="114" t="s">
        <v>2427</v>
      </c>
      <c r="AJ243" s="114" t="s">
        <v>3041</v>
      </c>
      <c r="AK243" s="114"/>
      <c r="AL243" s="114"/>
      <c r="AM243" s="114"/>
      <c r="AN243" s="114"/>
      <c r="AO243" s="114"/>
      <c r="AP243" s="123" t="s">
        <v>3025</v>
      </c>
      <c r="AQ243" s="109">
        <v>45047</v>
      </c>
      <c r="AR243" s="114"/>
      <c r="AS243" s="114"/>
      <c r="AT243" s="109"/>
      <c r="AU243" s="114"/>
      <c r="AV243" s="109"/>
      <c r="AX243" s="55" t="s">
        <v>1518</v>
      </c>
    </row>
    <row r="244" spans="1:100" x14ac:dyDescent="0.3">
      <c r="A244" s="43">
        <v>243</v>
      </c>
      <c r="B244" s="43">
        <v>86</v>
      </c>
      <c r="C244" s="102" t="s">
        <v>2542</v>
      </c>
      <c r="D244" s="155">
        <v>1</v>
      </c>
      <c r="E244" s="109" t="s">
        <v>209</v>
      </c>
      <c r="F244" s="115" t="s">
        <v>416</v>
      </c>
      <c r="G244" s="109">
        <v>32275</v>
      </c>
      <c r="H244" s="47">
        <f t="shared" si="49"/>
        <v>53094</v>
      </c>
      <c r="I244" s="48">
        <f t="shared" si="47"/>
        <v>53114</v>
      </c>
      <c r="J244" s="48">
        <v>53114</v>
      </c>
      <c r="K244" s="109">
        <v>40756</v>
      </c>
      <c r="L244" s="104" t="s">
        <v>724</v>
      </c>
      <c r="M244" s="112" t="s">
        <v>287</v>
      </c>
      <c r="N244" s="102" t="s">
        <v>286</v>
      </c>
      <c r="O244" s="109">
        <v>45261</v>
      </c>
      <c r="P244" s="171"/>
      <c r="Q244" s="111" t="s">
        <v>71</v>
      </c>
      <c r="R244" s="112">
        <v>1.49</v>
      </c>
      <c r="S244" s="113">
        <v>0.06</v>
      </c>
      <c r="T244" s="114">
        <v>0.2</v>
      </c>
      <c r="U244" s="52">
        <f t="shared" si="48"/>
        <v>7047700</v>
      </c>
      <c r="V244" s="52">
        <f t="shared" si="45"/>
        <v>264600</v>
      </c>
      <c r="W244" s="52">
        <f t="shared" si="50"/>
        <v>468000</v>
      </c>
      <c r="X244" s="52">
        <f t="shared" si="42"/>
        <v>7780300</v>
      </c>
      <c r="Y244" s="52">
        <f>+VLOOKUP(E244,[2]Sheet1!$B$11:$J$400,9,0)</f>
        <v>6808000</v>
      </c>
      <c r="Z244" s="52"/>
      <c r="AA244" s="53" t="s">
        <v>1690</v>
      </c>
      <c r="AB244" s="114" t="s">
        <v>1246</v>
      </c>
      <c r="AC244" s="45" t="str">
        <f>+VLOOKUP(E244,[3]Sheet1!$B$11:$I$388,8,0)</f>
        <v>60 - 005</v>
      </c>
      <c r="AD244" s="114" t="s">
        <v>1787</v>
      </c>
      <c r="AE244" s="114" t="s">
        <v>2882</v>
      </c>
      <c r="AF244" s="115" t="s">
        <v>2474</v>
      </c>
      <c r="AG244" s="45">
        <f>+VALUE(AF235:AF619)</f>
        <v>261025451</v>
      </c>
      <c r="AH244" s="114" t="s">
        <v>1252</v>
      </c>
      <c r="AI244" s="114" t="s">
        <v>515</v>
      </c>
      <c r="AJ244" s="114" t="s">
        <v>1253</v>
      </c>
      <c r="AK244" s="116" t="s">
        <v>1254</v>
      </c>
      <c r="AL244" s="114"/>
      <c r="AM244" s="114"/>
      <c r="AN244" s="114"/>
      <c r="AO244" s="114" t="s">
        <v>504</v>
      </c>
      <c r="AP244" s="114"/>
      <c r="AQ244" s="114"/>
      <c r="AR244" s="114"/>
      <c r="AS244" s="114"/>
      <c r="AT244" s="114"/>
      <c r="AU244" s="114"/>
      <c r="AV244" s="114"/>
      <c r="AW244" s="55" t="s">
        <v>2292</v>
      </c>
      <c r="AX244" s="55" t="s">
        <v>1518</v>
      </c>
    </row>
    <row r="245" spans="1:100" x14ac:dyDescent="0.3">
      <c r="A245" s="43">
        <v>244</v>
      </c>
      <c r="B245" s="43">
        <v>87</v>
      </c>
      <c r="C245" s="102" t="s">
        <v>2542</v>
      </c>
      <c r="D245" s="155">
        <v>2</v>
      </c>
      <c r="E245" s="149" t="s">
        <v>212</v>
      </c>
      <c r="F245" s="115" t="s">
        <v>420</v>
      </c>
      <c r="G245" s="109">
        <v>32596</v>
      </c>
      <c r="H245" s="47">
        <f t="shared" si="49"/>
        <v>53415</v>
      </c>
      <c r="I245" s="48">
        <f t="shared" si="47"/>
        <v>53418</v>
      </c>
      <c r="J245" s="48">
        <v>53418</v>
      </c>
      <c r="K245" s="109">
        <v>41671</v>
      </c>
      <c r="L245" s="104" t="s">
        <v>724</v>
      </c>
      <c r="M245" s="112" t="s">
        <v>287</v>
      </c>
      <c r="N245" s="102" t="s">
        <v>281</v>
      </c>
      <c r="O245" s="109">
        <v>45261</v>
      </c>
      <c r="P245" s="110"/>
      <c r="Q245" s="162" t="s">
        <v>71</v>
      </c>
      <c r="R245" s="102">
        <v>1.49</v>
      </c>
      <c r="S245" s="113"/>
      <c r="T245" s="114">
        <v>0.2</v>
      </c>
      <c r="U245" s="52">
        <f t="shared" si="48"/>
        <v>7047700</v>
      </c>
      <c r="V245" s="52">
        <f t="shared" si="45"/>
        <v>0</v>
      </c>
      <c r="W245" s="52">
        <f t="shared" si="50"/>
        <v>468000</v>
      </c>
      <c r="X245" s="52">
        <f t="shared" si="42"/>
        <v>7515700</v>
      </c>
      <c r="Y245" s="52">
        <f>+VLOOKUP(E245,[2]Sheet1!$B$11:$J$400,9,0)</f>
        <v>6558400</v>
      </c>
      <c r="Z245" s="52"/>
      <c r="AA245" s="53" t="s">
        <v>1694</v>
      </c>
      <c r="AB245" s="114" t="s">
        <v>1261</v>
      </c>
      <c r="AC245" s="45" t="str">
        <f>+VLOOKUP(E245,[3]Sheet1!$B$11:$I$388,8,0)</f>
        <v>60 - 152</v>
      </c>
      <c r="AD245" s="114" t="s">
        <v>1787</v>
      </c>
      <c r="AE245" s="114" t="s">
        <v>2889</v>
      </c>
      <c r="AF245" s="115" t="s">
        <v>2477</v>
      </c>
      <c r="AG245" s="45">
        <f>+VALUE(AF245:AF625)</f>
        <v>261219189</v>
      </c>
      <c r="AH245" s="114" t="s">
        <v>1262</v>
      </c>
      <c r="AI245" s="114" t="s">
        <v>515</v>
      </c>
      <c r="AJ245" s="114" t="s">
        <v>1188</v>
      </c>
      <c r="AK245" s="116" t="s">
        <v>1188</v>
      </c>
      <c r="AL245" s="114"/>
      <c r="AM245" s="114"/>
      <c r="AN245" s="114"/>
      <c r="AO245" s="114"/>
      <c r="AP245" s="114" t="s">
        <v>511</v>
      </c>
      <c r="AQ245" s="114"/>
      <c r="AR245" s="114"/>
      <c r="AS245" s="114"/>
      <c r="AT245" s="114"/>
      <c r="AU245" s="114"/>
      <c r="AV245" s="114"/>
      <c r="AW245" s="55" t="s">
        <v>2298</v>
      </c>
      <c r="AX245" s="55" t="s">
        <v>1518</v>
      </c>
    </row>
    <row r="246" spans="1:100" s="161" customFormat="1" x14ac:dyDescent="0.3">
      <c r="A246" s="43">
        <v>245</v>
      </c>
      <c r="B246" s="43">
        <v>88</v>
      </c>
      <c r="C246" s="102" t="s">
        <v>2542</v>
      </c>
      <c r="D246" s="155">
        <v>3</v>
      </c>
      <c r="E246" s="149" t="s">
        <v>213</v>
      </c>
      <c r="F246" s="115" t="s">
        <v>421</v>
      </c>
      <c r="G246" s="109">
        <v>32274</v>
      </c>
      <c r="H246" s="47">
        <f t="shared" si="49"/>
        <v>53093</v>
      </c>
      <c r="I246" s="48">
        <f t="shared" si="47"/>
        <v>53114</v>
      </c>
      <c r="J246" s="48">
        <v>53114</v>
      </c>
      <c r="K246" s="109">
        <v>41609</v>
      </c>
      <c r="L246" s="104" t="s">
        <v>724</v>
      </c>
      <c r="M246" s="112" t="s">
        <v>287</v>
      </c>
      <c r="N246" s="102" t="s">
        <v>281</v>
      </c>
      <c r="O246" s="110" t="s">
        <v>3238</v>
      </c>
      <c r="P246" s="110"/>
      <c r="Q246" s="162" t="s">
        <v>71</v>
      </c>
      <c r="R246" s="102">
        <v>1.49</v>
      </c>
      <c r="S246" s="113"/>
      <c r="T246" s="114">
        <v>0.2</v>
      </c>
      <c r="U246" s="52">
        <f t="shared" si="48"/>
        <v>7047700</v>
      </c>
      <c r="V246" s="52">
        <f t="shared" si="45"/>
        <v>0</v>
      </c>
      <c r="W246" s="52">
        <f t="shared" si="50"/>
        <v>468000</v>
      </c>
      <c r="X246" s="52">
        <f t="shared" si="42"/>
        <v>7515700</v>
      </c>
      <c r="Y246" s="52">
        <f>+VLOOKUP(E246,[2]Sheet1!$B$11:$J$400,9,0)</f>
        <v>6225600</v>
      </c>
      <c r="Z246" s="52"/>
      <c r="AA246" s="53" t="s">
        <v>1695</v>
      </c>
      <c r="AB246" s="114" t="s">
        <v>608</v>
      </c>
      <c r="AC246" s="45" t="str">
        <f>+VLOOKUP(E246,[3]Sheet1!$B$11:$I$388,8,0)</f>
        <v>60 - 152</v>
      </c>
      <c r="AD246" s="114" t="s">
        <v>1787</v>
      </c>
      <c r="AE246" s="114" t="s">
        <v>2890</v>
      </c>
      <c r="AF246" s="115" t="s">
        <v>2478</v>
      </c>
      <c r="AG246" s="45">
        <f>+VALUE(AF246:AF626)</f>
        <v>261083783</v>
      </c>
      <c r="AH246" s="114" t="s">
        <v>1263</v>
      </c>
      <c r="AI246" s="114" t="s">
        <v>515</v>
      </c>
      <c r="AJ246" s="114" t="s">
        <v>1264</v>
      </c>
      <c r="AK246" s="116" t="s">
        <v>1265</v>
      </c>
      <c r="AL246" s="114"/>
      <c r="AM246" s="114"/>
      <c r="AN246" s="114"/>
      <c r="AO246" s="114" t="s">
        <v>504</v>
      </c>
      <c r="AP246" s="114"/>
      <c r="AQ246" s="114"/>
      <c r="AR246" s="114"/>
      <c r="AS246" s="114"/>
      <c r="AT246" s="114"/>
      <c r="AU246" s="114"/>
      <c r="AV246" s="114"/>
      <c r="AW246" s="55" t="s">
        <v>2299</v>
      </c>
      <c r="AX246" s="55" t="s">
        <v>1518</v>
      </c>
      <c r="AY246" s="55"/>
      <c r="AZ246" s="55"/>
      <c r="BA246" s="55"/>
      <c r="BB246" s="55"/>
      <c r="BC246" s="55"/>
      <c r="BD246" s="55"/>
      <c r="BE246" s="55"/>
      <c r="BF246" s="55"/>
      <c r="BG246" s="55"/>
      <c r="BH246" s="55"/>
      <c r="BI246" s="55"/>
      <c r="BJ246" s="55"/>
      <c r="BK246" s="55"/>
      <c r="BL246" s="55"/>
      <c r="BM246" s="55"/>
      <c r="BN246" s="55"/>
      <c r="BO246" s="55"/>
      <c r="BP246" s="55"/>
      <c r="BQ246" s="55"/>
      <c r="BR246" s="55"/>
      <c r="BS246" s="55"/>
      <c r="BT246" s="55"/>
      <c r="BU246" s="55"/>
      <c r="BV246" s="55"/>
      <c r="BW246" s="55"/>
      <c r="BX246" s="55"/>
      <c r="BY246" s="55"/>
      <c r="BZ246" s="55"/>
      <c r="CA246" s="55"/>
      <c r="CB246" s="55"/>
      <c r="CC246" s="55"/>
      <c r="CD246" s="55"/>
      <c r="CE246" s="55"/>
      <c r="CF246" s="55"/>
      <c r="CG246" s="55"/>
      <c r="CH246" s="55"/>
      <c r="CI246" s="55"/>
      <c r="CJ246" s="55"/>
      <c r="CK246" s="55"/>
      <c r="CL246" s="55"/>
      <c r="CM246" s="55"/>
      <c r="CN246" s="55"/>
      <c r="CO246" s="55"/>
      <c r="CP246" s="55"/>
      <c r="CQ246" s="55"/>
      <c r="CR246" s="55"/>
      <c r="CS246" s="55"/>
      <c r="CT246" s="55"/>
      <c r="CU246" s="55"/>
      <c r="CV246" s="55"/>
    </row>
    <row r="247" spans="1:100" s="161" customFormat="1" x14ac:dyDescent="0.3">
      <c r="A247" s="43">
        <v>246</v>
      </c>
      <c r="B247" s="43">
        <v>89</v>
      </c>
      <c r="C247" s="102" t="s">
        <v>2542</v>
      </c>
      <c r="D247" s="155">
        <v>4</v>
      </c>
      <c r="E247" s="109" t="s">
        <v>214</v>
      </c>
      <c r="F247" s="115" t="s">
        <v>422</v>
      </c>
      <c r="G247" s="109">
        <v>32744</v>
      </c>
      <c r="H247" s="47">
        <f t="shared" si="49"/>
        <v>53563</v>
      </c>
      <c r="I247" s="48">
        <f t="shared" si="47"/>
        <v>53571</v>
      </c>
      <c r="J247" s="48">
        <v>53571</v>
      </c>
      <c r="K247" s="109">
        <v>40787</v>
      </c>
      <c r="L247" s="104" t="s">
        <v>724</v>
      </c>
      <c r="M247" s="112" t="s">
        <v>287</v>
      </c>
      <c r="N247" s="102" t="s">
        <v>281</v>
      </c>
      <c r="O247" s="171" t="s">
        <v>3410</v>
      </c>
      <c r="P247" s="171"/>
      <c r="Q247" s="162" t="s">
        <v>76</v>
      </c>
      <c r="R247" s="102">
        <v>1.58</v>
      </c>
      <c r="S247" s="113"/>
      <c r="T247" s="114">
        <v>0.2</v>
      </c>
      <c r="U247" s="52">
        <f t="shared" si="48"/>
        <v>7473400</v>
      </c>
      <c r="V247" s="52">
        <f t="shared" si="45"/>
        <v>0</v>
      </c>
      <c r="W247" s="52">
        <f t="shared" si="50"/>
        <v>468000</v>
      </c>
      <c r="X247" s="52">
        <f t="shared" si="42"/>
        <v>7941400</v>
      </c>
      <c r="Y247" s="52">
        <f>+VLOOKUP(E247,[2]Sheet1!$B$11:$J$400,9,0)</f>
        <v>6558400</v>
      </c>
      <c r="Z247" s="52"/>
      <c r="AA247" s="53" t="s">
        <v>1696</v>
      </c>
      <c r="AB247" s="114" t="s">
        <v>1246</v>
      </c>
      <c r="AC247" s="45" t="str">
        <f>+VLOOKUP(E247,[3]Sheet1!$B$11:$I$388,8,0)</f>
        <v>60 - 152</v>
      </c>
      <c r="AD247" s="114" t="s">
        <v>1787</v>
      </c>
      <c r="AE247" s="114" t="s">
        <v>2891</v>
      </c>
      <c r="AF247" s="115" t="s">
        <v>2479</v>
      </c>
      <c r="AG247" s="45">
        <f>+VALUE(AF247:AF627)</f>
        <v>261182381</v>
      </c>
      <c r="AH247" s="114" t="s">
        <v>1266</v>
      </c>
      <c r="AI247" s="114" t="s">
        <v>515</v>
      </c>
      <c r="AJ247" s="114" t="s">
        <v>1188</v>
      </c>
      <c r="AK247" s="116" t="s">
        <v>1188</v>
      </c>
      <c r="AL247" s="114"/>
      <c r="AM247" s="114"/>
      <c r="AN247" s="114"/>
      <c r="AO247" s="114" t="s">
        <v>504</v>
      </c>
      <c r="AP247" s="114"/>
      <c r="AQ247" s="114"/>
      <c r="AR247" s="114"/>
      <c r="AS247" s="114"/>
      <c r="AT247" s="114"/>
      <c r="AU247" s="114"/>
      <c r="AV247" s="114"/>
      <c r="AW247" s="55" t="s">
        <v>2300</v>
      </c>
      <c r="AX247" s="55" t="s">
        <v>1518</v>
      </c>
      <c r="AY247" s="55"/>
      <c r="AZ247" s="55"/>
      <c r="BA247" s="55"/>
      <c r="BB247" s="55"/>
      <c r="BC247" s="55"/>
      <c r="BD247" s="55"/>
      <c r="BE247" s="55"/>
      <c r="BF247" s="55"/>
      <c r="BG247" s="55"/>
      <c r="BH247" s="55"/>
      <c r="BI247" s="55"/>
    </row>
    <row r="248" spans="1:100" s="161" customFormat="1" x14ac:dyDescent="0.3">
      <c r="A248" s="43">
        <v>247</v>
      </c>
      <c r="B248" s="43">
        <v>90</v>
      </c>
      <c r="C248" s="102" t="s">
        <v>2542</v>
      </c>
      <c r="D248" s="155">
        <v>5</v>
      </c>
      <c r="E248" s="149" t="s">
        <v>2015</v>
      </c>
      <c r="F248" s="115" t="s">
        <v>2016</v>
      </c>
      <c r="G248" s="172">
        <v>33981</v>
      </c>
      <c r="H248" s="47">
        <f t="shared" si="49"/>
        <v>54800</v>
      </c>
      <c r="I248" s="48">
        <f t="shared" si="47"/>
        <v>54820</v>
      </c>
      <c r="J248" s="48">
        <v>54820</v>
      </c>
      <c r="K248" s="109">
        <v>43965</v>
      </c>
      <c r="L248" s="104" t="s">
        <v>724</v>
      </c>
      <c r="M248" s="112" t="s">
        <v>287</v>
      </c>
      <c r="N248" s="102" t="s">
        <v>281</v>
      </c>
      <c r="O248" s="171" t="s">
        <v>3410</v>
      </c>
      <c r="P248" s="171"/>
      <c r="Q248" s="162" t="s">
        <v>71</v>
      </c>
      <c r="R248" s="102">
        <v>1.49</v>
      </c>
      <c r="S248" s="113"/>
      <c r="T248" s="114">
        <v>0.2</v>
      </c>
      <c r="U248" s="52">
        <f t="shared" si="48"/>
        <v>7047700</v>
      </c>
      <c r="V248" s="52">
        <f t="shared" ref="V248:V279" si="51">+S248*4410000</f>
        <v>0</v>
      </c>
      <c r="W248" s="52">
        <f t="shared" si="50"/>
        <v>468000</v>
      </c>
      <c r="X248" s="52">
        <f t="shared" si="42"/>
        <v>7515700</v>
      </c>
      <c r="Y248" s="52">
        <f>+VLOOKUP(E248,[2]Sheet1!$B$11:$J$400,9,0)</f>
        <v>6225600</v>
      </c>
      <c r="Z248" s="52"/>
      <c r="AA248" s="53" t="s">
        <v>2708</v>
      </c>
      <c r="AB248" s="114"/>
      <c r="AC248" s="45" t="str">
        <f>+VLOOKUP(E248,[3]Sheet1!$B$11:$I$388,8,0)</f>
        <v>60 - 152</v>
      </c>
      <c r="AD248" s="114" t="s">
        <v>1787</v>
      </c>
      <c r="AE248" s="114" t="s">
        <v>2892</v>
      </c>
      <c r="AF248" s="115" t="s">
        <v>2017</v>
      </c>
      <c r="AG248" s="45">
        <f>+VALUE(AF248:AF630)</f>
        <v>261286315</v>
      </c>
      <c r="AH248" s="172" t="s">
        <v>1190</v>
      </c>
      <c r="AI248" s="114" t="s">
        <v>515</v>
      </c>
      <c r="AJ248" s="114" t="s">
        <v>2018</v>
      </c>
      <c r="AK248" s="116"/>
      <c r="AL248" s="114"/>
      <c r="AM248" s="114"/>
      <c r="AN248" s="114" t="s">
        <v>562</v>
      </c>
      <c r="AO248" s="114"/>
      <c r="AP248" s="114"/>
      <c r="AQ248" s="114"/>
      <c r="AR248" s="114"/>
      <c r="AS248" s="114"/>
      <c r="AT248" s="109">
        <v>43809</v>
      </c>
      <c r="AU248" s="114"/>
      <c r="AV248" s="109">
        <v>44540</v>
      </c>
      <c r="AW248" s="55" t="s">
        <v>2301</v>
      </c>
      <c r="AX248" s="55" t="s">
        <v>1518</v>
      </c>
      <c r="AY248" s="55"/>
      <c r="AZ248" s="55"/>
      <c r="BA248" s="55"/>
      <c r="BB248" s="55"/>
      <c r="BC248" s="55"/>
      <c r="BD248" s="55"/>
      <c r="BE248" s="55"/>
      <c r="BF248" s="55"/>
      <c r="BG248" s="55"/>
      <c r="BH248" s="55"/>
      <c r="BI248" s="55"/>
      <c r="BJ248" s="55"/>
      <c r="BK248" s="55"/>
      <c r="BL248" s="55"/>
      <c r="BM248" s="55"/>
      <c r="BN248" s="55"/>
      <c r="BO248" s="55"/>
      <c r="BP248" s="55"/>
      <c r="BQ248" s="55"/>
      <c r="BR248" s="55"/>
      <c r="BS248" s="55"/>
      <c r="BT248" s="55"/>
      <c r="BU248" s="55"/>
      <c r="BV248" s="55"/>
      <c r="BW248" s="55"/>
      <c r="BX248" s="55"/>
      <c r="BY248" s="55"/>
      <c r="BZ248" s="55"/>
      <c r="CA248" s="55"/>
      <c r="CB248" s="55"/>
      <c r="CC248" s="55"/>
      <c r="CD248" s="55"/>
      <c r="CE248" s="55"/>
      <c r="CF248" s="55"/>
      <c r="CG248" s="55"/>
      <c r="CH248" s="55"/>
      <c r="CI248" s="55"/>
      <c r="CJ248" s="55"/>
      <c r="CK248" s="55"/>
      <c r="CL248" s="55"/>
      <c r="CM248" s="55"/>
      <c r="CN248" s="55"/>
      <c r="CO248" s="55"/>
      <c r="CP248" s="55"/>
      <c r="CQ248" s="55"/>
      <c r="CR248" s="55"/>
      <c r="CS248" s="55"/>
      <c r="CT248" s="55"/>
      <c r="CU248" s="55"/>
      <c r="CV248" s="55"/>
    </row>
    <row r="249" spans="1:100" s="161" customFormat="1" x14ac:dyDescent="0.3">
      <c r="A249" s="43">
        <v>248</v>
      </c>
      <c r="B249" s="43">
        <v>91</v>
      </c>
      <c r="C249" s="102" t="s">
        <v>2542</v>
      </c>
      <c r="D249" s="155">
        <v>6</v>
      </c>
      <c r="E249" s="149" t="s">
        <v>2083</v>
      </c>
      <c r="F249" s="115" t="s">
        <v>1985</v>
      </c>
      <c r="G249" s="109">
        <v>32133</v>
      </c>
      <c r="H249" s="47">
        <f t="shared" si="49"/>
        <v>52953</v>
      </c>
      <c r="I249" s="48">
        <f t="shared" si="47"/>
        <v>52963</v>
      </c>
      <c r="J249" s="48">
        <v>52963</v>
      </c>
      <c r="K249" s="109">
        <v>43678</v>
      </c>
      <c r="L249" s="104" t="s">
        <v>724</v>
      </c>
      <c r="M249" s="112" t="s">
        <v>287</v>
      </c>
      <c r="N249" s="102" t="s">
        <v>281</v>
      </c>
      <c r="O249" s="109">
        <v>45778</v>
      </c>
      <c r="P249" s="171"/>
      <c r="Q249" s="158" t="s">
        <v>71</v>
      </c>
      <c r="R249" s="102">
        <v>1.49</v>
      </c>
      <c r="S249" s="113"/>
      <c r="T249" s="114">
        <v>0.2</v>
      </c>
      <c r="U249" s="52">
        <f t="shared" si="48"/>
        <v>7047700</v>
      </c>
      <c r="V249" s="52">
        <f t="shared" si="51"/>
        <v>0</v>
      </c>
      <c r="W249" s="52">
        <f t="shared" si="50"/>
        <v>468000</v>
      </c>
      <c r="X249" s="52">
        <f t="shared" si="42"/>
        <v>7515700</v>
      </c>
      <c r="Y249" s="52">
        <f>+VLOOKUP(E249,[2]Sheet1!$B$11:$J$400,9,0)</f>
        <v>6558400</v>
      </c>
      <c r="Z249" s="52"/>
      <c r="AA249" s="53" t="s">
        <v>1992</v>
      </c>
      <c r="AB249" s="114" t="s">
        <v>608</v>
      </c>
      <c r="AC249" s="45" t="str">
        <f>+VLOOKUP(E249,[3]Sheet1!$B$11:$I$388,8,0)</f>
        <v>60 - 152</v>
      </c>
      <c r="AD249" s="114" t="s">
        <v>1787</v>
      </c>
      <c r="AE249" s="114" t="s">
        <v>2893</v>
      </c>
      <c r="AF249" s="115" t="s">
        <v>1986</v>
      </c>
      <c r="AG249" s="114">
        <f>+VALUE(AF249:AF631)</f>
        <v>261102835</v>
      </c>
      <c r="AH249" s="172" t="s">
        <v>1987</v>
      </c>
      <c r="AI249" s="114" t="s">
        <v>515</v>
      </c>
      <c r="AJ249" s="114" t="s">
        <v>1988</v>
      </c>
      <c r="AK249" s="116" t="s">
        <v>1989</v>
      </c>
      <c r="AL249" s="114"/>
      <c r="AM249" s="114"/>
      <c r="AN249" s="114"/>
      <c r="AO249" s="114" t="s">
        <v>504</v>
      </c>
      <c r="AP249" s="114"/>
      <c r="AQ249" s="114"/>
      <c r="AR249" s="114"/>
      <c r="AS249" s="114"/>
      <c r="AT249" s="109">
        <v>43685</v>
      </c>
      <c r="AU249" s="114"/>
      <c r="AV249" s="109">
        <v>44416</v>
      </c>
      <c r="AW249" s="161" t="s">
        <v>2302</v>
      </c>
      <c r="AX249" s="161" t="s">
        <v>1518</v>
      </c>
      <c r="BJ249" s="55"/>
      <c r="BK249" s="55"/>
      <c r="BL249" s="55"/>
      <c r="BM249" s="55"/>
      <c r="BN249" s="55"/>
      <c r="BO249" s="55"/>
      <c r="BP249" s="55"/>
      <c r="BQ249" s="55"/>
      <c r="BR249" s="55"/>
      <c r="BS249" s="55"/>
      <c r="BT249" s="55"/>
      <c r="BU249" s="55"/>
      <c r="BV249" s="55"/>
      <c r="BW249" s="55"/>
      <c r="BX249" s="55"/>
      <c r="BY249" s="55"/>
      <c r="BZ249" s="55"/>
      <c r="CA249" s="55"/>
      <c r="CB249" s="55"/>
      <c r="CC249" s="55"/>
      <c r="CD249" s="55"/>
      <c r="CE249" s="55"/>
      <c r="CF249" s="55"/>
      <c r="CG249" s="55"/>
      <c r="CH249" s="55"/>
      <c r="CI249" s="55"/>
      <c r="CJ249" s="55"/>
      <c r="CK249" s="55"/>
      <c r="CL249" s="55"/>
      <c r="CM249" s="55"/>
      <c r="CN249" s="55"/>
      <c r="CO249" s="55"/>
      <c r="CP249" s="55"/>
      <c r="CQ249" s="55"/>
      <c r="CR249" s="55"/>
      <c r="CS249" s="55"/>
      <c r="CT249" s="55"/>
      <c r="CU249" s="55"/>
      <c r="CV249" s="55"/>
    </row>
    <row r="250" spans="1:100" s="161" customFormat="1" x14ac:dyDescent="0.3">
      <c r="A250" s="43">
        <v>249</v>
      </c>
      <c r="B250" s="43">
        <v>92</v>
      </c>
      <c r="C250" s="102" t="s">
        <v>2542</v>
      </c>
      <c r="D250" s="155">
        <v>7</v>
      </c>
      <c r="E250" s="149" t="s">
        <v>2028</v>
      </c>
      <c r="F250" s="115" t="s">
        <v>3306</v>
      </c>
      <c r="G250" s="109">
        <v>35471</v>
      </c>
      <c r="H250" s="47">
        <f t="shared" si="49"/>
        <v>56290</v>
      </c>
      <c r="I250" s="48">
        <f t="shared" si="47"/>
        <v>56309</v>
      </c>
      <c r="J250" s="48">
        <v>56309</v>
      </c>
      <c r="K250" s="109">
        <v>43908</v>
      </c>
      <c r="L250" s="104" t="s">
        <v>724</v>
      </c>
      <c r="M250" s="112" t="s">
        <v>287</v>
      </c>
      <c r="N250" s="102" t="s">
        <v>285</v>
      </c>
      <c r="O250" s="109">
        <v>45839</v>
      </c>
      <c r="P250" s="171"/>
      <c r="Q250" s="158" t="s">
        <v>71</v>
      </c>
      <c r="R250" s="102">
        <v>1.49</v>
      </c>
      <c r="S250" s="113">
        <v>0.04</v>
      </c>
      <c r="T250" s="114">
        <v>0.2</v>
      </c>
      <c r="U250" s="52">
        <f t="shared" si="48"/>
        <v>7047700</v>
      </c>
      <c r="V250" s="52">
        <f t="shared" si="51"/>
        <v>176400</v>
      </c>
      <c r="W250" s="52">
        <f t="shared" si="50"/>
        <v>468000</v>
      </c>
      <c r="X250" s="52">
        <f t="shared" si="42"/>
        <v>7692100</v>
      </c>
      <c r="Y250" s="52">
        <f>+VLOOKUP(E250,[2]Sheet1!$B$11:$J$400,9,0)</f>
        <v>6392000</v>
      </c>
      <c r="Z250" s="52"/>
      <c r="AA250" s="53" t="s">
        <v>2709</v>
      </c>
      <c r="AB250" s="114"/>
      <c r="AC250" s="45" t="str">
        <f>+VLOOKUP(E250,[3]Sheet1!$B$11:$I$388,8,0)</f>
        <v>60 - 152</v>
      </c>
      <c r="AD250" s="114" t="s">
        <v>1787</v>
      </c>
      <c r="AE250" s="114" t="s">
        <v>2894</v>
      </c>
      <c r="AF250" s="115" t="s">
        <v>2029</v>
      </c>
      <c r="AG250" s="45">
        <f>+VALUE(AF250:AF632)</f>
        <v>261396650</v>
      </c>
      <c r="AH250" s="172" t="s">
        <v>2030</v>
      </c>
      <c r="AI250" s="114" t="s">
        <v>515</v>
      </c>
      <c r="AJ250" s="114" t="s">
        <v>2031</v>
      </c>
      <c r="AK250" s="116" t="s">
        <v>2032</v>
      </c>
      <c r="AL250" s="114"/>
      <c r="AM250" s="114" t="s">
        <v>512</v>
      </c>
      <c r="AN250" s="114"/>
      <c r="AO250" s="114"/>
      <c r="AP250" s="114"/>
      <c r="AQ250" s="114"/>
      <c r="AR250" s="114"/>
      <c r="AS250" s="114"/>
      <c r="AT250" s="109">
        <v>43907</v>
      </c>
      <c r="AU250" s="114"/>
      <c r="AV250" s="109">
        <v>44638</v>
      </c>
      <c r="AW250" s="55" t="s">
        <v>2303</v>
      </c>
      <c r="AX250" s="55" t="s">
        <v>1518</v>
      </c>
      <c r="AY250" s="55"/>
      <c r="AZ250" s="55"/>
      <c r="BA250" s="55"/>
      <c r="BB250" s="55"/>
      <c r="BC250" s="55"/>
      <c r="BD250" s="55"/>
      <c r="BE250" s="55"/>
      <c r="BF250" s="55"/>
      <c r="BG250" s="55"/>
      <c r="BH250" s="55"/>
      <c r="BI250" s="55"/>
      <c r="BJ250" s="55"/>
      <c r="BK250" s="55"/>
      <c r="BL250" s="55"/>
      <c r="BM250" s="55"/>
      <c r="BN250" s="55"/>
      <c r="BO250" s="55"/>
      <c r="BP250" s="55"/>
      <c r="BQ250" s="55"/>
      <c r="BR250" s="55"/>
      <c r="BS250" s="55"/>
      <c r="BT250" s="55"/>
      <c r="BU250" s="55"/>
      <c r="BV250" s="55"/>
      <c r="BW250" s="55"/>
      <c r="BX250" s="55"/>
      <c r="BY250" s="55"/>
      <c r="BZ250" s="55"/>
      <c r="CA250" s="55"/>
      <c r="CB250" s="55"/>
      <c r="CC250" s="55"/>
      <c r="CD250" s="55"/>
      <c r="CE250" s="55"/>
      <c r="CF250" s="55"/>
      <c r="CG250" s="55"/>
      <c r="CH250" s="55"/>
      <c r="CI250" s="55"/>
      <c r="CJ250" s="55"/>
      <c r="CK250" s="55"/>
      <c r="CL250" s="55"/>
      <c r="CM250" s="55"/>
      <c r="CN250" s="55"/>
      <c r="CO250" s="55"/>
      <c r="CP250" s="55"/>
      <c r="CQ250" s="55"/>
      <c r="CR250" s="55"/>
      <c r="CS250" s="55"/>
      <c r="CT250" s="55"/>
      <c r="CU250" s="55"/>
      <c r="CV250" s="55"/>
    </row>
    <row r="251" spans="1:100" x14ac:dyDescent="0.3">
      <c r="A251" s="43">
        <v>250</v>
      </c>
      <c r="B251" s="43">
        <v>93</v>
      </c>
      <c r="C251" s="102" t="s">
        <v>2542</v>
      </c>
      <c r="D251" s="155">
        <v>8</v>
      </c>
      <c r="E251" s="149" t="s">
        <v>3103</v>
      </c>
      <c r="F251" s="115" t="s">
        <v>3104</v>
      </c>
      <c r="G251" s="172">
        <v>34809</v>
      </c>
      <c r="H251" s="47">
        <f t="shared" si="49"/>
        <v>55629</v>
      </c>
      <c r="I251" s="48">
        <f t="shared" ref="I251:I282" si="52">+EOMONTH(H251,0)+1</f>
        <v>55640</v>
      </c>
      <c r="J251" s="48">
        <v>58383</v>
      </c>
      <c r="K251" s="109">
        <v>45261</v>
      </c>
      <c r="L251" s="104" t="s">
        <v>724</v>
      </c>
      <c r="M251" s="112" t="s">
        <v>287</v>
      </c>
      <c r="N251" s="102" t="s">
        <v>281</v>
      </c>
      <c r="O251" s="109">
        <v>45261</v>
      </c>
      <c r="P251" s="171"/>
      <c r="Q251" s="159" t="s">
        <v>72</v>
      </c>
      <c r="R251" s="102">
        <v>1.41</v>
      </c>
      <c r="S251" s="113"/>
      <c r="T251" s="114">
        <v>0.2</v>
      </c>
      <c r="U251" s="52">
        <f t="shared" si="48"/>
        <v>6669300</v>
      </c>
      <c r="V251" s="52">
        <f t="shared" si="51"/>
        <v>0</v>
      </c>
      <c r="W251" s="52">
        <f t="shared" si="50"/>
        <v>468000</v>
      </c>
      <c r="X251" s="52">
        <f t="shared" si="42"/>
        <v>7137300</v>
      </c>
      <c r="Y251" s="52">
        <f>+VLOOKUP(E251,[2]Sheet1!$B$11:$J$400,9,0)</f>
        <v>6225600</v>
      </c>
      <c r="Z251" s="52"/>
      <c r="AA251" s="53" t="s">
        <v>3227</v>
      </c>
      <c r="AB251" s="114"/>
      <c r="AC251" s="45" t="str">
        <f>+VLOOKUP(E251,[3]Sheet1!$B$11:$I$388,8,0)</f>
        <v>60 - 170</v>
      </c>
      <c r="AD251" s="114" t="s">
        <v>1787</v>
      </c>
      <c r="AE251" s="123" t="s">
        <v>3105</v>
      </c>
      <c r="AF251" s="115"/>
      <c r="AG251" s="45"/>
      <c r="AH251" s="172" t="s">
        <v>3040</v>
      </c>
      <c r="AI251" s="114" t="s">
        <v>2427</v>
      </c>
      <c r="AJ251" s="114" t="s">
        <v>3106</v>
      </c>
      <c r="AK251" s="116"/>
      <c r="AL251" s="114"/>
      <c r="AM251" s="114"/>
      <c r="AN251" s="114"/>
      <c r="AO251" s="114"/>
      <c r="AP251" s="114" t="s">
        <v>2630</v>
      </c>
      <c r="AQ251" s="109">
        <v>45261</v>
      </c>
      <c r="AR251" s="114"/>
      <c r="AS251" s="109">
        <v>45292</v>
      </c>
      <c r="AT251" s="109"/>
      <c r="AU251" s="109"/>
      <c r="AV251" s="109">
        <v>46023</v>
      </c>
      <c r="AW251" s="77" t="s">
        <v>3107</v>
      </c>
      <c r="AX251" s="55" t="s">
        <v>1518</v>
      </c>
    </row>
    <row r="252" spans="1:100" x14ac:dyDescent="0.3">
      <c r="A252" s="43">
        <v>251</v>
      </c>
      <c r="B252" s="43">
        <v>94</v>
      </c>
      <c r="C252" s="102" t="s">
        <v>2542</v>
      </c>
      <c r="D252" s="155">
        <v>9</v>
      </c>
      <c r="E252" s="149" t="s">
        <v>3140</v>
      </c>
      <c r="F252" s="115" t="s">
        <v>3141</v>
      </c>
      <c r="G252" s="172">
        <v>36851</v>
      </c>
      <c r="H252" s="47">
        <f t="shared" si="49"/>
        <v>57670</v>
      </c>
      <c r="I252" s="48">
        <f t="shared" si="52"/>
        <v>57680</v>
      </c>
      <c r="J252" s="48">
        <v>58385</v>
      </c>
      <c r="K252" s="109">
        <v>45383</v>
      </c>
      <c r="L252" s="104" t="s">
        <v>724</v>
      </c>
      <c r="M252" s="112" t="s">
        <v>287</v>
      </c>
      <c r="N252" s="102" t="s">
        <v>281</v>
      </c>
      <c r="O252" s="109">
        <v>45383</v>
      </c>
      <c r="P252" s="171"/>
      <c r="Q252" s="159" t="s">
        <v>72</v>
      </c>
      <c r="R252" s="102">
        <v>1.41</v>
      </c>
      <c r="S252" s="113"/>
      <c r="T252" s="114">
        <v>0.2</v>
      </c>
      <c r="U252" s="52">
        <f t="shared" si="48"/>
        <v>6669300</v>
      </c>
      <c r="V252" s="52">
        <f t="shared" si="51"/>
        <v>0</v>
      </c>
      <c r="W252" s="52">
        <f t="shared" si="50"/>
        <v>468000</v>
      </c>
      <c r="X252" s="52">
        <f t="shared" si="42"/>
        <v>7137300</v>
      </c>
      <c r="Y252" s="52">
        <f>+VLOOKUP(E252,[2]Sheet1!$B$11:$J$400,9,0)</f>
        <v>6225600</v>
      </c>
      <c r="Z252" s="52"/>
      <c r="AA252" s="53" t="s">
        <v>3229</v>
      </c>
      <c r="AB252" s="114"/>
      <c r="AC252" s="45" t="e">
        <f>+VLOOKUP(E252,[3]Sheet1!$B$11:$I$388,8,0)</f>
        <v>#N/A</v>
      </c>
      <c r="AD252" s="114" t="s">
        <v>1787</v>
      </c>
      <c r="AE252" s="123" t="s">
        <v>3142</v>
      </c>
      <c r="AF252" s="115"/>
      <c r="AG252" s="45"/>
      <c r="AH252" s="172" t="s">
        <v>3143</v>
      </c>
      <c r="AI252" s="114" t="s">
        <v>2427</v>
      </c>
      <c r="AJ252" s="114" t="s">
        <v>2518</v>
      </c>
      <c r="AK252" s="116">
        <v>23119</v>
      </c>
      <c r="AL252" s="114"/>
      <c r="AM252" s="114"/>
      <c r="AN252" s="114"/>
      <c r="AO252" s="114"/>
      <c r="AP252" s="123" t="s">
        <v>3025</v>
      </c>
      <c r="AQ252" s="109">
        <v>45383</v>
      </c>
      <c r="AR252" s="114"/>
      <c r="AS252" s="114"/>
      <c r="AT252" s="109"/>
      <c r="AU252" s="109"/>
      <c r="AV252" s="109"/>
      <c r="AW252" s="77" t="s">
        <v>3144</v>
      </c>
      <c r="AX252" s="55" t="s">
        <v>1518</v>
      </c>
    </row>
    <row r="253" spans="1:100" s="161" customFormat="1" x14ac:dyDescent="0.3">
      <c r="A253" s="43">
        <v>252</v>
      </c>
      <c r="B253" s="43">
        <v>95</v>
      </c>
      <c r="C253" s="102" t="s">
        <v>2542</v>
      </c>
      <c r="D253" s="155">
        <v>10</v>
      </c>
      <c r="E253" s="149" t="s">
        <v>3353</v>
      </c>
      <c r="F253" s="115" t="s">
        <v>3354</v>
      </c>
      <c r="G253" s="172">
        <v>34211</v>
      </c>
      <c r="H253" s="47">
        <f>+DATE(YEAR(G253)+57,MONTH(G253),DAY(G253))</f>
        <v>55030</v>
      </c>
      <c r="I253" s="48">
        <f>+EOMONTH(H253,0)+1</f>
        <v>55032</v>
      </c>
      <c r="J253" s="48">
        <v>55032</v>
      </c>
      <c r="K253" s="109">
        <v>45717</v>
      </c>
      <c r="L253" s="104" t="s">
        <v>724</v>
      </c>
      <c r="M253" s="112" t="s">
        <v>287</v>
      </c>
      <c r="N253" s="102" t="s">
        <v>281</v>
      </c>
      <c r="O253" s="109">
        <v>45717</v>
      </c>
      <c r="P253" s="171"/>
      <c r="Q253" s="159" t="s">
        <v>72</v>
      </c>
      <c r="R253" s="102">
        <v>1.41</v>
      </c>
      <c r="S253" s="113"/>
      <c r="T253" s="114">
        <v>0.2</v>
      </c>
      <c r="U253" s="52">
        <f t="shared" si="48"/>
        <v>6669300</v>
      </c>
      <c r="V253" s="52">
        <f>+S253*4410000</f>
        <v>0</v>
      </c>
      <c r="W253" s="52">
        <f>+T253*2340000</f>
        <v>468000</v>
      </c>
      <c r="X253" s="52">
        <f>+U253+V253+W253</f>
        <v>7137300</v>
      </c>
      <c r="Y253" s="52"/>
      <c r="Z253" s="52"/>
      <c r="AA253" s="73">
        <v>6020690454</v>
      </c>
      <c r="AB253" s="114" t="s">
        <v>3358</v>
      </c>
      <c r="AC253" s="45"/>
      <c r="AD253" s="114" t="s">
        <v>1787</v>
      </c>
      <c r="AE253" s="150" t="s">
        <v>3355</v>
      </c>
      <c r="AF253" s="115"/>
      <c r="AG253" s="45"/>
      <c r="AH253" s="189">
        <v>44740</v>
      </c>
      <c r="AI253" s="114" t="s">
        <v>2427</v>
      </c>
      <c r="AJ253" s="114" t="s">
        <v>3357</v>
      </c>
      <c r="AK253" s="116"/>
      <c r="AL253" s="114"/>
      <c r="AM253" s="114"/>
      <c r="AN253" s="114"/>
      <c r="AO253" s="114"/>
      <c r="AP253" s="91" t="s">
        <v>3356</v>
      </c>
      <c r="AQ253" s="109">
        <v>45689</v>
      </c>
      <c r="AR253" s="114"/>
      <c r="AS253" s="109">
        <v>45717</v>
      </c>
      <c r="AT253" s="109"/>
      <c r="AU253" s="109"/>
      <c r="AV253" s="109"/>
      <c r="AW253" s="193"/>
      <c r="AX253" s="55" t="s">
        <v>1518</v>
      </c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  <c r="BI253" s="55"/>
      <c r="BJ253" s="55"/>
      <c r="BK253" s="55"/>
      <c r="BL253" s="55"/>
      <c r="BM253" s="55"/>
      <c r="BN253" s="55"/>
      <c r="BO253" s="55"/>
      <c r="BP253" s="55"/>
      <c r="BQ253" s="55"/>
      <c r="BR253" s="55"/>
      <c r="BS253" s="55"/>
      <c r="BT253" s="55"/>
      <c r="BU253" s="55"/>
      <c r="BV253" s="55"/>
      <c r="BW253" s="55"/>
      <c r="BX253" s="55"/>
      <c r="BY253" s="55"/>
      <c r="BZ253" s="55"/>
      <c r="CA253" s="55"/>
      <c r="CB253" s="55"/>
      <c r="CC253" s="55"/>
      <c r="CD253" s="55"/>
      <c r="CE253" s="55"/>
      <c r="CF253" s="55"/>
      <c r="CG253" s="55"/>
      <c r="CH253" s="55"/>
      <c r="CI253" s="55"/>
      <c r="CJ253" s="55"/>
      <c r="CK253" s="55"/>
      <c r="CL253" s="55"/>
      <c r="CM253" s="55"/>
      <c r="CN253" s="55"/>
      <c r="CO253" s="55"/>
      <c r="CP253" s="55"/>
      <c r="CQ253" s="55"/>
      <c r="CR253" s="55"/>
      <c r="CS253" s="55"/>
      <c r="CT253" s="55"/>
      <c r="CU253" s="55"/>
      <c r="CV253" s="55"/>
    </row>
    <row r="254" spans="1:100" s="161" customFormat="1" x14ac:dyDescent="0.3">
      <c r="A254" s="43">
        <v>253</v>
      </c>
      <c r="B254" s="43">
        <v>96</v>
      </c>
      <c r="C254" s="102" t="s">
        <v>2542</v>
      </c>
      <c r="D254" s="155">
        <v>11</v>
      </c>
      <c r="E254" s="149" t="s">
        <v>3449</v>
      </c>
      <c r="F254" s="115" t="s">
        <v>3394</v>
      </c>
      <c r="G254" s="172">
        <v>36843</v>
      </c>
      <c r="H254" s="47">
        <f t="shared" si="49"/>
        <v>57662</v>
      </c>
      <c r="I254" s="48">
        <f t="shared" si="52"/>
        <v>57680</v>
      </c>
      <c r="J254" s="48">
        <v>57680</v>
      </c>
      <c r="K254" s="109">
        <v>45778</v>
      </c>
      <c r="L254" s="104" t="s">
        <v>724</v>
      </c>
      <c r="M254" s="112" t="s">
        <v>287</v>
      </c>
      <c r="N254" s="102" t="s">
        <v>281</v>
      </c>
      <c r="O254" s="109">
        <v>45778</v>
      </c>
      <c r="P254" s="171"/>
      <c r="Q254" s="159" t="s">
        <v>72</v>
      </c>
      <c r="R254" s="102">
        <v>1.41</v>
      </c>
      <c r="S254" s="113"/>
      <c r="T254" s="114">
        <v>0.2</v>
      </c>
      <c r="U254" s="52">
        <f t="shared" si="48"/>
        <v>6669300</v>
      </c>
      <c r="V254" s="52">
        <f t="shared" si="51"/>
        <v>0</v>
      </c>
      <c r="W254" s="52">
        <f t="shared" si="50"/>
        <v>468000</v>
      </c>
      <c r="X254" s="52">
        <f t="shared" ref="X254:X320" si="53">+U254+V254+W254</f>
        <v>7137300</v>
      </c>
      <c r="Y254" s="52"/>
      <c r="Z254" s="52"/>
      <c r="AA254" s="73">
        <v>6021297500</v>
      </c>
      <c r="AB254" s="114" t="s">
        <v>3401</v>
      </c>
      <c r="AC254" s="45"/>
      <c r="AD254" s="114" t="s">
        <v>1787</v>
      </c>
      <c r="AE254" s="150" t="s">
        <v>3395</v>
      </c>
      <c r="AF254" s="115"/>
      <c r="AG254" s="45"/>
      <c r="AH254" s="172"/>
      <c r="AI254" s="114" t="s">
        <v>2427</v>
      </c>
      <c r="AJ254" s="114" t="s">
        <v>3398</v>
      </c>
      <c r="AK254" s="116" t="s">
        <v>3396</v>
      </c>
      <c r="AL254" s="114"/>
      <c r="AM254" s="114" t="s">
        <v>3397</v>
      </c>
      <c r="AN254" s="114"/>
      <c r="AO254" s="114"/>
      <c r="AP254" s="91"/>
      <c r="AQ254" s="109"/>
      <c r="AR254" s="114"/>
      <c r="AS254" s="109">
        <v>45778</v>
      </c>
      <c r="AT254" s="109"/>
      <c r="AU254" s="109"/>
      <c r="AV254" s="109"/>
      <c r="AW254" s="77"/>
      <c r="AX254" s="55" t="s">
        <v>1518</v>
      </c>
      <c r="AY254" s="55"/>
      <c r="AZ254" s="55"/>
      <c r="BA254" s="55"/>
      <c r="BB254" s="55"/>
      <c r="BC254" s="55"/>
      <c r="BD254" s="55"/>
      <c r="BE254" s="55"/>
      <c r="BF254" s="55"/>
      <c r="BG254" s="55"/>
      <c r="BH254" s="55"/>
      <c r="BI254" s="55"/>
      <c r="BJ254" s="55"/>
      <c r="BK254" s="55"/>
      <c r="BL254" s="55"/>
      <c r="BM254" s="55"/>
      <c r="BN254" s="55"/>
      <c r="BO254" s="55"/>
      <c r="BP254" s="55"/>
      <c r="BQ254" s="55"/>
      <c r="BR254" s="55"/>
      <c r="BS254" s="55"/>
      <c r="BT254" s="55"/>
      <c r="BU254" s="55"/>
      <c r="BV254" s="55"/>
      <c r="BW254" s="55"/>
      <c r="BX254" s="55"/>
      <c r="BY254" s="55"/>
      <c r="BZ254" s="55"/>
      <c r="CA254" s="55"/>
      <c r="CB254" s="55"/>
      <c r="CC254" s="55"/>
      <c r="CD254" s="55"/>
      <c r="CE254" s="55"/>
      <c r="CF254" s="55"/>
      <c r="CG254" s="55"/>
      <c r="CH254" s="55"/>
      <c r="CI254" s="55"/>
      <c r="CJ254" s="55"/>
      <c r="CK254" s="55"/>
      <c r="CL254" s="55"/>
      <c r="CM254" s="55"/>
      <c r="CN254" s="55"/>
      <c r="CO254" s="55"/>
      <c r="CP254" s="55"/>
      <c r="CQ254" s="55"/>
      <c r="CR254" s="55"/>
      <c r="CS254" s="55"/>
      <c r="CT254" s="55"/>
      <c r="CU254" s="55"/>
      <c r="CV254" s="55"/>
    </row>
    <row r="255" spans="1:100" s="161" customFormat="1" x14ac:dyDescent="0.3">
      <c r="A255" s="43">
        <v>254</v>
      </c>
      <c r="B255" s="43">
        <v>97</v>
      </c>
      <c r="C255" s="102" t="s">
        <v>2542</v>
      </c>
      <c r="D255" s="155">
        <v>12</v>
      </c>
      <c r="E255" s="149" t="s">
        <v>3460</v>
      </c>
      <c r="F255" s="115" t="s">
        <v>3461</v>
      </c>
      <c r="G255" s="172">
        <v>37957</v>
      </c>
      <c r="H255" s="47">
        <f t="shared" si="49"/>
        <v>58777</v>
      </c>
      <c r="I255" s="48">
        <f t="shared" si="52"/>
        <v>58807</v>
      </c>
      <c r="J255" s="48">
        <v>58807</v>
      </c>
      <c r="K255" s="109">
        <v>45931</v>
      </c>
      <c r="L255" s="104" t="s">
        <v>724</v>
      </c>
      <c r="M255" s="112" t="s">
        <v>287</v>
      </c>
      <c r="N255" s="102" t="s">
        <v>281</v>
      </c>
      <c r="O255" s="109">
        <v>45931</v>
      </c>
      <c r="P255" s="171"/>
      <c r="Q255" s="159" t="s">
        <v>72</v>
      </c>
      <c r="R255" s="102">
        <v>1.41</v>
      </c>
      <c r="S255" s="113"/>
      <c r="T255" s="114">
        <v>0.2</v>
      </c>
      <c r="U255" s="52">
        <f t="shared" si="48"/>
        <v>6669300</v>
      </c>
      <c r="V255" s="52">
        <f t="shared" si="51"/>
        <v>0</v>
      </c>
      <c r="W255" s="52">
        <f t="shared" si="50"/>
        <v>468000</v>
      </c>
      <c r="X255" s="52">
        <f t="shared" si="53"/>
        <v>7137300</v>
      </c>
      <c r="Y255" s="52"/>
      <c r="Z255" s="52"/>
      <c r="AA255" s="73">
        <v>6020780469</v>
      </c>
      <c r="AB255" s="114" t="s">
        <v>3465</v>
      </c>
      <c r="AC255" s="45"/>
      <c r="AD255" s="114" t="s">
        <v>1787</v>
      </c>
      <c r="AE255" s="150" t="s">
        <v>3462</v>
      </c>
      <c r="AF255" s="115"/>
      <c r="AG255" s="45"/>
      <c r="AH255" s="172"/>
      <c r="AI255" s="114" t="s">
        <v>2427</v>
      </c>
      <c r="AJ255" s="114" t="s">
        <v>3463</v>
      </c>
      <c r="AK255" s="116"/>
      <c r="AL255" s="114"/>
      <c r="AM255" s="114"/>
      <c r="AN255" s="114" t="s">
        <v>3023</v>
      </c>
      <c r="AO255" s="114"/>
      <c r="AP255" s="91"/>
      <c r="AQ255" s="109">
        <v>45901</v>
      </c>
      <c r="AR255" s="114"/>
      <c r="AS255" s="109">
        <v>45931</v>
      </c>
      <c r="AT255" s="109"/>
      <c r="AU255" s="109"/>
      <c r="AV255" s="109"/>
      <c r="AW255" s="193" t="s">
        <v>3464</v>
      </c>
      <c r="AX255" s="55" t="s">
        <v>1518</v>
      </c>
      <c r="AY255" s="55"/>
      <c r="AZ255" s="55"/>
      <c r="BA255" s="55"/>
      <c r="BB255" s="55"/>
      <c r="BC255" s="55"/>
      <c r="BD255" s="55"/>
      <c r="BE255" s="55"/>
      <c r="BF255" s="55"/>
      <c r="BG255" s="55"/>
      <c r="BH255" s="55"/>
      <c r="BI255" s="55"/>
      <c r="BJ255" s="55"/>
      <c r="BK255" s="55"/>
      <c r="BL255" s="55"/>
      <c r="BM255" s="55"/>
      <c r="BN255" s="55"/>
      <c r="BO255" s="55"/>
      <c r="BP255" s="55"/>
      <c r="BQ255" s="55"/>
      <c r="BR255" s="55"/>
      <c r="BS255" s="55"/>
      <c r="BT255" s="55"/>
      <c r="BU255" s="55"/>
      <c r="BV255" s="55"/>
      <c r="BW255" s="55"/>
      <c r="BX255" s="55"/>
      <c r="BY255" s="55"/>
      <c r="BZ255" s="55"/>
      <c r="CA255" s="55"/>
      <c r="CB255" s="55"/>
      <c r="CC255" s="55"/>
      <c r="CD255" s="55"/>
      <c r="CE255" s="55"/>
      <c r="CF255" s="55"/>
      <c r="CG255" s="55"/>
      <c r="CH255" s="55"/>
      <c r="CI255" s="55"/>
      <c r="CJ255" s="55"/>
      <c r="CK255" s="55"/>
      <c r="CL255" s="55"/>
      <c r="CM255" s="55"/>
      <c r="CN255" s="55"/>
      <c r="CO255" s="55"/>
      <c r="CP255" s="55"/>
      <c r="CQ255" s="55"/>
      <c r="CR255" s="55"/>
      <c r="CS255" s="55"/>
      <c r="CT255" s="55"/>
      <c r="CU255" s="55"/>
      <c r="CV255" s="55"/>
    </row>
    <row r="256" spans="1:100" x14ac:dyDescent="0.3">
      <c r="A256" s="43">
        <v>255</v>
      </c>
      <c r="B256" s="43">
        <v>98</v>
      </c>
      <c r="C256" s="102" t="s">
        <v>2542</v>
      </c>
      <c r="D256" s="148">
        <v>1</v>
      </c>
      <c r="E256" s="157" t="s">
        <v>215</v>
      </c>
      <c r="F256" s="115" t="s">
        <v>423</v>
      </c>
      <c r="G256" s="109">
        <v>26033</v>
      </c>
      <c r="H256" s="47">
        <f>+DATE(YEAR(G256)+57,MONTH(G256),DAY(G256))</f>
        <v>46853</v>
      </c>
      <c r="I256" s="48">
        <f t="shared" si="52"/>
        <v>46874</v>
      </c>
      <c r="J256" s="48">
        <v>46874</v>
      </c>
      <c r="K256" s="109">
        <v>33055</v>
      </c>
      <c r="L256" s="195" t="s">
        <v>725</v>
      </c>
      <c r="M256" s="112" t="s">
        <v>287</v>
      </c>
      <c r="N256" s="102" t="s">
        <v>286</v>
      </c>
      <c r="O256" s="109">
        <v>42979</v>
      </c>
      <c r="P256" s="110"/>
      <c r="Q256" s="159" t="s">
        <v>74</v>
      </c>
      <c r="R256" s="102">
        <v>1.68</v>
      </c>
      <c r="S256" s="113">
        <v>0.06</v>
      </c>
      <c r="T256" s="114">
        <v>0.2</v>
      </c>
      <c r="U256" s="52">
        <f t="shared" si="48"/>
        <v>7946400</v>
      </c>
      <c r="V256" s="52">
        <f t="shared" si="51"/>
        <v>264600</v>
      </c>
      <c r="W256" s="52">
        <f t="shared" si="50"/>
        <v>468000</v>
      </c>
      <c r="X256" s="52">
        <f t="shared" si="53"/>
        <v>8679000</v>
      </c>
      <c r="Y256" s="52">
        <f>+VLOOKUP(E256,[2]Sheet1!$B$11:$J$400,9,0)</f>
        <v>7598400</v>
      </c>
      <c r="Z256" s="52"/>
      <c r="AA256" s="53" t="s">
        <v>1697</v>
      </c>
      <c r="AB256" s="114" t="s">
        <v>1269</v>
      </c>
      <c r="AC256" s="45" t="str">
        <f>+VLOOKUP(E256,[3]Sheet1!$B$11:$I$388,8,0)</f>
        <v>60 - 019</v>
      </c>
      <c r="AD256" s="114" t="s">
        <v>1787</v>
      </c>
      <c r="AE256" s="114" t="s">
        <v>2895</v>
      </c>
      <c r="AF256" s="115" t="s">
        <v>2480</v>
      </c>
      <c r="AG256" s="45">
        <f>+VALUE(AF256:AF636)</f>
        <v>260633223</v>
      </c>
      <c r="AH256" s="114" t="s">
        <v>1270</v>
      </c>
      <c r="AI256" s="114" t="s">
        <v>515</v>
      </c>
      <c r="AJ256" s="114" t="s">
        <v>1217</v>
      </c>
      <c r="AK256" s="116" t="s">
        <v>1217</v>
      </c>
      <c r="AL256" s="114"/>
      <c r="AM256" s="114"/>
      <c r="AN256" s="114"/>
      <c r="AO256" s="114"/>
      <c r="AP256" s="114" t="s">
        <v>511</v>
      </c>
      <c r="AQ256" s="114"/>
      <c r="AR256" s="114"/>
      <c r="AS256" s="114"/>
      <c r="AT256" s="114"/>
      <c r="AU256" s="114"/>
      <c r="AV256" s="114"/>
      <c r="AW256" s="55" t="s">
        <v>2305</v>
      </c>
      <c r="AX256" s="55" t="s">
        <v>1518</v>
      </c>
    </row>
    <row r="257" spans="1:100" x14ac:dyDescent="0.3">
      <c r="A257" s="43">
        <v>256</v>
      </c>
      <c r="B257" s="43">
        <v>99</v>
      </c>
      <c r="C257" s="102" t="s">
        <v>2542</v>
      </c>
      <c r="D257" s="148">
        <v>2</v>
      </c>
      <c r="E257" s="157" t="s">
        <v>216</v>
      </c>
      <c r="F257" s="115" t="s">
        <v>424</v>
      </c>
      <c r="G257" s="109">
        <v>25917</v>
      </c>
      <c r="H257" s="47">
        <v>46645</v>
      </c>
      <c r="I257" s="48">
        <f t="shared" si="52"/>
        <v>46661</v>
      </c>
      <c r="J257" s="48">
        <v>46661</v>
      </c>
      <c r="K257" s="109">
        <v>34608</v>
      </c>
      <c r="L257" s="195" t="s">
        <v>725</v>
      </c>
      <c r="M257" s="112" t="s">
        <v>287</v>
      </c>
      <c r="N257" s="102" t="s">
        <v>281</v>
      </c>
      <c r="O257" s="109">
        <v>39264</v>
      </c>
      <c r="P257" s="110"/>
      <c r="Q257" s="159" t="s">
        <v>74</v>
      </c>
      <c r="R257" s="102">
        <v>1.68</v>
      </c>
      <c r="S257" s="113"/>
      <c r="T257" s="114">
        <v>0.2</v>
      </c>
      <c r="U257" s="52">
        <f t="shared" si="48"/>
        <v>7946400</v>
      </c>
      <c r="V257" s="52">
        <f t="shared" si="51"/>
        <v>0</v>
      </c>
      <c r="W257" s="52">
        <f t="shared" si="50"/>
        <v>468000</v>
      </c>
      <c r="X257" s="52">
        <f t="shared" si="53"/>
        <v>8414400</v>
      </c>
      <c r="Y257" s="52">
        <f>+VLOOKUP(E257,[2]Sheet1!$B$11:$J$400,9,0)</f>
        <v>7348800</v>
      </c>
      <c r="Z257" s="52"/>
      <c r="AA257" s="53" t="s">
        <v>1698</v>
      </c>
      <c r="AB257" s="114" t="s">
        <v>609</v>
      </c>
      <c r="AC257" s="45" t="str">
        <f>+VLOOKUP(E257,[3]Sheet1!$B$11:$I$388,8,0)</f>
        <v>60 - 013</v>
      </c>
      <c r="AD257" s="114" t="s">
        <v>1787</v>
      </c>
      <c r="AE257" s="114" t="s">
        <v>2896</v>
      </c>
      <c r="AF257" s="115" t="s">
        <v>2481</v>
      </c>
      <c r="AG257" s="45">
        <f>+VALUE(AF257:AF637)</f>
        <v>260625964</v>
      </c>
      <c r="AH257" s="114" t="s">
        <v>1271</v>
      </c>
      <c r="AI257" s="114" t="s">
        <v>515</v>
      </c>
      <c r="AJ257" s="114" t="s">
        <v>1267</v>
      </c>
      <c r="AK257" s="116" t="s">
        <v>1268</v>
      </c>
      <c r="AL257" s="114"/>
      <c r="AM257" s="114" t="s">
        <v>502</v>
      </c>
      <c r="AN257" s="114"/>
      <c r="AO257" s="114"/>
      <c r="AP257" s="114"/>
      <c r="AQ257" s="114"/>
      <c r="AR257" s="114"/>
      <c r="AS257" s="114"/>
      <c r="AT257" s="114"/>
      <c r="AU257" s="114"/>
      <c r="AV257" s="114"/>
      <c r="AW257" s="55" t="s">
        <v>2306</v>
      </c>
      <c r="AX257" s="55" t="s">
        <v>1518</v>
      </c>
    </row>
    <row r="258" spans="1:100" x14ac:dyDescent="0.3">
      <c r="A258" s="43">
        <v>257</v>
      </c>
      <c r="B258" s="43">
        <v>100</v>
      </c>
      <c r="C258" s="102" t="s">
        <v>2542</v>
      </c>
      <c r="D258" s="148">
        <v>3</v>
      </c>
      <c r="E258" s="149" t="s">
        <v>217</v>
      </c>
      <c r="F258" s="115" t="s">
        <v>425</v>
      </c>
      <c r="G258" s="109">
        <v>27965</v>
      </c>
      <c r="H258" s="47">
        <f t="shared" ref="H258:H265" si="54">+DATE(YEAR(G258)+57,MONTH(G258),DAY(G258))</f>
        <v>48784</v>
      </c>
      <c r="I258" s="48">
        <f t="shared" si="52"/>
        <v>48792</v>
      </c>
      <c r="J258" s="48">
        <v>48792</v>
      </c>
      <c r="K258" s="109">
        <v>35796</v>
      </c>
      <c r="L258" s="195" t="s">
        <v>725</v>
      </c>
      <c r="M258" s="112" t="s">
        <v>287</v>
      </c>
      <c r="N258" s="102" t="s">
        <v>281</v>
      </c>
      <c r="O258" s="109">
        <v>42979</v>
      </c>
      <c r="P258" s="110"/>
      <c r="Q258" s="110" t="s">
        <v>76</v>
      </c>
      <c r="R258" s="102">
        <v>1.58</v>
      </c>
      <c r="S258" s="113"/>
      <c r="T258" s="114">
        <v>0.2</v>
      </c>
      <c r="U258" s="52">
        <f t="shared" si="48"/>
        <v>7473400</v>
      </c>
      <c r="V258" s="52">
        <f t="shared" si="51"/>
        <v>0</v>
      </c>
      <c r="W258" s="52">
        <f t="shared" si="50"/>
        <v>468000</v>
      </c>
      <c r="X258" s="52">
        <f t="shared" si="53"/>
        <v>7941400</v>
      </c>
      <c r="Y258" s="52">
        <f>+VLOOKUP(E258,[2]Sheet1!$B$11:$J$400,9,0)</f>
        <v>6932800</v>
      </c>
      <c r="Z258" s="52"/>
      <c r="AA258" s="53" t="s">
        <v>1699</v>
      </c>
      <c r="AB258" s="114" t="s">
        <v>1272</v>
      </c>
      <c r="AC258" s="45" t="str">
        <f>+VLOOKUP(E258,[3]Sheet1!$B$11:$I$388,8,0)</f>
        <v>60 - 019</v>
      </c>
      <c r="AD258" s="114" t="s">
        <v>1787</v>
      </c>
      <c r="AE258" s="114" t="s">
        <v>2897</v>
      </c>
      <c r="AF258" s="115" t="s">
        <v>2482</v>
      </c>
      <c r="AG258" s="45">
        <f>+VALUE(AF258:AF639)</f>
        <v>261104468</v>
      </c>
      <c r="AH258" s="114" t="s">
        <v>1273</v>
      </c>
      <c r="AI258" s="114" t="s">
        <v>515</v>
      </c>
      <c r="AJ258" s="114" t="s">
        <v>542</v>
      </c>
      <c r="AK258" s="116" t="s">
        <v>1274</v>
      </c>
      <c r="AL258" s="114"/>
      <c r="AM258" s="114"/>
      <c r="AN258" s="114"/>
      <c r="AO258" s="114" t="s">
        <v>504</v>
      </c>
      <c r="AP258" s="114"/>
      <c r="AQ258" s="114"/>
      <c r="AR258" s="114"/>
      <c r="AS258" s="114"/>
      <c r="AT258" s="114"/>
      <c r="AU258" s="114"/>
      <c r="AV258" s="114"/>
      <c r="AW258" s="55" t="s">
        <v>2307</v>
      </c>
      <c r="AX258" s="55" t="s">
        <v>1518</v>
      </c>
    </row>
    <row r="259" spans="1:100" x14ac:dyDescent="0.3">
      <c r="A259" s="43">
        <v>258</v>
      </c>
      <c r="B259" s="43">
        <v>101</v>
      </c>
      <c r="C259" s="102" t="s">
        <v>2542</v>
      </c>
      <c r="D259" s="148">
        <v>4</v>
      </c>
      <c r="E259" s="149" t="s">
        <v>218</v>
      </c>
      <c r="F259" s="115" t="s">
        <v>426</v>
      </c>
      <c r="G259" s="109">
        <v>34221</v>
      </c>
      <c r="H259" s="47">
        <f t="shared" si="54"/>
        <v>55040</v>
      </c>
      <c r="I259" s="48">
        <f t="shared" si="52"/>
        <v>55062</v>
      </c>
      <c r="J259" s="48">
        <v>55062</v>
      </c>
      <c r="K259" s="109">
        <v>42917</v>
      </c>
      <c r="L259" s="195" t="s">
        <v>725</v>
      </c>
      <c r="M259" s="112" t="s">
        <v>287</v>
      </c>
      <c r="N259" s="102" t="s">
        <v>281</v>
      </c>
      <c r="O259" s="109">
        <v>42917</v>
      </c>
      <c r="P259" s="110"/>
      <c r="Q259" s="162" t="s">
        <v>71</v>
      </c>
      <c r="R259" s="102">
        <v>1.49</v>
      </c>
      <c r="S259" s="113">
        <v>0.04</v>
      </c>
      <c r="T259" s="114">
        <v>0.2</v>
      </c>
      <c r="U259" s="52">
        <f t="shared" si="48"/>
        <v>7047700</v>
      </c>
      <c r="V259" s="52">
        <f t="shared" si="51"/>
        <v>176400</v>
      </c>
      <c r="W259" s="52">
        <f t="shared" si="50"/>
        <v>468000</v>
      </c>
      <c r="X259" s="52">
        <f t="shared" si="53"/>
        <v>7692100</v>
      </c>
      <c r="Y259" s="52">
        <f>+VLOOKUP(E259,[2]Sheet1!$B$11:$J$400,9,0)</f>
        <v>6558400</v>
      </c>
      <c r="Z259" s="52"/>
      <c r="AA259" s="53" t="s">
        <v>1700</v>
      </c>
      <c r="AB259" s="114" t="s">
        <v>1122</v>
      </c>
      <c r="AC259" s="45" t="str">
        <f>+VLOOKUP(E259,[3]Sheet1!$B$11:$I$388,8,0)</f>
        <v>60 - 013</v>
      </c>
      <c r="AD259" s="114" t="s">
        <v>1787</v>
      </c>
      <c r="AE259" s="114" t="s">
        <v>2898</v>
      </c>
      <c r="AF259" s="115" t="s">
        <v>2483</v>
      </c>
      <c r="AG259" s="45">
        <f>+VALUE(AF259:AF642)</f>
        <v>272422301</v>
      </c>
      <c r="AH259" s="114" t="s">
        <v>1276</v>
      </c>
      <c r="AI259" s="114" t="s">
        <v>519</v>
      </c>
      <c r="AJ259" s="114" t="s">
        <v>1277</v>
      </c>
      <c r="AK259" s="116" t="s">
        <v>1278</v>
      </c>
      <c r="AL259" s="114"/>
      <c r="AM259" s="114"/>
      <c r="AN259" s="114"/>
      <c r="AO259" s="114" t="s">
        <v>504</v>
      </c>
      <c r="AP259" s="114"/>
      <c r="AQ259" s="114"/>
      <c r="AR259" s="114"/>
      <c r="AS259" s="114"/>
      <c r="AT259" s="114"/>
      <c r="AU259" s="114"/>
      <c r="AV259" s="114"/>
      <c r="AW259" s="55" t="s">
        <v>2309</v>
      </c>
      <c r="AX259" s="55" t="s">
        <v>1518</v>
      </c>
    </row>
    <row r="260" spans="1:100" s="161" customFormat="1" x14ac:dyDescent="0.3">
      <c r="A260" s="43">
        <v>259</v>
      </c>
      <c r="B260" s="43">
        <v>102</v>
      </c>
      <c r="C260" s="102" t="s">
        <v>2542</v>
      </c>
      <c r="D260" s="148">
        <v>5</v>
      </c>
      <c r="E260" s="157" t="s">
        <v>219</v>
      </c>
      <c r="F260" s="115" t="s">
        <v>427</v>
      </c>
      <c r="G260" s="109">
        <v>27262</v>
      </c>
      <c r="H260" s="47">
        <f t="shared" si="54"/>
        <v>48081</v>
      </c>
      <c r="I260" s="48">
        <f t="shared" si="52"/>
        <v>48092</v>
      </c>
      <c r="J260" s="48">
        <v>48092</v>
      </c>
      <c r="K260" s="109">
        <v>35735</v>
      </c>
      <c r="L260" s="195" t="s">
        <v>725</v>
      </c>
      <c r="M260" s="112" t="s">
        <v>287</v>
      </c>
      <c r="N260" s="102" t="s">
        <v>281</v>
      </c>
      <c r="O260" s="109">
        <v>41091</v>
      </c>
      <c r="P260" s="110"/>
      <c r="Q260" s="110" t="s">
        <v>74</v>
      </c>
      <c r="R260" s="102">
        <v>1.68</v>
      </c>
      <c r="S260" s="113"/>
      <c r="T260" s="114">
        <v>0.2</v>
      </c>
      <c r="U260" s="52">
        <f t="shared" si="48"/>
        <v>7946400</v>
      </c>
      <c r="V260" s="52">
        <f t="shared" si="51"/>
        <v>0</v>
      </c>
      <c r="W260" s="52">
        <f t="shared" si="50"/>
        <v>468000</v>
      </c>
      <c r="X260" s="52">
        <f t="shared" si="53"/>
        <v>8414400</v>
      </c>
      <c r="Y260" s="52">
        <f>+VLOOKUP(E260,[2]Sheet1!$B$11:$J$400,9,0)</f>
        <v>7515200</v>
      </c>
      <c r="Z260" s="52"/>
      <c r="AA260" s="53" t="s">
        <v>1701</v>
      </c>
      <c r="AB260" s="114" t="s">
        <v>1168</v>
      </c>
      <c r="AC260" s="45" t="str">
        <f>+VLOOKUP(E260,[3]Sheet1!$B$11:$I$388,8,0)</f>
        <v>60 - 019</v>
      </c>
      <c r="AD260" s="114" t="s">
        <v>1787</v>
      </c>
      <c r="AE260" s="114" t="s">
        <v>2899</v>
      </c>
      <c r="AF260" s="115" t="s">
        <v>2484</v>
      </c>
      <c r="AG260" s="45">
        <f>+VALUE(AF260:AF643)</f>
        <v>261163308</v>
      </c>
      <c r="AH260" s="114" t="s">
        <v>1279</v>
      </c>
      <c r="AI260" s="114" t="s">
        <v>515</v>
      </c>
      <c r="AJ260" s="114" t="s">
        <v>542</v>
      </c>
      <c r="AK260" s="116" t="s">
        <v>1280</v>
      </c>
      <c r="AL260" s="114"/>
      <c r="AM260" s="114"/>
      <c r="AN260" s="114"/>
      <c r="AO260" s="114" t="s">
        <v>504</v>
      </c>
      <c r="AP260" s="114"/>
      <c r="AQ260" s="114"/>
      <c r="AR260" s="114"/>
      <c r="AS260" s="114"/>
      <c r="AT260" s="114"/>
      <c r="AU260" s="114"/>
      <c r="AV260" s="114"/>
      <c r="AW260" s="55" t="s">
        <v>2310</v>
      </c>
      <c r="AX260" s="55" t="s">
        <v>1518</v>
      </c>
      <c r="AY260" s="55"/>
      <c r="AZ260" s="55"/>
      <c r="BA260" s="55"/>
      <c r="BB260" s="55"/>
      <c r="BC260" s="55"/>
      <c r="BD260" s="55"/>
      <c r="BE260" s="55"/>
      <c r="BF260" s="55"/>
      <c r="BG260" s="55"/>
      <c r="BH260" s="55"/>
      <c r="BI260" s="55"/>
      <c r="BJ260" s="55"/>
      <c r="BK260" s="55"/>
      <c r="BL260" s="55"/>
      <c r="BM260" s="55"/>
      <c r="BN260" s="55"/>
      <c r="BO260" s="55"/>
      <c r="BP260" s="55"/>
      <c r="BQ260" s="55"/>
      <c r="BR260" s="55"/>
      <c r="BS260" s="55"/>
      <c r="BT260" s="55"/>
      <c r="BU260" s="55"/>
      <c r="BV260" s="55"/>
      <c r="BW260" s="55"/>
      <c r="BX260" s="55"/>
      <c r="BY260" s="55"/>
      <c r="BZ260" s="55"/>
      <c r="CA260" s="55"/>
      <c r="CB260" s="55"/>
      <c r="CC260" s="55"/>
      <c r="CD260" s="55"/>
      <c r="CE260" s="55"/>
      <c r="CF260" s="55"/>
      <c r="CG260" s="55"/>
      <c r="CH260" s="55"/>
      <c r="CI260" s="55"/>
      <c r="CJ260" s="55"/>
      <c r="CK260" s="55"/>
      <c r="CL260" s="55"/>
      <c r="CM260" s="55"/>
      <c r="CN260" s="55"/>
      <c r="CO260" s="55"/>
      <c r="CP260" s="55"/>
      <c r="CQ260" s="55"/>
      <c r="CR260" s="55"/>
      <c r="CS260" s="55"/>
      <c r="CT260" s="55"/>
      <c r="CU260" s="55"/>
      <c r="CV260" s="55"/>
    </row>
    <row r="261" spans="1:100" s="161" customFormat="1" x14ac:dyDescent="0.3">
      <c r="A261" s="43">
        <v>260</v>
      </c>
      <c r="B261" s="43">
        <v>103</v>
      </c>
      <c r="C261" s="102" t="s">
        <v>2542</v>
      </c>
      <c r="D261" s="148">
        <v>6</v>
      </c>
      <c r="E261" s="149" t="s">
        <v>220</v>
      </c>
      <c r="F261" s="115" t="s">
        <v>550</v>
      </c>
      <c r="G261" s="109">
        <v>33303</v>
      </c>
      <c r="H261" s="47">
        <f t="shared" si="54"/>
        <v>54123</v>
      </c>
      <c r="I261" s="48">
        <f t="shared" si="52"/>
        <v>54149</v>
      </c>
      <c r="J261" s="48">
        <v>54149</v>
      </c>
      <c r="K261" s="109">
        <v>43191</v>
      </c>
      <c r="L261" s="195" t="s">
        <v>725</v>
      </c>
      <c r="M261" s="112" t="s">
        <v>287</v>
      </c>
      <c r="N261" s="102" t="s">
        <v>281</v>
      </c>
      <c r="O261" s="109">
        <v>43160</v>
      </c>
      <c r="P261" s="171"/>
      <c r="Q261" s="159" t="s">
        <v>72</v>
      </c>
      <c r="R261" s="102">
        <v>1.41</v>
      </c>
      <c r="S261" s="113"/>
      <c r="T261" s="114">
        <v>0.2</v>
      </c>
      <c r="U261" s="52">
        <f t="shared" si="48"/>
        <v>6669300</v>
      </c>
      <c r="V261" s="52">
        <f t="shared" si="51"/>
        <v>0</v>
      </c>
      <c r="W261" s="52">
        <f t="shared" si="50"/>
        <v>468000</v>
      </c>
      <c r="X261" s="52">
        <f t="shared" si="53"/>
        <v>7137300</v>
      </c>
      <c r="Y261" s="52">
        <f>+VLOOKUP(E261,[2]Sheet1!$B$11:$J$400,9,0)</f>
        <v>6225600</v>
      </c>
      <c r="Z261" s="52"/>
      <c r="AA261" s="53" t="s">
        <v>1702</v>
      </c>
      <c r="AB261" s="114" t="s">
        <v>609</v>
      </c>
      <c r="AC261" s="45" t="str">
        <f>+VLOOKUP(E261,[3]Sheet1!$B$11:$I$388,8,0)</f>
        <v>60 - 013</v>
      </c>
      <c r="AD261" s="114" t="s">
        <v>1787</v>
      </c>
      <c r="AE261" s="114" t="s">
        <v>2900</v>
      </c>
      <c r="AF261" s="115" t="s">
        <v>657</v>
      </c>
      <c r="AG261" s="45">
        <f>+VALUE(AF261:AF645)</f>
        <v>261238245</v>
      </c>
      <c r="AH261" s="123" t="s">
        <v>658</v>
      </c>
      <c r="AI261" s="114" t="s">
        <v>515</v>
      </c>
      <c r="AJ261" s="114" t="s">
        <v>659</v>
      </c>
      <c r="AK261" s="116" t="s">
        <v>659</v>
      </c>
      <c r="AL261" s="114"/>
      <c r="AM261" s="114" t="s">
        <v>512</v>
      </c>
      <c r="AN261" s="114"/>
      <c r="AO261" s="114"/>
      <c r="AP261" s="114"/>
      <c r="AQ261" s="114"/>
      <c r="AR261" s="114"/>
      <c r="AS261" s="114"/>
      <c r="AT261" s="114"/>
      <c r="AU261" s="114"/>
      <c r="AV261" s="114"/>
      <c r="AW261" s="55" t="s">
        <v>2311</v>
      </c>
      <c r="AX261" s="55" t="s">
        <v>1518</v>
      </c>
      <c r="AY261" s="55"/>
      <c r="AZ261" s="55"/>
      <c r="BA261" s="55"/>
      <c r="BB261" s="55"/>
      <c r="BC261" s="55"/>
      <c r="BD261" s="55"/>
      <c r="BE261" s="55"/>
      <c r="BF261" s="55"/>
      <c r="BG261" s="55"/>
      <c r="BH261" s="55"/>
      <c r="BI261" s="55"/>
      <c r="BJ261" s="55"/>
      <c r="BK261" s="55"/>
      <c r="BL261" s="55"/>
      <c r="BM261" s="55"/>
      <c r="BN261" s="55"/>
      <c r="BO261" s="55"/>
      <c r="BP261" s="55"/>
      <c r="BQ261" s="55"/>
      <c r="BR261" s="55"/>
      <c r="BS261" s="55"/>
      <c r="BT261" s="55"/>
      <c r="BU261" s="55"/>
      <c r="BV261" s="55"/>
      <c r="BW261" s="55"/>
      <c r="BX261" s="55"/>
      <c r="BY261" s="55"/>
      <c r="BZ261" s="55"/>
      <c r="CA261" s="55"/>
      <c r="CB261" s="55"/>
      <c r="CC261" s="55"/>
      <c r="CD261" s="55"/>
      <c r="CE261" s="55"/>
      <c r="CF261" s="55"/>
      <c r="CG261" s="55"/>
      <c r="CH261" s="55"/>
      <c r="CI261" s="55"/>
      <c r="CJ261" s="55"/>
      <c r="CK261" s="55"/>
      <c r="CL261" s="55"/>
      <c r="CM261" s="55"/>
      <c r="CN261" s="55"/>
      <c r="CO261" s="55"/>
      <c r="CP261" s="55"/>
      <c r="CQ261" s="55"/>
      <c r="CR261" s="55"/>
      <c r="CS261" s="55"/>
      <c r="CT261" s="55"/>
      <c r="CU261" s="55"/>
      <c r="CV261" s="55"/>
    </row>
    <row r="262" spans="1:100" s="161" customFormat="1" x14ac:dyDescent="0.3">
      <c r="A262" s="43">
        <v>261</v>
      </c>
      <c r="B262" s="43">
        <v>104</v>
      </c>
      <c r="C262" s="102" t="s">
        <v>2542</v>
      </c>
      <c r="D262" s="148">
        <v>7</v>
      </c>
      <c r="E262" s="149" t="s">
        <v>2118</v>
      </c>
      <c r="F262" s="115" t="s">
        <v>625</v>
      </c>
      <c r="G262" s="109">
        <v>34820</v>
      </c>
      <c r="H262" s="47">
        <f t="shared" si="54"/>
        <v>55640</v>
      </c>
      <c r="I262" s="48">
        <f t="shared" si="52"/>
        <v>55671</v>
      </c>
      <c r="J262" s="48">
        <v>55671</v>
      </c>
      <c r="K262" s="109">
        <v>44166</v>
      </c>
      <c r="L262" s="195" t="s">
        <v>725</v>
      </c>
      <c r="M262" s="112" t="s">
        <v>287</v>
      </c>
      <c r="N262" s="102" t="s">
        <v>281</v>
      </c>
      <c r="O262" s="109">
        <v>44166</v>
      </c>
      <c r="P262" s="171"/>
      <c r="Q262" s="159" t="s">
        <v>72</v>
      </c>
      <c r="R262" s="102">
        <v>1.41</v>
      </c>
      <c r="S262" s="113"/>
      <c r="T262" s="114">
        <v>0.2</v>
      </c>
      <c r="U262" s="52">
        <f t="shared" si="48"/>
        <v>6669300</v>
      </c>
      <c r="V262" s="52">
        <f t="shared" si="51"/>
        <v>0</v>
      </c>
      <c r="W262" s="52">
        <f t="shared" si="50"/>
        <v>468000</v>
      </c>
      <c r="X262" s="52">
        <f t="shared" si="53"/>
        <v>7137300</v>
      </c>
      <c r="Y262" s="52">
        <f>+VLOOKUP(E262,[2]Sheet1!$B$11:$J$400,9,0)</f>
        <v>6225600</v>
      </c>
      <c r="Z262" s="52"/>
      <c r="AA262" s="53" t="s">
        <v>2132</v>
      </c>
      <c r="AB262" s="114"/>
      <c r="AC262" s="45" t="str">
        <f>+VLOOKUP(E262,[3]Sheet1!$B$11:$I$388,8,0)</f>
        <v>60 - 152</v>
      </c>
      <c r="AD262" s="114" t="s">
        <v>1787</v>
      </c>
      <c r="AE262" s="114" t="s">
        <v>2901</v>
      </c>
      <c r="AF262" s="115" t="s">
        <v>2129</v>
      </c>
      <c r="AG262" s="45">
        <f>+VALUE(AF256:AF635)</f>
        <v>261394993</v>
      </c>
      <c r="AH262" s="172" t="s">
        <v>1007</v>
      </c>
      <c r="AI262" s="114" t="s">
        <v>515</v>
      </c>
      <c r="AJ262" s="114" t="s">
        <v>2130</v>
      </c>
      <c r="AK262" s="114" t="s">
        <v>2130</v>
      </c>
      <c r="AL262" s="114"/>
      <c r="AM262" s="114"/>
      <c r="AN262" s="114"/>
      <c r="AO262" s="114"/>
      <c r="AP262" s="114" t="s">
        <v>524</v>
      </c>
      <c r="AQ262" s="114"/>
      <c r="AR262" s="114"/>
      <c r="AS262" s="114"/>
      <c r="AT262" s="109">
        <v>44210</v>
      </c>
      <c r="AU262" s="109"/>
      <c r="AV262" s="109">
        <v>44940</v>
      </c>
      <c r="AW262" s="55" t="s">
        <v>2304</v>
      </c>
      <c r="AX262" s="55" t="s">
        <v>1518</v>
      </c>
      <c r="AY262" s="55"/>
      <c r="AZ262" s="55"/>
      <c r="BA262" s="55"/>
      <c r="BB262" s="55"/>
      <c r="BC262" s="55"/>
      <c r="BD262" s="55"/>
      <c r="BE262" s="55"/>
      <c r="BF262" s="55"/>
      <c r="BG262" s="55"/>
      <c r="BH262" s="55"/>
      <c r="BI262" s="55"/>
      <c r="BJ262" s="55"/>
      <c r="BK262" s="55"/>
      <c r="BL262" s="55"/>
      <c r="BM262" s="55"/>
      <c r="BN262" s="55"/>
      <c r="BO262" s="55"/>
      <c r="BP262" s="55"/>
      <c r="BQ262" s="55"/>
      <c r="BR262" s="55"/>
      <c r="BS262" s="55"/>
      <c r="BT262" s="55"/>
      <c r="BU262" s="55"/>
      <c r="BV262" s="55"/>
      <c r="BW262" s="55"/>
      <c r="BX262" s="55"/>
      <c r="BY262" s="55"/>
      <c r="BZ262" s="55"/>
      <c r="CA262" s="55"/>
      <c r="CB262" s="55"/>
      <c r="CC262" s="55"/>
      <c r="CD262" s="55"/>
      <c r="CE262" s="55"/>
      <c r="CF262" s="55"/>
      <c r="CG262" s="55"/>
      <c r="CH262" s="55"/>
      <c r="CI262" s="55"/>
      <c r="CJ262" s="55"/>
      <c r="CK262" s="55"/>
      <c r="CL262" s="55"/>
      <c r="CM262" s="55"/>
      <c r="CN262" s="55"/>
      <c r="CO262" s="55"/>
      <c r="CP262" s="55"/>
      <c r="CQ262" s="55"/>
      <c r="CR262" s="55"/>
      <c r="CS262" s="55"/>
      <c r="CT262" s="55"/>
      <c r="CU262" s="55"/>
      <c r="CV262" s="55"/>
    </row>
    <row r="263" spans="1:100" s="161" customFormat="1" x14ac:dyDescent="0.3">
      <c r="A263" s="43">
        <v>262</v>
      </c>
      <c r="B263" s="43">
        <v>105</v>
      </c>
      <c r="C263" s="102" t="s">
        <v>2542</v>
      </c>
      <c r="D263" s="148">
        <v>8</v>
      </c>
      <c r="E263" s="149" t="s">
        <v>2637</v>
      </c>
      <c r="F263" s="115" t="s">
        <v>2638</v>
      </c>
      <c r="G263" s="172">
        <v>34773</v>
      </c>
      <c r="H263" s="47">
        <f t="shared" si="54"/>
        <v>55593</v>
      </c>
      <c r="I263" s="48">
        <f t="shared" si="52"/>
        <v>55610</v>
      </c>
      <c r="J263" s="48">
        <v>55610</v>
      </c>
      <c r="K263" s="109">
        <v>44896</v>
      </c>
      <c r="L263" s="195" t="s">
        <v>725</v>
      </c>
      <c r="M263" s="112" t="s">
        <v>287</v>
      </c>
      <c r="N263" s="102" t="s">
        <v>281</v>
      </c>
      <c r="O263" s="109">
        <v>44896</v>
      </c>
      <c r="P263" s="171"/>
      <c r="Q263" s="159" t="s">
        <v>72</v>
      </c>
      <c r="R263" s="102">
        <v>1.41</v>
      </c>
      <c r="S263" s="113"/>
      <c r="T263" s="114">
        <v>0.2</v>
      </c>
      <c r="U263" s="52">
        <f t="shared" si="48"/>
        <v>6669300</v>
      </c>
      <c r="V263" s="52">
        <f t="shared" si="51"/>
        <v>0</v>
      </c>
      <c r="W263" s="52">
        <f t="shared" si="50"/>
        <v>468000</v>
      </c>
      <c r="X263" s="52">
        <f t="shared" si="53"/>
        <v>7137300</v>
      </c>
      <c r="Y263" s="52">
        <f>+VLOOKUP(E263,[2]Sheet1!$B$11:$J$400,9,0)</f>
        <v>6225600</v>
      </c>
      <c r="Z263" s="52"/>
      <c r="AA263" s="53" t="s">
        <v>2712</v>
      </c>
      <c r="AB263" s="114"/>
      <c r="AC263" s="45" t="str">
        <f>+VLOOKUP(E263,[3]Sheet1!$B$11:$I$388,8,0)</f>
        <v>60 - 040</v>
      </c>
      <c r="AD263" s="114" t="s">
        <v>1787</v>
      </c>
      <c r="AE263" s="114" t="s">
        <v>2639</v>
      </c>
      <c r="AF263" s="115" t="s">
        <v>2639</v>
      </c>
      <c r="AG263" s="45">
        <f>+VALUE(AF226:AF639)</f>
        <v>60095002252</v>
      </c>
      <c r="AH263" s="172" t="s">
        <v>2640</v>
      </c>
      <c r="AI263" s="114" t="s">
        <v>2427</v>
      </c>
      <c r="AJ263" s="114" t="s">
        <v>1267</v>
      </c>
      <c r="AK263" s="116" t="s">
        <v>2641</v>
      </c>
      <c r="AL263" s="114"/>
      <c r="AM263" s="114"/>
      <c r="AN263" s="114"/>
      <c r="AO263" s="114"/>
      <c r="AP263" s="114" t="s">
        <v>2630</v>
      </c>
      <c r="AQ263" s="109">
        <v>44896</v>
      </c>
      <c r="AR263" s="114"/>
      <c r="AS263" s="114"/>
      <c r="AT263" s="109">
        <v>44927</v>
      </c>
      <c r="AU263" s="109"/>
      <c r="AV263" s="109"/>
      <c r="AW263" s="196" t="s">
        <v>3477</v>
      </c>
      <c r="AX263" s="55" t="s">
        <v>1518</v>
      </c>
      <c r="AY263" s="55"/>
      <c r="AZ263" s="55"/>
      <c r="BA263" s="55"/>
      <c r="BB263" s="55"/>
      <c r="BC263" s="55"/>
      <c r="BD263" s="55"/>
      <c r="BE263" s="55"/>
      <c r="BF263" s="55"/>
      <c r="BG263" s="55"/>
      <c r="BH263" s="55"/>
      <c r="BI263" s="55"/>
      <c r="BJ263" s="55"/>
      <c r="BK263" s="55"/>
      <c r="BL263" s="55"/>
      <c r="BM263" s="55"/>
      <c r="BN263" s="55"/>
      <c r="BO263" s="55"/>
      <c r="BP263" s="55"/>
      <c r="BQ263" s="55"/>
      <c r="BR263" s="55"/>
      <c r="BS263" s="55"/>
      <c r="BT263" s="55"/>
      <c r="BU263" s="55"/>
      <c r="BV263" s="55"/>
      <c r="BW263" s="55"/>
      <c r="BX263" s="55"/>
      <c r="BY263" s="55"/>
      <c r="BZ263" s="55"/>
      <c r="CA263" s="55"/>
      <c r="CB263" s="55"/>
      <c r="CC263" s="55"/>
      <c r="CD263" s="55"/>
      <c r="CE263" s="55"/>
      <c r="CF263" s="55"/>
      <c r="CG263" s="55"/>
      <c r="CH263" s="55"/>
      <c r="CI263" s="55"/>
      <c r="CJ263" s="55"/>
      <c r="CK263" s="55"/>
      <c r="CL263" s="55"/>
      <c r="CM263" s="55"/>
      <c r="CN263" s="55"/>
      <c r="CO263" s="55"/>
      <c r="CP263" s="55"/>
      <c r="CQ263" s="55"/>
      <c r="CR263" s="55"/>
      <c r="CS263" s="55"/>
      <c r="CT263" s="55"/>
      <c r="CU263" s="55"/>
      <c r="CV263" s="55"/>
    </row>
    <row r="264" spans="1:100" x14ac:dyDescent="0.3">
      <c r="A264" s="43">
        <v>263</v>
      </c>
      <c r="B264" s="43">
        <v>106</v>
      </c>
      <c r="C264" s="102" t="s">
        <v>2542</v>
      </c>
      <c r="D264" s="148">
        <v>9</v>
      </c>
      <c r="E264" s="149" t="s">
        <v>2642</v>
      </c>
      <c r="F264" s="115" t="s">
        <v>2643</v>
      </c>
      <c r="G264" s="109">
        <v>36541</v>
      </c>
      <c r="H264" s="47">
        <f t="shared" si="54"/>
        <v>57361</v>
      </c>
      <c r="I264" s="48">
        <f t="shared" si="52"/>
        <v>57377</v>
      </c>
      <c r="J264" s="48">
        <v>57377</v>
      </c>
      <c r="K264" s="109">
        <v>44896</v>
      </c>
      <c r="L264" s="195" t="s">
        <v>725</v>
      </c>
      <c r="M264" s="112" t="s">
        <v>287</v>
      </c>
      <c r="N264" s="102" t="s">
        <v>281</v>
      </c>
      <c r="O264" s="109">
        <v>44896</v>
      </c>
      <c r="P264" s="171"/>
      <c r="Q264" s="159" t="s">
        <v>72</v>
      </c>
      <c r="R264" s="102">
        <v>1.41</v>
      </c>
      <c r="S264" s="113"/>
      <c r="T264" s="114">
        <v>0.2</v>
      </c>
      <c r="U264" s="52">
        <f t="shared" si="48"/>
        <v>6669300</v>
      </c>
      <c r="V264" s="52">
        <f t="shared" si="51"/>
        <v>0</v>
      </c>
      <c r="W264" s="52">
        <f t="shared" ref="W264:W297" si="55">+T264*2340000</f>
        <v>468000</v>
      </c>
      <c r="X264" s="52">
        <f t="shared" si="53"/>
        <v>7137300</v>
      </c>
      <c r="Y264" s="52">
        <f>+VLOOKUP(E264,[2]Sheet1!$B$11:$J$400,9,0)</f>
        <v>6225600</v>
      </c>
      <c r="Z264" s="52"/>
      <c r="AA264" s="53" t="s">
        <v>3230</v>
      </c>
      <c r="AB264" s="114"/>
      <c r="AC264" s="45" t="str">
        <f>+VLOOKUP(E264,[3]Sheet1!$B$11:$I$388,8,0)</f>
        <v>60 - 013</v>
      </c>
      <c r="AD264" s="114" t="s">
        <v>1787</v>
      </c>
      <c r="AE264" s="114" t="s">
        <v>2644</v>
      </c>
      <c r="AF264" s="115" t="s">
        <v>2644</v>
      </c>
      <c r="AG264" s="45">
        <f>+VALUE(AF257:AF636)</f>
        <v>60200007348</v>
      </c>
      <c r="AH264" s="172" t="s">
        <v>2645</v>
      </c>
      <c r="AI264" s="114" t="s">
        <v>2427</v>
      </c>
      <c r="AJ264" s="114" t="s">
        <v>1267</v>
      </c>
      <c r="AK264" s="114" t="s">
        <v>2641</v>
      </c>
      <c r="AL264" s="114"/>
      <c r="AM264" s="114"/>
      <c r="AN264" s="114"/>
      <c r="AO264" s="114"/>
      <c r="AP264" s="114" t="s">
        <v>524</v>
      </c>
      <c r="AQ264" s="109">
        <v>44896</v>
      </c>
      <c r="AR264" s="114"/>
      <c r="AS264" s="114"/>
      <c r="AT264" s="109">
        <v>44927</v>
      </c>
      <c r="AU264" s="109"/>
      <c r="AV264" s="109"/>
      <c r="AW264" s="77" t="s">
        <v>2646</v>
      </c>
      <c r="AX264" s="55" t="s">
        <v>1518</v>
      </c>
    </row>
    <row r="265" spans="1:100" x14ac:dyDescent="0.3">
      <c r="A265" s="43">
        <v>264</v>
      </c>
      <c r="B265" s="43">
        <v>107</v>
      </c>
      <c r="C265" s="102" t="s">
        <v>2542</v>
      </c>
      <c r="D265" s="148">
        <v>10</v>
      </c>
      <c r="E265" s="149" t="s">
        <v>3047</v>
      </c>
      <c r="F265" s="115" t="s">
        <v>3048</v>
      </c>
      <c r="G265" s="109">
        <v>35697</v>
      </c>
      <c r="H265" s="47">
        <f t="shared" si="54"/>
        <v>56516</v>
      </c>
      <c r="I265" s="48">
        <f t="shared" si="52"/>
        <v>56523</v>
      </c>
      <c r="J265" s="48">
        <v>56523</v>
      </c>
      <c r="K265" s="109">
        <v>44896</v>
      </c>
      <c r="L265" s="195" t="s">
        <v>725</v>
      </c>
      <c r="M265" s="112" t="s">
        <v>287</v>
      </c>
      <c r="N265" s="102" t="s">
        <v>281</v>
      </c>
      <c r="O265" s="109">
        <v>44896</v>
      </c>
      <c r="P265" s="171"/>
      <c r="Q265" s="159" t="s">
        <v>72</v>
      </c>
      <c r="R265" s="102">
        <v>1.41</v>
      </c>
      <c r="S265" s="113"/>
      <c r="T265" s="114">
        <v>0.2</v>
      </c>
      <c r="U265" s="52">
        <f t="shared" si="48"/>
        <v>6669300</v>
      </c>
      <c r="V265" s="52">
        <f t="shared" si="51"/>
        <v>0</v>
      </c>
      <c r="W265" s="52">
        <f t="shared" si="55"/>
        <v>468000</v>
      </c>
      <c r="X265" s="52">
        <f t="shared" si="53"/>
        <v>7137300</v>
      </c>
      <c r="Y265" s="52">
        <f>+VLOOKUP(E265,[2]Sheet1!$B$11:$J$400,9,0)</f>
        <v>6225600</v>
      </c>
      <c r="Z265" s="52"/>
      <c r="AA265" s="53" t="s">
        <v>3232</v>
      </c>
      <c r="AB265" s="114"/>
      <c r="AC265" s="45" t="str">
        <f>+VLOOKUP(E265,[3]Sheet1!$B$11:$I$388,8,0)</f>
        <v>60 - 152</v>
      </c>
      <c r="AD265" s="114" t="s">
        <v>1787</v>
      </c>
      <c r="AE265" s="123" t="s">
        <v>3049</v>
      </c>
      <c r="AF265" s="115"/>
      <c r="AG265" s="45"/>
      <c r="AH265" s="172" t="s">
        <v>2595</v>
      </c>
      <c r="AI265" s="114" t="s">
        <v>2427</v>
      </c>
      <c r="AJ265" s="114" t="s">
        <v>3050</v>
      </c>
      <c r="AK265" s="114"/>
      <c r="AL265" s="114"/>
      <c r="AM265" s="114"/>
      <c r="AN265" s="114" t="s">
        <v>3051</v>
      </c>
      <c r="AO265" s="114"/>
      <c r="AP265" s="114"/>
      <c r="AQ265" s="109">
        <v>45078</v>
      </c>
      <c r="AR265" s="114"/>
      <c r="AS265" s="109">
        <v>45108</v>
      </c>
      <c r="AT265" s="109"/>
      <c r="AU265" s="109"/>
      <c r="AV265" s="109">
        <v>45474</v>
      </c>
      <c r="AW265" s="77"/>
      <c r="AX265" s="55" t="s">
        <v>1518</v>
      </c>
    </row>
    <row r="266" spans="1:100" x14ac:dyDescent="0.3">
      <c r="A266" s="43">
        <v>265</v>
      </c>
      <c r="B266" s="43">
        <v>108</v>
      </c>
      <c r="C266" s="102" t="s">
        <v>2542</v>
      </c>
      <c r="D266" s="148">
        <v>11</v>
      </c>
      <c r="E266" s="149" t="s">
        <v>3115</v>
      </c>
      <c r="F266" s="115" t="s">
        <v>3116</v>
      </c>
      <c r="G266" s="172">
        <v>37509</v>
      </c>
      <c r="H266" s="47">
        <f>+DATE(YEAR(G266)+57,MONTH(G266),DAY(G266))</f>
        <v>58328</v>
      </c>
      <c r="I266" s="48">
        <f>+EOMONTH(H266,0)+1</f>
        <v>58349</v>
      </c>
      <c r="J266" s="48">
        <v>58384</v>
      </c>
      <c r="K266" s="109">
        <v>45352</v>
      </c>
      <c r="L266" s="195" t="s">
        <v>725</v>
      </c>
      <c r="M266" s="112" t="s">
        <v>287</v>
      </c>
      <c r="N266" s="102" t="s">
        <v>281</v>
      </c>
      <c r="O266" s="109">
        <v>45352</v>
      </c>
      <c r="P266" s="171"/>
      <c r="Q266" s="159" t="s">
        <v>72</v>
      </c>
      <c r="R266" s="102">
        <v>1.41</v>
      </c>
      <c r="S266" s="113"/>
      <c r="T266" s="114">
        <v>0.2</v>
      </c>
      <c r="U266" s="52">
        <f t="shared" si="48"/>
        <v>6669300</v>
      </c>
      <c r="V266" s="52">
        <f>+S266*4410000</f>
        <v>0</v>
      </c>
      <c r="W266" s="52">
        <f>+T266*2340000</f>
        <v>468000</v>
      </c>
      <c r="X266" s="52">
        <f>+U266+V266+W266</f>
        <v>7137300</v>
      </c>
      <c r="Y266" s="52">
        <f>+VLOOKUP(E266,[2]Sheet1!$B$11:$J$400,9,0)</f>
        <v>6225600</v>
      </c>
      <c r="Z266" s="52"/>
      <c r="AA266" s="53" t="s">
        <v>3221</v>
      </c>
      <c r="AB266" s="114"/>
      <c r="AC266" s="45" t="str">
        <f>+VLOOKUP(E266,[3]Sheet1!$B$11:$I$388,8,0)</f>
        <v>60 - 013</v>
      </c>
      <c r="AD266" s="114" t="s">
        <v>1787</v>
      </c>
      <c r="AE266" s="123" t="s">
        <v>3117</v>
      </c>
      <c r="AF266" s="115"/>
      <c r="AG266" s="45"/>
      <c r="AH266" s="172" t="s">
        <v>3013</v>
      </c>
      <c r="AI266" s="114" t="s">
        <v>2427</v>
      </c>
      <c r="AJ266" s="114" t="s">
        <v>1267</v>
      </c>
      <c r="AK266" s="114" t="s">
        <v>2641</v>
      </c>
      <c r="AL266" s="114"/>
      <c r="AM266" s="114"/>
      <c r="AN266" s="114"/>
      <c r="AO266" s="114"/>
      <c r="AP266" s="123" t="s">
        <v>3025</v>
      </c>
      <c r="AQ266" s="109">
        <v>45352</v>
      </c>
      <c r="AR266" s="114"/>
      <c r="AS266" s="109">
        <v>45383</v>
      </c>
      <c r="AT266" s="109"/>
      <c r="AU266" s="109"/>
      <c r="AV266" s="109"/>
      <c r="AW266" s="77" t="s">
        <v>3156</v>
      </c>
      <c r="AX266" s="55" t="s">
        <v>1518</v>
      </c>
    </row>
    <row r="267" spans="1:100" x14ac:dyDescent="0.3">
      <c r="A267" s="43">
        <v>266</v>
      </c>
      <c r="B267" s="43">
        <v>1</v>
      </c>
      <c r="C267" s="118" t="s">
        <v>2543</v>
      </c>
      <c r="D267" s="101">
        <v>1</v>
      </c>
      <c r="E267" s="97" t="s">
        <v>221</v>
      </c>
      <c r="F267" s="100" t="s">
        <v>428</v>
      </c>
      <c r="G267" s="97">
        <v>28131</v>
      </c>
      <c r="H267" s="97">
        <f>+DATE(YEAR(G267)+62,MONTH(G267),DAY(G267))</f>
        <v>50776</v>
      </c>
      <c r="I267" s="48">
        <f t="shared" si="52"/>
        <v>50802</v>
      </c>
      <c r="J267" s="48">
        <f>+VLOOKUP(E267,'[1]DATA 06.2023'!$E$2:$J$390,6,0)</f>
        <v>50802</v>
      </c>
      <c r="K267" s="97">
        <v>36220</v>
      </c>
      <c r="L267" s="197" t="s">
        <v>733</v>
      </c>
      <c r="M267" s="198" t="s">
        <v>41</v>
      </c>
      <c r="N267" s="199" t="s">
        <v>3183</v>
      </c>
      <c r="O267" s="97">
        <v>43101</v>
      </c>
      <c r="P267" s="117" t="s">
        <v>1515</v>
      </c>
      <c r="Q267" s="200" t="s">
        <v>74</v>
      </c>
      <c r="R267" s="119">
        <v>1.89</v>
      </c>
      <c r="S267" s="119">
        <v>0.35</v>
      </c>
      <c r="T267" s="99"/>
      <c r="U267" s="52">
        <f t="shared" si="48"/>
        <v>8939700</v>
      </c>
      <c r="V267" s="52">
        <f t="shared" si="51"/>
        <v>1543500</v>
      </c>
      <c r="W267" s="52">
        <f t="shared" si="55"/>
        <v>0</v>
      </c>
      <c r="X267" s="52">
        <f t="shared" si="53"/>
        <v>10483200</v>
      </c>
      <c r="Y267" s="52">
        <f>+VLOOKUP(E267,[2]Sheet1!$B$11:$J$400,9,0)</f>
        <v>9318400</v>
      </c>
      <c r="Z267" s="52"/>
      <c r="AA267" s="53" t="s">
        <v>1703</v>
      </c>
      <c r="AB267" s="99" t="s">
        <v>1281</v>
      </c>
      <c r="AC267" s="45" t="str">
        <f>+VLOOKUP(E267,[3]Sheet1!$B$11:$I$388,8,0)</f>
        <v>56 - 177</v>
      </c>
      <c r="AD267" s="99" t="s">
        <v>3307</v>
      </c>
      <c r="AE267" s="201" t="s">
        <v>3078</v>
      </c>
      <c r="AF267" s="100" t="s">
        <v>1285</v>
      </c>
      <c r="AG267" s="99">
        <f>+VALUE(AF267:AF647)</f>
        <v>220909427</v>
      </c>
      <c r="AH267" s="99" t="s">
        <v>1286</v>
      </c>
      <c r="AI267" s="99" t="s">
        <v>620</v>
      </c>
      <c r="AJ267" s="99" t="s">
        <v>1287</v>
      </c>
      <c r="AK267" s="101" t="s">
        <v>1288</v>
      </c>
      <c r="AL267" s="99"/>
      <c r="AM267" s="99" t="s">
        <v>502</v>
      </c>
      <c r="AN267" s="99"/>
      <c r="AO267" s="99"/>
      <c r="AP267" s="99"/>
      <c r="AQ267" s="99"/>
      <c r="AR267" s="99"/>
      <c r="AS267" s="99"/>
      <c r="AT267" s="99"/>
      <c r="AU267" s="99"/>
      <c r="AV267" s="99"/>
      <c r="AW267" s="55" t="s">
        <v>2312</v>
      </c>
      <c r="AX267" s="55" t="s">
        <v>1519</v>
      </c>
    </row>
    <row r="268" spans="1:100" x14ac:dyDescent="0.3">
      <c r="A268" s="43">
        <v>267</v>
      </c>
      <c r="B268" s="43">
        <v>2</v>
      </c>
      <c r="C268" s="118" t="s">
        <v>2543</v>
      </c>
      <c r="D268" s="101">
        <v>2</v>
      </c>
      <c r="E268" s="97" t="s">
        <v>292</v>
      </c>
      <c r="F268" s="100" t="s">
        <v>431</v>
      </c>
      <c r="G268" s="97">
        <v>28803</v>
      </c>
      <c r="H268" s="97">
        <f>+DATE(YEAR(G268)+62,MONTH(G268),DAY(G268))</f>
        <v>51449</v>
      </c>
      <c r="I268" s="48">
        <f t="shared" si="52"/>
        <v>51471</v>
      </c>
      <c r="J268" s="48">
        <f>+VLOOKUP(E268,'[1]DATA 06.2023'!$E$2:$J$390,6,0)</f>
        <v>51471</v>
      </c>
      <c r="K268" s="97">
        <v>36831</v>
      </c>
      <c r="L268" s="197" t="s">
        <v>733</v>
      </c>
      <c r="M268" s="198" t="s">
        <v>41</v>
      </c>
      <c r="N268" s="199" t="s">
        <v>278</v>
      </c>
      <c r="O268" s="97">
        <v>42370</v>
      </c>
      <c r="P268" s="117" t="s">
        <v>1514</v>
      </c>
      <c r="Q268" s="117" t="s">
        <v>74</v>
      </c>
      <c r="R268" s="119">
        <v>1.89</v>
      </c>
      <c r="S268" s="119">
        <v>0.25</v>
      </c>
      <c r="T268" s="99"/>
      <c r="U268" s="52">
        <f t="shared" si="48"/>
        <v>8939700</v>
      </c>
      <c r="V268" s="52">
        <f t="shared" si="51"/>
        <v>1102500</v>
      </c>
      <c r="W268" s="52">
        <f t="shared" si="55"/>
        <v>0</v>
      </c>
      <c r="X268" s="52">
        <f t="shared" si="53"/>
        <v>10042200</v>
      </c>
      <c r="Y268" s="52">
        <f>+VLOOKUP(E268,[2]Sheet1!$B$11:$J$400,9,0)</f>
        <v>8486400</v>
      </c>
      <c r="Z268" s="52"/>
      <c r="AA268" s="53" t="s">
        <v>1706</v>
      </c>
      <c r="AB268" s="99" t="s">
        <v>1296</v>
      </c>
      <c r="AC268" s="45" t="str">
        <f>+VLOOKUP(E268,[3]Sheet1!$B$11:$I$388,8,0)</f>
        <v>79 - 009</v>
      </c>
      <c r="AD268" s="99" t="s">
        <v>1792</v>
      </c>
      <c r="AE268" s="99" t="s">
        <v>2746</v>
      </c>
      <c r="AF268" s="100" t="s">
        <v>2148</v>
      </c>
      <c r="AG268" s="99">
        <f>+VALUE(AF18:AF650)</f>
        <v>221038746</v>
      </c>
      <c r="AH268" s="201" t="s">
        <v>2429</v>
      </c>
      <c r="AI268" s="99" t="s">
        <v>1297</v>
      </c>
      <c r="AJ268" s="99" t="s">
        <v>1298</v>
      </c>
      <c r="AK268" s="101" t="s">
        <v>1299</v>
      </c>
      <c r="AL268" s="99"/>
      <c r="AM268" s="99" t="s">
        <v>3436</v>
      </c>
      <c r="AN268" s="99"/>
      <c r="AO268" s="99"/>
      <c r="AP268" s="99"/>
      <c r="AQ268" s="99"/>
      <c r="AR268" s="99"/>
      <c r="AS268" s="99"/>
      <c r="AT268" s="99"/>
      <c r="AU268" s="99"/>
      <c r="AV268" s="99"/>
      <c r="AX268" s="55" t="s">
        <v>1519</v>
      </c>
    </row>
    <row r="269" spans="1:100" x14ac:dyDescent="0.3">
      <c r="A269" s="43">
        <v>268</v>
      </c>
      <c r="B269" s="43">
        <v>3</v>
      </c>
      <c r="C269" s="118" t="s">
        <v>2543</v>
      </c>
      <c r="D269" s="101">
        <v>3</v>
      </c>
      <c r="E269" s="97" t="s">
        <v>222</v>
      </c>
      <c r="F269" s="100" t="s">
        <v>429</v>
      </c>
      <c r="G269" s="97">
        <v>25150</v>
      </c>
      <c r="H269" s="97">
        <f>+DATE(YEAR(G269)+62,MONTH(G269),DAY(G269))</f>
        <v>47795</v>
      </c>
      <c r="I269" s="48">
        <f t="shared" si="52"/>
        <v>47818</v>
      </c>
      <c r="J269" s="48">
        <f>+VLOOKUP(E269,'[1]DATA 06.2023'!$E$2:$J$390,6,0)</f>
        <v>47818</v>
      </c>
      <c r="K269" s="97">
        <v>32752</v>
      </c>
      <c r="L269" s="197" t="s">
        <v>733</v>
      </c>
      <c r="M269" s="198" t="s">
        <v>43</v>
      </c>
      <c r="N269" s="118" t="s">
        <v>280</v>
      </c>
      <c r="O269" s="99"/>
      <c r="P269" s="117"/>
      <c r="Q269" s="118" t="s">
        <v>74</v>
      </c>
      <c r="R269" s="119">
        <v>1.89</v>
      </c>
      <c r="S269" s="119"/>
      <c r="T269" s="99"/>
      <c r="U269" s="52">
        <f t="shared" si="48"/>
        <v>8939700</v>
      </c>
      <c r="V269" s="52">
        <f t="shared" si="51"/>
        <v>0</v>
      </c>
      <c r="W269" s="52">
        <f t="shared" si="55"/>
        <v>0</v>
      </c>
      <c r="X269" s="52">
        <f t="shared" si="53"/>
        <v>8939700</v>
      </c>
      <c r="Y269" s="52">
        <f>+VLOOKUP(E269,[2]Sheet1!$B$11:$J$400,9,0)</f>
        <v>7862400</v>
      </c>
      <c r="Z269" s="52"/>
      <c r="AA269" s="53" t="s">
        <v>1704</v>
      </c>
      <c r="AB269" s="99" t="s">
        <v>1803</v>
      </c>
      <c r="AC269" s="45" t="str">
        <f>+VLOOKUP(E269,[3]Sheet1!$B$11:$I$388,8,0)</f>
        <v>56 - 001</v>
      </c>
      <c r="AD269" s="99" t="s">
        <v>40</v>
      </c>
      <c r="AE269" s="99" t="s">
        <v>2902</v>
      </c>
      <c r="AF269" s="100" t="s">
        <v>1289</v>
      </c>
      <c r="AG269" s="99">
        <f>+VALUE(AF269:AF648)</f>
        <v>220771389</v>
      </c>
      <c r="AH269" s="99" t="s">
        <v>1290</v>
      </c>
      <c r="AI269" s="99" t="s">
        <v>620</v>
      </c>
      <c r="AJ269" s="99" t="s">
        <v>1291</v>
      </c>
      <c r="AK269" s="101" t="s">
        <v>1292</v>
      </c>
      <c r="AL269" s="99"/>
      <c r="AM269" s="99" t="s">
        <v>90</v>
      </c>
      <c r="AN269" s="99"/>
      <c r="AO269" s="99"/>
      <c r="AP269" s="99"/>
      <c r="AQ269" s="99"/>
      <c r="AR269" s="99"/>
      <c r="AS269" s="99"/>
      <c r="AT269" s="99"/>
      <c r="AU269" s="99"/>
      <c r="AV269" s="99"/>
      <c r="AW269" s="55" t="s">
        <v>2313</v>
      </c>
      <c r="AX269" s="55" t="s">
        <v>1519</v>
      </c>
    </row>
    <row r="270" spans="1:100" x14ac:dyDescent="0.3">
      <c r="A270" s="43">
        <v>269</v>
      </c>
      <c r="B270" s="43">
        <v>4</v>
      </c>
      <c r="C270" s="118" t="s">
        <v>2543</v>
      </c>
      <c r="D270" s="101">
        <v>4</v>
      </c>
      <c r="E270" s="202" t="s">
        <v>1863</v>
      </c>
      <c r="F270" s="100" t="s">
        <v>1864</v>
      </c>
      <c r="G270" s="97">
        <v>35078</v>
      </c>
      <c r="H270" s="97">
        <f>+DATE(YEAR(G270)+57,MONTH(G270),DAY(G270))</f>
        <v>55898</v>
      </c>
      <c r="I270" s="48">
        <f>+EOMONTH(H270,0)+1</f>
        <v>55916</v>
      </c>
      <c r="J270" s="48">
        <v>55916</v>
      </c>
      <c r="K270" s="97">
        <v>43440</v>
      </c>
      <c r="L270" s="197" t="s">
        <v>733</v>
      </c>
      <c r="M270" s="203" t="s">
        <v>43</v>
      </c>
      <c r="N270" s="118" t="s">
        <v>36</v>
      </c>
      <c r="O270" s="97"/>
      <c r="P270" s="204"/>
      <c r="Q270" s="118" t="s">
        <v>3302</v>
      </c>
      <c r="R270" s="119">
        <v>1.56</v>
      </c>
      <c r="S270" s="119"/>
      <c r="T270" s="99"/>
      <c r="U270" s="52">
        <f t="shared" si="48"/>
        <v>7378800</v>
      </c>
      <c r="V270" s="52">
        <f>+S270*4410000</f>
        <v>0</v>
      </c>
      <c r="W270" s="52">
        <f>+T270*2340000</f>
        <v>0</v>
      </c>
      <c r="X270" s="52">
        <f>+U270+V270+W270</f>
        <v>7378800</v>
      </c>
      <c r="Y270" s="52">
        <f>+VLOOKUP(E270,[2]Sheet1!$B$11:$J$400,9,0)</f>
        <v>6364800</v>
      </c>
      <c r="Z270" s="52"/>
      <c r="AA270" s="53" t="s">
        <v>1950</v>
      </c>
      <c r="AB270" s="99"/>
      <c r="AC270" s="45" t="str">
        <f>+VLOOKUP(E270,[3]Sheet1!$B$11:$I$388,8,0)</f>
        <v>56 - 158</v>
      </c>
      <c r="AD270" s="99" t="s">
        <v>1793</v>
      </c>
      <c r="AE270" s="99" t="s">
        <v>2958</v>
      </c>
      <c r="AF270" s="100" t="s">
        <v>1865</v>
      </c>
      <c r="AG270" s="99">
        <f>+VALUE(AF270:AF718)</f>
        <v>225755632</v>
      </c>
      <c r="AH270" s="205" t="s">
        <v>1866</v>
      </c>
      <c r="AI270" s="99" t="s">
        <v>620</v>
      </c>
      <c r="AJ270" s="99" t="s">
        <v>1867</v>
      </c>
      <c r="AK270" s="101" t="s">
        <v>1868</v>
      </c>
      <c r="AL270" s="99"/>
      <c r="AM270" s="99"/>
      <c r="AN270" s="99" t="s">
        <v>562</v>
      </c>
      <c r="AO270" s="99"/>
      <c r="AP270" s="99"/>
      <c r="AQ270" s="99"/>
      <c r="AR270" s="99"/>
      <c r="AS270" s="99"/>
      <c r="AT270" s="97">
        <v>43739</v>
      </c>
      <c r="AU270" s="99"/>
      <c r="AV270" s="97">
        <v>44470</v>
      </c>
      <c r="AW270" s="55" t="s">
        <v>2373</v>
      </c>
      <c r="AX270" s="55" t="s">
        <v>1519</v>
      </c>
    </row>
    <row r="271" spans="1:100" x14ac:dyDescent="0.3">
      <c r="A271" s="43">
        <v>270</v>
      </c>
      <c r="B271" s="43">
        <v>5</v>
      </c>
      <c r="C271" s="118" t="s">
        <v>2543</v>
      </c>
      <c r="D271" s="101">
        <v>5</v>
      </c>
      <c r="E271" s="97" t="s">
        <v>223</v>
      </c>
      <c r="F271" s="100" t="s">
        <v>430</v>
      </c>
      <c r="G271" s="97">
        <v>25953</v>
      </c>
      <c r="H271" s="97">
        <f>+DATE(YEAR(G271)+62,MONTH(G271),DAY(G271))</f>
        <v>48599</v>
      </c>
      <c r="I271" s="48">
        <f t="shared" si="52"/>
        <v>48611</v>
      </c>
      <c r="J271" s="48">
        <f>+VLOOKUP(E271,'[1]DATA 06.2023'!$E$2:$J$390,6,0)</f>
        <v>48611</v>
      </c>
      <c r="K271" s="97">
        <v>33878</v>
      </c>
      <c r="L271" s="197" t="s">
        <v>733</v>
      </c>
      <c r="M271" s="198" t="s">
        <v>43</v>
      </c>
      <c r="N271" s="118" t="s">
        <v>36</v>
      </c>
      <c r="O271" s="99"/>
      <c r="P271" s="117"/>
      <c r="Q271" s="118" t="s">
        <v>74</v>
      </c>
      <c r="R271" s="119">
        <v>1.89</v>
      </c>
      <c r="S271" s="119"/>
      <c r="T271" s="99"/>
      <c r="U271" s="52">
        <f t="shared" si="48"/>
        <v>8939700</v>
      </c>
      <c r="V271" s="52">
        <f t="shared" si="51"/>
        <v>0</v>
      </c>
      <c r="W271" s="52">
        <f t="shared" si="55"/>
        <v>0</v>
      </c>
      <c r="X271" s="52">
        <f t="shared" si="53"/>
        <v>8939700</v>
      </c>
      <c r="Y271" s="52">
        <f>+VLOOKUP(E271,[2]Sheet1!$B$11:$J$400,9,0)</f>
        <v>7862400</v>
      </c>
      <c r="Z271" s="52"/>
      <c r="AA271" s="53" t="s">
        <v>1705</v>
      </c>
      <c r="AB271" s="99" t="s">
        <v>1281</v>
      </c>
      <c r="AC271" s="45" t="str">
        <f>+VLOOKUP(E271,[3]Sheet1!$B$11:$I$388,8,0)</f>
        <v>56 - 177</v>
      </c>
      <c r="AD271" s="99" t="s">
        <v>1793</v>
      </c>
      <c r="AE271" s="99" t="s">
        <v>2904</v>
      </c>
      <c r="AF271" s="100">
        <v>220854191</v>
      </c>
      <c r="AG271" s="99">
        <f>+VALUE(AF271:AF649)</f>
        <v>220854191</v>
      </c>
      <c r="AH271" s="99" t="s">
        <v>1293</v>
      </c>
      <c r="AI271" s="99" t="s">
        <v>620</v>
      </c>
      <c r="AJ271" s="99" t="s">
        <v>1294</v>
      </c>
      <c r="AK271" s="101" t="s">
        <v>1295</v>
      </c>
      <c r="AL271" s="99"/>
      <c r="AM271" s="99" t="s">
        <v>81</v>
      </c>
      <c r="AN271" s="99"/>
      <c r="AO271" s="99"/>
      <c r="AP271" s="99"/>
      <c r="AQ271" s="99"/>
      <c r="AR271" s="99"/>
      <c r="AS271" s="99"/>
      <c r="AT271" s="99"/>
      <c r="AU271" s="99"/>
      <c r="AV271" s="99"/>
      <c r="AW271" s="55" t="s">
        <v>2315</v>
      </c>
      <c r="AX271" s="55" t="s">
        <v>1519</v>
      </c>
    </row>
    <row r="272" spans="1:100" x14ac:dyDescent="0.3">
      <c r="A272" s="43">
        <v>271</v>
      </c>
      <c r="B272" s="43">
        <v>6</v>
      </c>
      <c r="C272" s="118" t="s">
        <v>2543</v>
      </c>
      <c r="D272" s="101">
        <v>6</v>
      </c>
      <c r="E272" s="97" t="s">
        <v>224</v>
      </c>
      <c r="F272" s="100" t="s">
        <v>432</v>
      </c>
      <c r="G272" s="97">
        <v>30825</v>
      </c>
      <c r="H272" s="97">
        <f>+DATE(YEAR(G272)+62,MONTH(G272),DAY(G272))</f>
        <v>53470</v>
      </c>
      <c r="I272" s="48">
        <f t="shared" si="52"/>
        <v>53479</v>
      </c>
      <c r="J272" s="48">
        <f>+VLOOKUP(E272,'[1]DATA 06.2023'!$E$2:$J$390,6,0)</f>
        <v>53479</v>
      </c>
      <c r="K272" s="97">
        <v>38443</v>
      </c>
      <c r="L272" s="197" t="s">
        <v>733</v>
      </c>
      <c r="M272" s="198" t="s">
        <v>43</v>
      </c>
      <c r="N272" s="118" t="s">
        <v>36</v>
      </c>
      <c r="O272" s="97">
        <v>41091</v>
      </c>
      <c r="P272" s="117"/>
      <c r="Q272" s="118" t="s">
        <v>75</v>
      </c>
      <c r="R272" s="119">
        <v>1.58</v>
      </c>
      <c r="S272" s="119"/>
      <c r="T272" s="99"/>
      <c r="U272" s="52">
        <f t="shared" si="48"/>
        <v>7473400</v>
      </c>
      <c r="V272" s="52">
        <f t="shared" si="51"/>
        <v>0</v>
      </c>
      <c r="W272" s="52">
        <f t="shared" si="55"/>
        <v>0</v>
      </c>
      <c r="X272" s="52">
        <f t="shared" si="53"/>
        <v>7473400</v>
      </c>
      <c r="Y272" s="52">
        <f>+VLOOKUP(E272,[2]Sheet1!$B$11:$J$400,9,0)</f>
        <v>6572800</v>
      </c>
      <c r="Z272" s="52"/>
      <c r="AA272" s="53" t="s">
        <v>1707</v>
      </c>
      <c r="AB272" s="99" t="s">
        <v>1281</v>
      </c>
      <c r="AC272" s="45" t="str">
        <f>+VLOOKUP(E272,[3]Sheet1!$B$11:$I$388,8,0)</f>
        <v>56 - 177</v>
      </c>
      <c r="AD272" s="99" t="s">
        <v>288</v>
      </c>
      <c r="AE272" s="99" t="s">
        <v>2905</v>
      </c>
      <c r="AF272" s="100" t="s">
        <v>1300</v>
      </c>
      <c r="AG272" s="99">
        <f>+VALUE(AF272:AF651)</f>
        <v>225234801</v>
      </c>
      <c r="AH272" s="99" t="s">
        <v>1301</v>
      </c>
      <c r="AI272" s="99" t="s">
        <v>620</v>
      </c>
      <c r="AJ272" s="99" t="s">
        <v>1302</v>
      </c>
      <c r="AK272" s="101" t="s">
        <v>1295</v>
      </c>
      <c r="AL272" s="99"/>
      <c r="AM272" s="99"/>
      <c r="AN272" s="99"/>
      <c r="AO272" s="99"/>
      <c r="AP272" s="99" t="s">
        <v>567</v>
      </c>
      <c r="AQ272" s="99"/>
      <c r="AR272" s="99"/>
      <c r="AS272" s="99"/>
      <c r="AT272" s="99"/>
      <c r="AU272" s="99"/>
      <c r="AV272" s="99"/>
      <c r="AW272" s="55" t="s">
        <v>2316</v>
      </c>
      <c r="AX272" s="55" t="s">
        <v>1519</v>
      </c>
    </row>
    <row r="273" spans="1:50" x14ac:dyDescent="0.3">
      <c r="A273" s="43">
        <v>272</v>
      </c>
      <c r="B273" s="43">
        <v>7</v>
      </c>
      <c r="C273" s="118" t="s">
        <v>2543</v>
      </c>
      <c r="D273" s="44">
        <v>7</v>
      </c>
      <c r="E273" s="59" t="s">
        <v>257</v>
      </c>
      <c r="F273" s="46" t="s">
        <v>470</v>
      </c>
      <c r="G273" s="47">
        <v>31463</v>
      </c>
      <c r="H273" s="48">
        <f>+DATE(YEAR(G273)+57,MONTH(G273),DAY(G273))</f>
        <v>52282</v>
      </c>
      <c r="I273" s="48">
        <f>+EOMONTH(H273,0)+1</f>
        <v>52291</v>
      </c>
      <c r="J273" s="48">
        <v>52291</v>
      </c>
      <c r="K273" s="47">
        <v>40544</v>
      </c>
      <c r="L273" s="197" t="s">
        <v>733</v>
      </c>
      <c r="M273" s="49" t="s">
        <v>43</v>
      </c>
      <c r="N273" s="43" t="s">
        <v>36</v>
      </c>
      <c r="O273" s="47">
        <v>43405</v>
      </c>
      <c r="P273" s="47"/>
      <c r="Q273" s="50" t="s">
        <v>3302</v>
      </c>
      <c r="R273" s="51">
        <v>1.56</v>
      </c>
      <c r="S273" s="51"/>
      <c r="T273" s="45"/>
      <c r="U273" s="52">
        <f t="shared" si="48"/>
        <v>7378800</v>
      </c>
      <c r="V273" s="52">
        <f>+S273*4410000</f>
        <v>0</v>
      </c>
      <c r="W273" s="52">
        <f>+T273*2340000</f>
        <v>0</v>
      </c>
      <c r="X273" s="52">
        <f>+U273+V273+W273</f>
        <v>7378800</v>
      </c>
      <c r="Y273" s="52">
        <f>+VLOOKUP(E273,[2]Sheet1!$B$11:$J$400,9,0)</f>
        <v>6572800</v>
      </c>
      <c r="Z273" s="52"/>
      <c r="AA273" s="53" t="s">
        <v>1748</v>
      </c>
      <c r="AB273" s="45" t="s">
        <v>669</v>
      </c>
      <c r="AC273" s="45" t="str">
        <f>+VLOOKUP(E273,[3]Sheet1!$B$11:$I$388,8,0)</f>
        <v>56 - 183</v>
      </c>
      <c r="AD273" s="45" t="s">
        <v>34</v>
      </c>
      <c r="AE273" s="99" t="s">
        <v>2961</v>
      </c>
      <c r="AF273" s="100" t="s">
        <v>1417</v>
      </c>
      <c r="AG273" s="99">
        <f>+VALUE(AF36:AF710)</f>
        <v>212292334</v>
      </c>
      <c r="AH273" s="99" t="s">
        <v>1418</v>
      </c>
      <c r="AI273" s="99" t="s">
        <v>1419</v>
      </c>
      <c r="AJ273" s="99" t="s">
        <v>1420</v>
      </c>
      <c r="AK273" s="101" t="s">
        <v>1420</v>
      </c>
      <c r="AL273" s="99"/>
      <c r="AM273" s="99"/>
      <c r="AN273" s="99"/>
      <c r="AO273" s="99" t="s">
        <v>504</v>
      </c>
      <c r="AP273" s="99"/>
      <c r="AQ273" s="99"/>
      <c r="AR273" s="99"/>
      <c r="AS273" s="99"/>
      <c r="AT273" s="99"/>
      <c r="AU273" s="99"/>
      <c r="AV273" s="99"/>
      <c r="AX273" s="55" t="s">
        <v>2539</v>
      </c>
    </row>
    <row r="274" spans="1:50" x14ac:dyDescent="0.3">
      <c r="A274" s="43">
        <v>273</v>
      </c>
      <c r="B274" s="43">
        <v>8</v>
      </c>
      <c r="C274" s="118" t="s">
        <v>2543</v>
      </c>
      <c r="D274" s="99">
        <v>1</v>
      </c>
      <c r="E274" s="97" t="s">
        <v>293</v>
      </c>
      <c r="F274" s="100" t="s">
        <v>433</v>
      </c>
      <c r="G274" s="97">
        <v>29466</v>
      </c>
      <c r="H274" s="97">
        <f>+DATE(YEAR(G274)+57,MONTH(G274),DAY(G274))</f>
        <v>50285</v>
      </c>
      <c r="I274" s="48">
        <f t="shared" si="52"/>
        <v>50314</v>
      </c>
      <c r="J274" s="48">
        <v>50314</v>
      </c>
      <c r="K274" s="97">
        <v>38200</v>
      </c>
      <c r="L274" s="206" t="s">
        <v>734</v>
      </c>
      <c r="M274" s="207" t="s">
        <v>287</v>
      </c>
      <c r="N274" s="118" t="s">
        <v>282</v>
      </c>
      <c r="O274" s="97">
        <v>41456</v>
      </c>
      <c r="P274" s="117"/>
      <c r="Q274" s="118" t="s">
        <v>74</v>
      </c>
      <c r="R274" s="119">
        <v>1.68</v>
      </c>
      <c r="S274" s="119">
        <v>0.06</v>
      </c>
      <c r="T274" s="99"/>
      <c r="U274" s="52">
        <f t="shared" si="48"/>
        <v>7946400</v>
      </c>
      <c r="V274" s="52">
        <f t="shared" si="51"/>
        <v>264600</v>
      </c>
      <c r="W274" s="52">
        <f t="shared" si="55"/>
        <v>0</v>
      </c>
      <c r="X274" s="52">
        <f t="shared" si="53"/>
        <v>8211000</v>
      </c>
      <c r="Y274" s="52">
        <f>+VLOOKUP(E274,[2]Sheet1!$B$11:$J$400,9,0)</f>
        <v>7238400</v>
      </c>
      <c r="Z274" s="52"/>
      <c r="AA274" s="53" t="s">
        <v>1708</v>
      </c>
      <c r="AB274" s="99" t="s">
        <v>1303</v>
      </c>
      <c r="AC274" s="45" t="str">
        <f>+VLOOKUP(E274,[3]Sheet1!$B$11:$I$388,8,0)</f>
        <v>56 - 012</v>
      </c>
      <c r="AD274" s="99" t="s">
        <v>1795</v>
      </c>
      <c r="AE274" s="99" t="s">
        <v>2906</v>
      </c>
      <c r="AF274" s="100" t="s">
        <v>1304</v>
      </c>
      <c r="AG274" s="99">
        <f>+VALUE(AF274:AF652)</f>
        <v>225129077</v>
      </c>
      <c r="AH274" s="99" t="s">
        <v>1305</v>
      </c>
      <c r="AI274" s="99" t="s">
        <v>620</v>
      </c>
      <c r="AJ274" s="99" t="s">
        <v>1306</v>
      </c>
      <c r="AK274" s="101" t="s">
        <v>1307</v>
      </c>
      <c r="AL274" s="99"/>
      <c r="AM274" s="99" t="s">
        <v>565</v>
      </c>
      <c r="AN274" s="99"/>
      <c r="AO274" s="99"/>
      <c r="AP274" s="99"/>
      <c r="AQ274" s="99"/>
      <c r="AR274" s="99"/>
      <c r="AS274" s="99"/>
      <c r="AT274" s="99"/>
      <c r="AU274" s="99"/>
      <c r="AV274" s="99"/>
      <c r="AW274" s="55" t="s">
        <v>2317</v>
      </c>
      <c r="AX274" s="55" t="s">
        <v>1519</v>
      </c>
    </row>
    <row r="275" spans="1:50" x14ac:dyDescent="0.3">
      <c r="A275" s="43">
        <v>274</v>
      </c>
      <c r="B275" s="43">
        <v>9</v>
      </c>
      <c r="C275" s="118" t="s">
        <v>2543</v>
      </c>
      <c r="D275" s="99">
        <v>2</v>
      </c>
      <c r="E275" s="97" t="s">
        <v>2152</v>
      </c>
      <c r="F275" s="100" t="s">
        <v>660</v>
      </c>
      <c r="G275" s="97">
        <v>31813</v>
      </c>
      <c r="H275" s="97">
        <f>+DATE(YEAR(G275)+57,MONTH(G275),DAY(G275))</f>
        <v>52632</v>
      </c>
      <c r="I275" s="48">
        <f t="shared" si="52"/>
        <v>52657</v>
      </c>
      <c r="J275" s="48">
        <v>52657</v>
      </c>
      <c r="K275" s="97">
        <v>40878</v>
      </c>
      <c r="L275" s="206" t="s">
        <v>734</v>
      </c>
      <c r="M275" s="207" t="s">
        <v>287</v>
      </c>
      <c r="N275" s="118" t="s">
        <v>281</v>
      </c>
      <c r="O275" s="97">
        <v>45505</v>
      </c>
      <c r="P275" s="117"/>
      <c r="Q275" s="117" t="s">
        <v>76</v>
      </c>
      <c r="R275" s="119">
        <v>1.58</v>
      </c>
      <c r="S275" s="119"/>
      <c r="T275" s="99"/>
      <c r="U275" s="52">
        <f t="shared" si="48"/>
        <v>7473400</v>
      </c>
      <c r="V275" s="52">
        <f t="shared" si="51"/>
        <v>0</v>
      </c>
      <c r="W275" s="52">
        <f t="shared" si="55"/>
        <v>0</v>
      </c>
      <c r="X275" s="52">
        <f t="shared" si="53"/>
        <v>7473400</v>
      </c>
      <c r="Y275" s="52">
        <v>6198400</v>
      </c>
      <c r="Z275" s="52"/>
      <c r="AA275" s="53" t="s">
        <v>3213</v>
      </c>
      <c r="AB275" s="99" t="s">
        <v>1269</v>
      </c>
      <c r="AC275" s="45" t="e">
        <f>+VLOOKUP(E275,[3]Sheet1!$B$11:$I$388,8,0)</f>
        <v>#N/A</v>
      </c>
      <c r="AD275" s="99" t="s">
        <v>1795</v>
      </c>
      <c r="AE275" s="99" t="s">
        <v>3004</v>
      </c>
      <c r="AF275" s="100" t="s">
        <v>661</v>
      </c>
      <c r="AG275" s="99">
        <f>+VALUE(AF275:AF653)</f>
        <v>225319098</v>
      </c>
      <c r="AH275" s="201" t="s">
        <v>2143</v>
      </c>
      <c r="AI275" s="99" t="s">
        <v>620</v>
      </c>
      <c r="AJ275" s="99" t="s">
        <v>662</v>
      </c>
      <c r="AK275" s="101" t="s">
        <v>1851</v>
      </c>
      <c r="AL275" s="99"/>
      <c r="AM275" s="99" t="s">
        <v>3205</v>
      </c>
      <c r="AN275" s="99"/>
      <c r="AO275" s="99" t="s">
        <v>566</v>
      </c>
      <c r="AP275" s="99"/>
      <c r="AQ275" s="99"/>
      <c r="AR275" s="99"/>
      <c r="AS275" s="99"/>
      <c r="AT275" s="99"/>
      <c r="AU275" s="99"/>
      <c r="AV275" s="99"/>
      <c r="AW275" s="55" t="s">
        <v>2318</v>
      </c>
      <c r="AX275" s="55" t="s">
        <v>1519</v>
      </c>
    </row>
    <row r="276" spans="1:50" x14ac:dyDescent="0.3">
      <c r="A276" s="43">
        <v>275</v>
      </c>
      <c r="B276" s="43">
        <v>10</v>
      </c>
      <c r="C276" s="118" t="s">
        <v>2543</v>
      </c>
      <c r="D276" s="99">
        <v>3</v>
      </c>
      <c r="E276" s="97" t="s">
        <v>3069</v>
      </c>
      <c r="F276" s="100" t="s">
        <v>3070</v>
      </c>
      <c r="G276" s="97">
        <v>35796</v>
      </c>
      <c r="H276" s="97">
        <f>+DATE(YEAR(G276)+57,MONTH(G276),DAY(G276))</f>
        <v>56615</v>
      </c>
      <c r="I276" s="48">
        <f t="shared" si="52"/>
        <v>56646</v>
      </c>
      <c r="J276" s="48">
        <v>56646</v>
      </c>
      <c r="K276" s="97">
        <v>45139</v>
      </c>
      <c r="L276" s="206" t="s">
        <v>734</v>
      </c>
      <c r="M276" s="207" t="s">
        <v>287</v>
      </c>
      <c r="N276" s="118" t="s">
        <v>281</v>
      </c>
      <c r="O276" s="97">
        <v>45170</v>
      </c>
      <c r="P276" s="117"/>
      <c r="Q276" s="118" t="s">
        <v>72</v>
      </c>
      <c r="R276" s="119">
        <v>1.41</v>
      </c>
      <c r="S276" s="119"/>
      <c r="T276" s="99"/>
      <c r="U276" s="52">
        <f t="shared" si="48"/>
        <v>6669300</v>
      </c>
      <c r="V276" s="52">
        <f t="shared" si="51"/>
        <v>0</v>
      </c>
      <c r="W276" s="52">
        <f t="shared" si="55"/>
        <v>0</v>
      </c>
      <c r="X276" s="52">
        <f t="shared" si="53"/>
        <v>6669300</v>
      </c>
      <c r="Y276" s="52">
        <f>+VLOOKUP(E276,[2]Sheet1!$B$11:$J$400,9,0)</f>
        <v>5865600</v>
      </c>
      <c r="Z276" s="52"/>
      <c r="AA276" s="53" t="s">
        <v>3233</v>
      </c>
      <c r="AB276" s="99"/>
      <c r="AC276" s="45" t="str">
        <f>+VLOOKUP(E276,[3]Sheet1!$B$11:$I$388,8,0)</f>
        <v>56 - 012</v>
      </c>
      <c r="AD276" s="99" t="s">
        <v>1795</v>
      </c>
      <c r="AE276" s="201" t="s">
        <v>3071</v>
      </c>
      <c r="AF276" s="100"/>
      <c r="AG276" s="99"/>
      <c r="AH276" s="205" t="s">
        <v>3072</v>
      </c>
      <c r="AI276" s="99" t="s">
        <v>2427</v>
      </c>
      <c r="AJ276" s="99" t="s">
        <v>3073</v>
      </c>
      <c r="AK276" s="99" t="s">
        <v>3073</v>
      </c>
      <c r="AL276" s="99"/>
      <c r="AM276" s="99" t="s">
        <v>1805</v>
      </c>
      <c r="AN276" s="99"/>
      <c r="AO276" s="99"/>
      <c r="AP276" s="99"/>
      <c r="AQ276" s="97">
        <v>45139</v>
      </c>
      <c r="AR276" s="99"/>
      <c r="AS276" s="97">
        <v>45170</v>
      </c>
      <c r="AT276" s="99"/>
      <c r="AU276" s="99"/>
      <c r="AV276" s="99"/>
      <c r="AW276" s="77" t="s">
        <v>3074</v>
      </c>
      <c r="AX276" s="55" t="s">
        <v>1519</v>
      </c>
    </row>
    <row r="277" spans="1:50" x14ac:dyDescent="0.3">
      <c r="A277" s="43">
        <v>276</v>
      </c>
      <c r="B277" s="43">
        <v>11</v>
      </c>
      <c r="C277" s="118" t="s">
        <v>2543</v>
      </c>
      <c r="D277" s="99">
        <v>4</v>
      </c>
      <c r="E277" s="208" t="s">
        <v>225</v>
      </c>
      <c r="F277" s="209" t="s">
        <v>434</v>
      </c>
      <c r="G277" s="97">
        <v>32164</v>
      </c>
      <c r="H277" s="97">
        <f>+DATE(YEAR(G277)+55,MONTH(G277),DAY(G277))</f>
        <v>52253</v>
      </c>
      <c r="I277" s="48">
        <f t="shared" si="52"/>
        <v>52263</v>
      </c>
      <c r="J277" s="48">
        <v>52263</v>
      </c>
      <c r="K277" s="97">
        <v>41030</v>
      </c>
      <c r="L277" s="206" t="s">
        <v>734</v>
      </c>
      <c r="M277" s="207" t="s">
        <v>287</v>
      </c>
      <c r="N277" s="118" t="s">
        <v>281</v>
      </c>
      <c r="O277" s="97">
        <v>41640</v>
      </c>
      <c r="P277" s="117"/>
      <c r="Q277" s="200" t="s">
        <v>71</v>
      </c>
      <c r="R277" s="119">
        <v>1.49</v>
      </c>
      <c r="S277" s="119"/>
      <c r="T277" s="99"/>
      <c r="U277" s="52">
        <f t="shared" si="48"/>
        <v>7047700</v>
      </c>
      <c r="V277" s="52">
        <f t="shared" si="51"/>
        <v>0</v>
      </c>
      <c r="W277" s="52">
        <f t="shared" si="55"/>
        <v>0</v>
      </c>
      <c r="X277" s="52">
        <f t="shared" si="53"/>
        <v>7047700</v>
      </c>
      <c r="Y277" s="52">
        <f>+VLOOKUP(E277,[2]Sheet1!$B$11:$J$400,9,0)</f>
        <v>6198400</v>
      </c>
      <c r="Z277" s="52"/>
      <c r="AA277" s="53" t="s">
        <v>1709</v>
      </c>
      <c r="AB277" s="99" t="s">
        <v>1303</v>
      </c>
      <c r="AC277" s="45" t="str">
        <f>+VLOOKUP(E277,[3]Sheet1!$B$11:$I$388,8,0)</f>
        <v>56 - 012</v>
      </c>
      <c r="AD277" s="99" t="s">
        <v>1795</v>
      </c>
      <c r="AE277" s="99" t="s">
        <v>2907</v>
      </c>
      <c r="AF277" s="100" t="s">
        <v>1308</v>
      </c>
      <c r="AG277" s="99">
        <f>+VALUE(AF277:AF654)</f>
        <v>225309769</v>
      </c>
      <c r="AH277" s="99" t="s">
        <v>849</v>
      </c>
      <c r="AI277" s="99" t="s">
        <v>1309</v>
      </c>
      <c r="AJ277" s="99" t="s">
        <v>1310</v>
      </c>
      <c r="AK277" s="101" t="s">
        <v>1311</v>
      </c>
      <c r="AL277" s="99"/>
      <c r="AM277" s="99" t="s">
        <v>505</v>
      </c>
      <c r="AN277" s="99"/>
      <c r="AO277" s="99"/>
      <c r="AP277" s="99"/>
      <c r="AQ277" s="99"/>
      <c r="AR277" s="99"/>
      <c r="AS277" s="99"/>
      <c r="AT277" s="99"/>
      <c r="AU277" s="99"/>
      <c r="AV277" s="99"/>
      <c r="AW277" s="55" t="s">
        <v>2319</v>
      </c>
      <c r="AX277" s="55" t="s">
        <v>1519</v>
      </c>
    </row>
    <row r="278" spans="1:50" x14ac:dyDescent="0.3">
      <c r="A278" s="43">
        <v>277</v>
      </c>
      <c r="B278" s="43">
        <v>12</v>
      </c>
      <c r="C278" s="118" t="s">
        <v>2543</v>
      </c>
      <c r="D278" s="99">
        <v>5</v>
      </c>
      <c r="E278" s="208" t="s">
        <v>227</v>
      </c>
      <c r="F278" s="209" t="s">
        <v>436</v>
      </c>
      <c r="G278" s="97">
        <v>29984</v>
      </c>
      <c r="H278" s="97">
        <f>+DATE(YEAR(G278)+55,MONTH(G278),DAY(G278))</f>
        <v>50073</v>
      </c>
      <c r="I278" s="48">
        <f t="shared" si="52"/>
        <v>50100</v>
      </c>
      <c r="J278" s="48">
        <v>50100</v>
      </c>
      <c r="K278" s="97">
        <v>39814</v>
      </c>
      <c r="L278" s="206" t="s">
        <v>734</v>
      </c>
      <c r="M278" s="207" t="s">
        <v>287</v>
      </c>
      <c r="N278" s="118" t="s">
        <v>281</v>
      </c>
      <c r="O278" s="97">
        <v>41456</v>
      </c>
      <c r="P278" s="117"/>
      <c r="Q278" s="210" t="s">
        <v>74</v>
      </c>
      <c r="R278" s="119">
        <v>1.5</v>
      </c>
      <c r="S278" s="119"/>
      <c r="T278" s="99"/>
      <c r="U278" s="52">
        <f t="shared" si="48"/>
        <v>7095000</v>
      </c>
      <c r="V278" s="52">
        <f t="shared" si="51"/>
        <v>0</v>
      </c>
      <c r="W278" s="52">
        <f t="shared" si="55"/>
        <v>0</v>
      </c>
      <c r="X278" s="52">
        <f t="shared" si="53"/>
        <v>7095000</v>
      </c>
      <c r="Y278" s="52">
        <f>+VLOOKUP(E278,[2]Sheet1!$B$11:$J$400,9,0)</f>
        <v>6240000</v>
      </c>
      <c r="Z278" s="52"/>
      <c r="AA278" s="53" t="s">
        <v>1711</v>
      </c>
      <c r="AB278" s="99" t="s">
        <v>1316</v>
      </c>
      <c r="AC278" s="45" t="str">
        <f>+VLOOKUP(E278,[3]Sheet1!$B$11:$I$388,8,0)</f>
        <v>56 - 184</v>
      </c>
      <c r="AD278" s="99" t="s">
        <v>1796</v>
      </c>
      <c r="AE278" s="99" t="s">
        <v>2485</v>
      </c>
      <c r="AF278" s="100" t="s">
        <v>2485</v>
      </c>
      <c r="AG278" s="99">
        <f>+VALUE(AF278:AF657)</f>
        <v>56182000592</v>
      </c>
      <c r="AH278" s="99" t="s">
        <v>1317</v>
      </c>
      <c r="AI278" s="99" t="s">
        <v>620</v>
      </c>
      <c r="AJ278" s="99" t="s">
        <v>1318</v>
      </c>
      <c r="AK278" s="101" t="s">
        <v>1295</v>
      </c>
      <c r="AL278" s="99"/>
      <c r="AM278" s="99"/>
      <c r="AN278" s="99"/>
      <c r="AO278" s="99" t="s">
        <v>568</v>
      </c>
      <c r="AP278" s="99"/>
      <c r="AQ278" s="99"/>
      <c r="AR278" s="99"/>
      <c r="AS278" s="99"/>
      <c r="AT278" s="99"/>
      <c r="AU278" s="99"/>
      <c r="AV278" s="99"/>
      <c r="AW278" s="55" t="s">
        <v>2320</v>
      </c>
      <c r="AX278" s="55" t="s">
        <v>1519</v>
      </c>
    </row>
    <row r="279" spans="1:50" x14ac:dyDescent="0.3">
      <c r="A279" s="43">
        <v>278</v>
      </c>
      <c r="B279" s="43">
        <v>13</v>
      </c>
      <c r="C279" s="118" t="s">
        <v>2543</v>
      </c>
      <c r="D279" s="99">
        <v>6</v>
      </c>
      <c r="E279" s="208" t="s">
        <v>228</v>
      </c>
      <c r="F279" s="209" t="s">
        <v>437</v>
      </c>
      <c r="G279" s="97">
        <v>31237</v>
      </c>
      <c r="H279" s="97">
        <f>+DATE(YEAR(G279)+55,MONTH(G279),DAY(G279))</f>
        <v>51326</v>
      </c>
      <c r="I279" s="48">
        <f t="shared" si="52"/>
        <v>51349</v>
      </c>
      <c r="J279" s="48">
        <v>51349</v>
      </c>
      <c r="K279" s="97">
        <v>39934</v>
      </c>
      <c r="L279" s="206" t="s">
        <v>734</v>
      </c>
      <c r="M279" s="207" t="s">
        <v>287</v>
      </c>
      <c r="N279" s="118" t="s">
        <v>281</v>
      </c>
      <c r="O279" s="97">
        <v>42979</v>
      </c>
      <c r="P279" s="117"/>
      <c r="Q279" s="210" t="s">
        <v>74</v>
      </c>
      <c r="R279" s="119">
        <v>1.5</v>
      </c>
      <c r="S279" s="119"/>
      <c r="T279" s="99"/>
      <c r="U279" s="52">
        <f t="shared" si="48"/>
        <v>7095000</v>
      </c>
      <c r="V279" s="52">
        <f t="shared" si="51"/>
        <v>0</v>
      </c>
      <c r="W279" s="52">
        <f t="shared" si="55"/>
        <v>0</v>
      </c>
      <c r="X279" s="52">
        <f t="shared" si="53"/>
        <v>7095000</v>
      </c>
      <c r="Y279" s="52">
        <f>+VLOOKUP(E279,[2]Sheet1!$B$11:$J$400,9,0)</f>
        <v>6240000</v>
      </c>
      <c r="Z279" s="52"/>
      <c r="AA279" s="53" t="s">
        <v>1712</v>
      </c>
      <c r="AB279" s="99" t="s">
        <v>1316</v>
      </c>
      <c r="AC279" s="45" t="str">
        <f>+VLOOKUP(E279,[3]Sheet1!$B$11:$I$388,8,0)</f>
        <v>56 - 181</v>
      </c>
      <c r="AD279" s="99" t="s">
        <v>1796</v>
      </c>
      <c r="AE279" s="99" t="s">
        <v>2908</v>
      </c>
      <c r="AF279" s="100" t="s">
        <v>1319</v>
      </c>
      <c r="AG279" s="99">
        <f>+VALUE(AF279:AF658)</f>
        <v>225249922</v>
      </c>
      <c r="AH279" s="99" t="s">
        <v>1320</v>
      </c>
      <c r="AI279" s="99" t="s">
        <v>620</v>
      </c>
      <c r="AJ279" s="99" t="s">
        <v>1321</v>
      </c>
      <c r="AK279" s="101" t="s">
        <v>1315</v>
      </c>
      <c r="AL279" s="99"/>
      <c r="AM279" s="99"/>
      <c r="AN279" s="99"/>
      <c r="AO279" s="99"/>
      <c r="AP279" s="99" t="s">
        <v>3447</v>
      </c>
      <c r="AQ279" s="99"/>
      <c r="AR279" s="99"/>
      <c r="AS279" s="99"/>
      <c r="AT279" s="99"/>
      <c r="AU279" s="99"/>
      <c r="AV279" s="99"/>
      <c r="AW279" s="55" t="s">
        <v>2321</v>
      </c>
      <c r="AX279" s="55" t="s">
        <v>1519</v>
      </c>
    </row>
    <row r="280" spans="1:50" x14ac:dyDescent="0.3">
      <c r="A280" s="43">
        <v>279</v>
      </c>
      <c r="B280" s="43">
        <v>14</v>
      </c>
      <c r="C280" s="118" t="s">
        <v>2543</v>
      </c>
      <c r="D280" s="99">
        <v>7</v>
      </c>
      <c r="E280" s="208" t="s">
        <v>1877</v>
      </c>
      <c r="F280" s="209" t="s">
        <v>438</v>
      </c>
      <c r="G280" s="97">
        <v>27337</v>
      </c>
      <c r="H280" s="97">
        <v>46330</v>
      </c>
      <c r="I280" s="48">
        <f t="shared" si="52"/>
        <v>46357</v>
      </c>
      <c r="J280" s="48">
        <v>46357</v>
      </c>
      <c r="K280" s="97">
        <v>35643</v>
      </c>
      <c r="L280" s="206" t="s">
        <v>734</v>
      </c>
      <c r="M280" s="207" t="s">
        <v>287</v>
      </c>
      <c r="N280" s="118" t="s">
        <v>281</v>
      </c>
      <c r="O280" s="97">
        <v>39630</v>
      </c>
      <c r="P280" s="117"/>
      <c r="Q280" s="118" t="s">
        <v>74</v>
      </c>
      <c r="R280" s="119">
        <v>1.5</v>
      </c>
      <c r="S280" s="119"/>
      <c r="T280" s="99"/>
      <c r="U280" s="52">
        <f t="shared" si="48"/>
        <v>7095000</v>
      </c>
      <c r="V280" s="52">
        <f t="shared" ref="V280:V311" si="56">+S280*4410000</f>
        <v>0</v>
      </c>
      <c r="W280" s="52">
        <f t="shared" si="55"/>
        <v>0</v>
      </c>
      <c r="X280" s="52">
        <f t="shared" si="53"/>
        <v>7095000</v>
      </c>
      <c r="Y280" s="52">
        <f>+VLOOKUP(E280,[2]Sheet1!$B$11:$J$400,9,0)</f>
        <v>6240000</v>
      </c>
      <c r="Z280" s="52"/>
      <c r="AA280" s="53" t="s">
        <v>1713</v>
      </c>
      <c r="AB280" s="99" t="s">
        <v>1316</v>
      </c>
      <c r="AC280" s="45" t="str">
        <f>+VLOOKUP(E280,[3]Sheet1!$B$11:$I$388,8,0)</f>
        <v>56 - 181</v>
      </c>
      <c r="AD280" s="99" t="s">
        <v>1796</v>
      </c>
      <c r="AE280" s="99" t="s">
        <v>2909</v>
      </c>
      <c r="AF280" s="100" t="s">
        <v>1322</v>
      </c>
      <c r="AG280" s="99">
        <f>+VALUE(AF280:AF659)</f>
        <v>225023941</v>
      </c>
      <c r="AH280" s="99" t="s">
        <v>1323</v>
      </c>
      <c r="AI280" s="99" t="s">
        <v>620</v>
      </c>
      <c r="AJ280" s="99" t="s">
        <v>1324</v>
      </c>
      <c r="AK280" s="101" t="s">
        <v>1325</v>
      </c>
      <c r="AL280" s="99"/>
      <c r="AM280" s="99" t="s">
        <v>551</v>
      </c>
      <c r="AN280" s="99"/>
      <c r="AO280" s="99"/>
      <c r="AP280" s="99"/>
      <c r="AQ280" s="99"/>
      <c r="AR280" s="99"/>
      <c r="AS280" s="99"/>
      <c r="AT280" s="99"/>
      <c r="AU280" s="99"/>
      <c r="AV280" s="99"/>
      <c r="AW280" s="55" t="s">
        <v>2322</v>
      </c>
      <c r="AX280" s="55" t="s">
        <v>1519</v>
      </c>
    </row>
    <row r="281" spans="1:50" x14ac:dyDescent="0.3">
      <c r="A281" s="43">
        <v>280</v>
      </c>
      <c r="B281" s="43">
        <v>15</v>
      </c>
      <c r="C281" s="118" t="s">
        <v>2543</v>
      </c>
      <c r="D281" s="99">
        <v>8</v>
      </c>
      <c r="E281" s="208" t="s">
        <v>237</v>
      </c>
      <c r="F281" s="209" t="s">
        <v>454</v>
      </c>
      <c r="G281" s="97">
        <v>30498</v>
      </c>
      <c r="H281" s="97">
        <f>+DATE(YEAR(G281)+55,MONTH(G281),DAY(G281))</f>
        <v>50587</v>
      </c>
      <c r="I281" s="48">
        <f t="shared" si="52"/>
        <v>50618</v>
      </c>
      <c r="J281" s="48">
        <v>50618</v>
      </c>
      <c r="K281" s="97">
        <v>39934</v>
      </c>
      <c r="L281" s="206" t="s">
        <v>734</v>
      </c>
      <c r="M281" s="207" t="s">
        <v>287</v>
      </c>
      <c r="N281" s="199" t="s">
        <v>281</v>
      </c>
      <c r="O281" s="97">
        <v>42186</v>
      </c>
      <c r="P281" s="117"/>
      <c r="Q281" s="117" t="s">
        <v>76</v>
      </c>
      <c r="R281" s="119">
        <v>1.58</v>
      </c>
      <c r="S281" s="119"/>
      <c r="T281" s="99"/>
      <c r="U281" s="52">
        <f t="shared" si="48"/>
        <v>7473400</v>
      </c>
      <c r="V281" s="52">
        <f t="shared" si="56"/>
        <v>0</v>
      </c>
      <c r="W281" s="52">
        <f t="shared" si="55"/>
        <v>0</v>
      </c>
      <c r="X281" s="52">
        <f t="shared" si="53"/>
        <v>7473400</v>
      </c>
      <c r="Y281" s="52">
        <f>+VLOOKUP(E281,[2]Sheet1!$B$11:$J$400,9,0)</f>
        <v>6240000</v>
      </c>
      <c r="Z281" s="52"/>
      <c r="AA281" s="53" t="s">
        <v>3056</v>
      </c>
      <c r="AB281" s="99" t="s">
        <v>1316</v>
      </c>
      <c r="AC281" s="45" t="str">
        <f>+VLOOKUP(E281,[3]Sheet1!$B$11:$I$388,8,0)</f>
        <v>56 - 001</v>
      </c>
      <c r="AD281" s="99" t="s">
        <v>1797</v>
      </c>
      <c r="AE281" s="99" t="s">
        <v>2926</v>
      </c>
      <c r="AF281" s="100" t="s">
        <v>1373</v>
      </c>
      <c r="AG281" s="99">
        <f>+VALUE(AF281:AF677)</f>
        <v>225223977</v>
      </c>
      <c r="AH281" s="99" t="s">
        <v>1374</v>
      </c>
      <c r="AI281" s="99" t="s">
        <v>620</v>
      </c>
      <c r="AJ281" s="99" t="s">
        <v>1375</v>
      </c>
      <c r="AK281" s="101" t="s">
        <v>1376</v>
      </c>
      <c r="AL281" s="99"/>
      <c r="AM281" s="99" t="s">
        <v>551</v>
      </c>
      <c r="AN281" s="99"/>
      <c r="AO281" s="99"/>
      <c r="AP281" s="99"/>
      <c r="AQ281" s="99"/>
      <c r="AR281" s="99"/>
      <c r="AS281" s="99"/>
      <c r="AT281" s="99"/>
      <c r="AU281" s="99"/>
      <c r="AV281" s="99"/>
      <c r="AW281" s="55" t="s">
        <v>2339</v>
      </c>
      <c r="AX281" s="55" t="s">
        <v>1519</v>
      </c>
    </row>
    <row r="282" spans="1:50" x14ac:dyDescent="0.3">
      <c r="A282" s="43">
        <v>281</v>
      </c>
      <c r="B282" s="43">
        <v>16</v>
      </c>
      <c r="C282" s="118" t="s">
        <v>2543</v>
      </c>
      <c r="D282" s="99">
        <v>9</v>
      </c>
      <c r="E282" s="97" t="s">
        <v>229</v>
      </c>
      <c r="F282" s="100" t="s">
        <v>439</v>
      </c>
      <c r="G282" s="97">
        <v>26167</v>
      </c>
      <c r="H282" s="47">
        <f>+DATE(YEAR(G282)+57,MONTH(G282),DAY(G282))</f>
        <v>46987</v>
      </c>
      <c r="I282" s="48">
        <f t="shared" si="52"/>
        <v>46997</v>
      </c>
      <c r="J282" s="48">
        <v>46997</v>
      </c>
      <c r="K282" s="97">
        <v>35096</v>
      </c>
      <c r="L282" s="135" t="s">
        <v>734</v>
      </c>
      <c r="M282" s="207" t="s">
        <v>287</v>
      </c>
      <c r="N282" s="118" t="s">
        <v>283</v>
      </c>
      <c r="O282" s="97">
        <v>42309</v>
      </c>
      <c r="P282" s="117"/>
      <c r="Q282" s="118" t="s">
        <v>74</v>
      </c>
      <c r="R282" s="119">
        <v>1.68</v>
      </c>
      <c r="S282" s="119">
        <v>0.04</v>
      </c>
      <c r="T282" s="99"/>
      <c r="U282" s="52">
        <f t="shared" si="48"/>
        <v>7946400</v>
      </c>
      <c r="V282" s="52">
        <f t="shared" si="56"/>
        <v>176400</v>
      </c>
      <c r="W282" s="52">
        <f t="shared" si="55"/>
        <v>0</v>
      </c>
      <c r="X282" s="52">
        <f t="shared" si="53"/>
        <v>8122800</v>
      </c>
      <c r="Y282" s="52">
        <f>+VLOOKUP(E282,[2]Sheet1!$B$11:$J$400,9,0)</f>
        <v>7155200</v>
      </c>
      <c r="Z282" s="52"/>
      <c r="AA282" s="53" t="s">
        <v>1714</v>
      </c>
      <c r="AB282" s="99" t="s">
        <v>1316</v>
      </c>
      <c r="AC282" s="45" t="str">
        <f>+VLOOKUP(E282,[3]Sheet1!$B$11:$I$388,8,0)</f>
        <v>56 - 183</v>
      </c>
      <c r="AD282" s="99" t="s">
        <v>1797</v>
      </c>
      <c r="AE282" s="99" t="s">
        <v>2910</v>
      </c>
      <c r="AF282" s="100" t="s">
        <v>1326</v>
      </c>
      <c r="AG282" s="99">
        <f t="shared" ref="AG282:AG287" si="57">+VALUE(AF282:AF660)</f>
        <v>220747111</v>
      </c>
      <c r="AH282" s="99" t="s">
        <v>1327</v>
      </c>
      <c r="AI282" s="99" t="s">
        <v>620</v>
      </c>
      <c r="AJ282" s="99" t="s">
        <v>1328</v>
      </c>
      <c r="AK282" s="101" t="s">
        <v>1329</v>
      </c>
      <c r="AL282" s="99"/>
      <c r="AM282" s="99"/>
      <c r="AN282" s="99"/>
      <c r="AO282" s="99"/>
      <c r="AP282" s="99" t="s">
        <v>569</v>
      </c>
      <c r="AQ282" s="99"/>
      <c r="AR282" s="99"/>
      <c r="AS282" s="99"/>
      <c r="AT282" s="99"/>
      <c r="AU282" s="99"/>
      <c r="AV282" s="99"/>
      <c r="AW282" s="55" t="s">
        <v>2323</v>
      </c>
      <c r="AX282" s="55" t="s">
        <v>1519</v>
      </c>
    </row>
    <row r="283" spans="1:50" x14ac:dyDescent="0.3">
      <c r="A283" s="43">
        <v>282</v>
      </c>
      <c r="B283" s="43">
        <v>17</v>
      </c>
      <c r="C283" s="118" t="s">
        <v>2543</v>
      </c>
      <c r="D283" s="99">
        <v>10</v>
      </c>
      <c r="E283" s="97" t="s">
        <v>230</v>
      </c>
      <c r="F283" s="100" t="s">
        <v>440</v>
      </c>
      <c r="G283" s="97">
        <v>29808</v>
      </c>
      <c r="H283" s="47">
        <f>+DATE(YEAR(G283)+57,MONTH(G283),DAY(G283))</f>
        <v>50627</v>
      </c>
      <c r="I283" s="48">
        <f t="shared" ref="I283:I314" si="58">+EOMONTH(H283,0)+1</f>
        <v>50649</v>
      </c>
      <c r="J283" s="48">
        <v>50649</v>
      </c>
      <c r="K283" s="97">
        <v>39083</v>
      </c>
      <c r="L283" s="135" t="s">
        <v>734</v>
      </c>
      <c r="M283" s="207" t="s">
        <v>287</v>
      </c>
      <c r="N283" s="118" t="s">
        <v>281</v>
      </c>
      <c r="O283" s="97">
        <v>41456</v>
      </c>
      <c r="P283" s="117"/>
      <c r="Q283" s="118" t="s">
        <v>71</v>
      </c>
      <c r="R283" s="119">
        <v>1.49</v>
      </c>
      <c r="S283" s="119"/>
      <c r="T283" s="99"/>
      <c r="U283" s="52">
        <f t="shared" si="48"/>
        <v>7047700</v>
      </c>
      <c r="V283" s="52">
        <f t="shared" si="56"/>
        <v>0</v>
      </c>
      <c r="W283" s="52">
        <f t="shared" si="55"/>
        <v>0</v>
      </c>
      <c r="X283" s="52">
        <f t="shared" si="53"/>
        <v>7047700</v>
      </c>
      <c r="Y283" s="52">
        <f>+VLOOKUP(E283,[2]Sheet1!$B$11:$J$400,9,0)</f>
        <v>6198400</v>
      </c>
      <c r="Z283" s="52"/>
      <c r="AA283" s="53" t="s">
        <v>1715</v>
      </c>
      <c r="AB283" s="99" t="s">
        <v>1316</v>
      </c>
      <c r="AC283" s="45" t="str">
        <f>+VLOOKUP(E283,[3]Sheet1!$B$11:$I$388,8,0)</f>
        <v>56 - 183</v>
      </c>
      <c r="AD283" s="99" t="s">
        <v>1797</v>
      </c>
      <c r="AE283" s="99" t="s">
        <v>2911</v>
      </c>
      <c r="AF283" s="100" t="s">
        <v>1330</v>
      </c>
      <c r="AG283" s="99">
        <f t="shared" si="57"/>
        <v>225581889</v>
      </c>
      <c r="AH283" s="99" t="s">
        <v>1331</v>
      </c>
      <c r="AI283" s="99" t="s">
        <v>620</v>
      </c>
      <c r="AJ283" s="99" t="s">
        <v>1332</v>
      </c>
      <c r="AK283" s="101" t="s">
        <v>1333</v>
      </c>
      <c r="AL283" s="99"/>
      <c r="AM283" s="99"/>
      <c r="AN283" s="99"/>
      <c r="AO283" s="99"/>
      <c r="AP283" s="99" t="s">
        <v>570</v>
      </c>
      <c r="AQ283" s="99"/>
      <c r="AR283" s="99"/>
      <c r="AS283" s="99"/>
      <c r="AT283" s="99"/>
      <c r="AU283" s="99"/>
      <c r="AV283" s="99"/>
      <c r="AW283" s="55" t="s">
        <v>2324</v>
      </c>
      <c r="AX283" s="55" t="s">
        <v>1519</v>
      </c>
    </row>
    <row r="284" spans="1:50" x14ac:dyDescent="0.3">
      <c r="A284" s="43">
        <v>283</v>
      </c>
      <c r="B284" s="43">
        <v>18</v>
      </c>
      <c r="C284" s="118" t="s">
        <v>2543</v>
      </c>
      <c r="D284" s="99">
        <v>11</v>
      </c>
      <c r="E284" s="97" t="s">
        <v>231</v>
      </c>
      <c r="F284" s="100" t="s">
        <v>441</v>
      </c>
      <c r="G284" s="97">
        <v>30416</v>
      </c>
      <c r="H284" s="47">
        <f>+DATE(YEAR(G284)+57,MONTH(G284),DAY(G284))</f>
        <v>51236</v>
      </c>
      <c r="I284" s="48">
        <f t="shared" si="58"/>
        <v>51257</v>
      </c>
      <c r="J284" s="48">
        <v>51257</v>
      </c>
      <c r="K284" s="211">
        <v>39203</v>
      </c>
      <c r="L284" s="135" t="s">
        <v>734</v>
      </c>
      <c r="M284" s="207" t="s">
        <v>287</v>
      </c>
      <c r="N284" s="118" t="s">
        <v>281</v>
      </c>
      <c r="O284" s="97">
        <v>42979</v>
      </c>
      <c r="P284" s="117"/>
      <c r="Q284" s="118" t="s">
        <v>76</v>
      </c>
      <c r="R284" s="119">
        <v>1.58</v>
      </c>
      <c r="S284" s="119"/>
      <c r="T284" s="99"/>
      <c r="U284" s="52">
        <f t="shared" si="48"/>
        <v>7473400</v>
      </c>
      <c r="V284" s="52">
        <f t="shared" si="56"/>
        <v>0</v>
      </c>
      <c r="W284" s="52">
        <f t="shared" si="55"/>
        <v>0</v>
      </c>
      <c r="X284" s="52">
        <f t="shared" si="53"/>
        <v>7473400</v>
      </c>
      <c r="Y284" s="52">
        <f>+VLOOKUP(E284,[2]Sheet1!$B$11:$J$400,9,0)</f>
        <v>6572800</v>
      </c>
      <c r="Z284" s="52"/>
      <c r="AA284" s="53" t="s">
        <v>1716</v>
      </c>
      <c r="AB284" s="99" t="s">
        <v>1334</v>
      </c>
      <c r="AC284" s="45" t="str">
        <f>+VLOOKUP(E284,[3]Sheet1!$B$11:$I$388,8,0)</f>
        <v>79 - 025</v>
      </c>
      <c r="AD284" s="99" t="s">
        <v>1797</v>
      </c>
      <c r="AE284" s="99" t="s">
        <v>2912</v>
      </c>
      <c r="AF284" s="100" t="s">
        <v>1335</v>
      </c>
      <c r="AG284" s="99">
        <f t="shared" si="57"/>
        <v>225168881</v>
      </c>
      <c r="AH284" s="99" t="s">
        <v>1336</v>
      </c>
      <c r="AI284" s="99" t="s">
        <v>620</v>
      </c>
      <c r="AJ284" s="99" t="s">
        <v>1337</v>
      </c>
      <c r="AK284" s="101" t="s">
        <v>1338</v>
      </c>
      <c r="AL284" s="99"/>
      <c r="AM284" s="99"/>
      <c r="AN284" s="99"/>
      <c r="AO284" s="99" t="s">
        <v>518</v>
      </c>
      <c r="AP284" s="99"/>
      <c r="AQ284" s="99"/>
      <c r="AR284" s="99"/>
      <c r="AS284" s="99"/>
      <c r="AT284" s="99"/>
      <c r="AU284" s="99"/>
      <c r="AV284" s="99"/>
      <c r="AW284" s="55" t="s">
        <v>2325</v>
      </c>
      <c r="AX284" s="55" t="s">
        <v>1519</v>
      </c>
    </row>
    <row r="285" spans="1:50" x14ac:dyDescent="0.3">
      <c r="A285" s="43">
        <v>284</v>
      </c>
      <c r="B285" s="43">
        <v>19</v>
      </c>
      <c r="C285" s="118" t="s">
        <v>2543</v>
      </c>
      <c r="D285" s="101">
        <v>1</v>
      </c>
      <c r="E285" s="99" t="s">
        <v>1878</v>
      </c>
      <c r="F285" s="100" t="s">
        <v>442</v>
      </c>
      <c r="G285" s="97">
        <v>27913</v>
      </c>
      <c r="H285" s="47">
        <f>+DATE(YEAR(G285)+57,MONTH(G285),DAY(G285))</f>
        <v>48732</v>
      </c>
      <c r="I285" s="48">
        <f t="shared" si="58"/>
        <v>48761</v>
      </c>
      <c r="J285" s="48">
        <v>48761</v>
      </c>
      <c r="K285" s="97">
        <v>37742</v>
      </c>
      <c r="L285" s="206" t="s">
        <v>735</v>
      </c>
      <c r="M285" s="207" t="s">
        <v>287</v>
      </c>
      <c r="N285" s="118" t="s">
        <v>282</v>
      </c>
      <c r="O285" s="97">
        <v>42979</v>
      </c>
      <c r="P285" s="117"/>
      <c r="Q285" s="118" t="s">
        <v>74</v>
      </c>
      <c r="R285" s="119">
        <v>1.68</v>
      </c>
      <c r="S285" s="119">
        <v>0.06</v>
      </c>
      <c r="T285" s="99"/>
      <c r="U285" s="52">
        <f t="shared" si="48"/>
        <v>7946400</v>
      </c>
      <c r="V285" s="52">
        <f t="shared" si="56"/>
        <v>264600</v>
      </c>
      <c r="W285" s="52">
        <f t="shared" si="55"/>
        <v>0</v>
      </c>
      <c r="X285" s="52">
        <f t="shared" si="53"/>
        <v>8211000</v>
      </c>
      <c r="Y285" s="52">
        <f>+VLOOKUP(E285,[2]Sheet1!$B$11:$J$400,9,0)</f>
        <v>7238400</v>
      </c>
      <c r="Z285" s="52"/>
      <c r="AA285" s="53" t="s">
        <v>1717</v>
      </c>
      <c r="AB285" s="99" t="s">
        <v>1339</v>
      </c>
      <c r="AC285" s="45" t="str">
        <f>+VLOOKUP(E285,[3]Sheet1!$B$11:$I$388,8,0)</f>
        <v>54 - 162</v>
      </c>
      <c r="AD285" s="99" t="s">
        <v>1795</v>
      </c>
      <c r="AE285" s="99" t="s">
        <v>2913</v>
      </c>
      <c r="AF285" s="100">
        <v>220962049</v>
      </c>
      <c r="AG285" s="99">
        <f t="shared" si="57"/>
        <v>220962049</v>
      </c>
      <c r="AH285" s="99" t="s">
        <v>1340</v>
      </c>
      <c r="AI285" s="99" t="s">
        <v>615</v>
      </c>
      <c r="AJ285" s="99" t="s">
        <v>1341</v>
      </c>
      <c r="AK285" s="101" t="s">
        <v>1284</v>
      </c>
      <c r="AL285" s="99"/>
      <c r="AM285" s="99" t="s">
        <v>505</v>
      </c>
      <c r="AN285" s="99"/>
      <c r="AO285" s="99"/>
      <c r="AP285" s="99"/>
      <c r="AQ285" s="99"/>
      <c r="AR285" s="99"/>
      <c r="AS285" s="99"/>
      <c r="AT285" s="99"/>
      <c r="AU285" s="99"/>
      <c r="AV285" s="99"/>
      <c r="AW285" s="55" t="s">
        <v>2326</v>
      </c>
      <c r="AX285" s="55" t="s">
        <v>1519</v>
      </c>
    </row>
    <row r="286" spans="1:50" x14ac:dyDescent="0.3">
      <c r="A286" s="43">
        <v>285</v>
      </c>
      <c r="B286" s="43">
        <v>20</v>
      </c>
      <c r="C286" s="118" t="s">
        <v>2543</v>
      </c>
      <c r="D286" s="101">
        <v>2</v>
      </c>
      <c r="E286" s="212" t="s">
        <v>1879</v>
      </c>
      <c r="F286" s="209" t="s">
        <v>443</v>
      </c>
      <c r="G286" s="97">
        <v>29935</v>
      </c>
      <c r="H286" s="97">
        <f>+DATE(YEAR(G286)+55,MONTH(G286),DAY(G286))</f>
        <v>50024</v>
      </c>
      <c r="I286" s="48">
        <f t="shared" si="58"/>
        <v>50041</v>
      </c>
      <c r="J286" s="48">
        <v>50041</v>
      </c>
      <c r="K286" s="97">
        <v>38108</v>
      </c>
      <c r="L286" s="206" t="s">
        <v>735</v>
      </c>
      <c r="M286" s="207" t="s">
        <v>287</v>
      </c>
      <c r="N286" s="118" t="s">
        <v>281</v>
      </c>
      <c r="O286" s="97">
        <v>42309</v>
      </c>
      <c r="P286" s="117"/>
      <c r="Q286" s="118" t="s">
        <v>74</v>
      </c>
      <c r="R286" s="119">
        <v>1.68</v>
      </c>
      <c r="S286" s="119"/>
      <c r="T286" s="99"/>
      <c r="U286" s="52">
        <f t="shared" si="48"/>
        <v>7946400</v>
      </c>
      <c r="V286" s="52">
        <f t="shared" si="56"/>
        <v>0</v>
      </c>
      <c r="W286" s="52">
        <f t="shared" si="55"/>
        <v>0</v>
      </c>
      <c r="X286" s="52">
        <f t="shared" si="53"/>
        <v>7946400</v>
      </c>
      <c r="Y286" s="52">
        <f>+VLOOKUP(E286,[2]Sheet1!$B$11:$J$400,9,0)</f>
        <v>6988800</v>
      </c>
      <c r="Z286" s="52"/>
      <c r="AA286" s="53" t="s">
        <v>1718</v>
      </c>
      <c r="AB286" s="99" t="s">
        <v>1339</v>
      </c>
      <c r="AC286" s="45" t="str">
        <f>+VLOOKUP(E286,[3]Sheet1!$B$11:$I$388,8,0)</f>
        <v>54 - 162</v>
      </c>
      <c r="AD286" s="99" t="s">
        <v>1795</v>
      </c>
      <c r="AE286" s="99" t="s">
        <v>2914</v>
      </c>
      <c r="AF286" s="100">
        <v>221077073</v>
      </c>
      <c r="AG286" s="99">
        <f t="shared" si="57"/>
        <v>221077073</v>
      </c>
      <c r="AH286" s="99" t="s">
        <v>1342</v>
      </c>
      <c r="AI286" s="99" t="s">
        <v>615</v>
      </c>
      <c r="AJ286" s="99" t="s">
        <v>1343</v>
      </c>
      <c r="AK286" s="101" t="s">
        <v>1344</v>
      </c>
      <c r="AL286" s="99"/>
      <c r="AM286" s="99"/>
      <c r="AN286" s="99" t="s">
        <v>1884</v>
      </c>
      <c r="AO286" s="99"/>
      <c r="AP286" s="99"/>
      <c r="AQ286" s="99"/>
      <c r="AR286" s="99"/>
      <c r="AS286" s="99"/>
      <c r="AT286" s="99"/>
      <c r="AU286" s="99"/>
      <c r="AV286" s="99"/>
      <c r="AW286" s="55" t="s">
        <v>2327</v>
      </c>
      <c r="AX286" s="55" t="s">
        <v>1519</v>
      </c>
    </row>
    <row r="287" spans="1:50" x14ac:dyDescent="0.3">
      <c r="A287" s="43">
        <v>286</v>
      </c>
      <c r="B287" s="43">
        <v>21</v>
      </c>
      <c r="C287" s="118" t="s">
        <v>2543</v>
      </c>
      <c r="D287" s="101">
        <v>3</v>
      </c>
      <c r="E287" s="99" t="s">
        <v>1880</v>
      </c>
      <c r="F287" s="100" t="s">
        <v>444</v>
      </c>
      <c r="G287" s="97">
        <v>26582</v>
      </c>
      <c r="H287" s="47">
        <f>+DATE(YEAR(G287)+57,MONTH(G287),DAY(G287))</f>
        <v>47401</v>
      </c>
      <c r="I287" s="48">
        <f t="shared" si="58"/>
        <v>47423</v>
      </c>
      <c r="J287" s="48">
        <v>51622</v>
      </c>
      <c r="K287" s="97">
        <v>35004</v>
      </c>
      <c r="L287" s="135" t="s">
        <v>735</v>
      </c>
      <c r="M287" s="207" t="s">
        <v>287</v>
      </c>
      <c r="N287" s="118" t="s">
        <v>283</v>
      </c>
      <c r="O287" s="97">
        <v>41091</v>
      </c>
      <c r="P287" s="117"/>
      <c r="Q287" s="118" t="s">
        <v>74</v>
      </c>
      <c r="R287" s="119">
        <v>1.68</v>
      </c>
      <c r="S287" s="119">
        <v>0.04</v>
      </c>
      <c r="T287" s="99"/>
      <c r="U287" s="52">
        <f t="shared" si="48"/>
        <v>7946400</v>
      </c>
      <c r="V287" s="52">
        <f t="shared" si="56"/>
        <v>176400</v>
      </c>
      <c r="W287" s="52">
        <f t="shared" si="55"/>
        <v>0</v>
      </c>
      <c r="X287" s="52">
        <f t="shared" si="53"/>
        <v>8122800</v>
      </c>
      <c r="Y287" s="52">
        <f>+VLOOKUP(E287,[2]Sheet1!$B$11:$J$400,9,0)</f>
        <v>7155200</v>
      </c>
      <c r="Z287" s="52"/>
      <c r="AA287" s="53" t="s">
        <v>1719</v>
      </c>
      <c r="AB287" s="99" t="s">
        <v>1339</v>
      </c>
      <c r="AC287" s="45" t="str">
        <f>+VLOOKUP(E287,[3]Sheet1!$B$11:$I$388,8,0)</f>
        <v>54 - 162</v>
      </c>
      <c r="AD287" s="99" t="s">
        <v>1797</v>
      </c>
      <c r="AE287" s="99" t="s">
        <v>2915</v>
      </c>
      <c r="AF287" s="100">
        <v>220734992</v>
      </c>
      <c r="AG287" s="99">
        <f t="shared" si="57"/>
        <v>220734992</v>
      </c>
      <c r="AH287" s="99" t="s">
        <v>1345</v>
      </c>
      <c r="AI287" s="99" t="s">
        <v>615</v>
      </c>
      <c r="AJ287" s="99" t="s">
        <v>1346</v>
      </c>
      <c r="AK287" s="101" t="s">
        <v>1347</v>
      </c>
      <c r="AL287" s="99"/>
      <c r="AM287" s="99" t="s">
        <v>571</v>
      </c>
      <c r="AN287" s="99"/>
      <c r="AO287" s="99"/>
      <c r="AP287" s="99"/>
      <c r="AQ287" s="99"/>
      <c r="AR287" s="99"/>
      <c r="AS287" s="99"/>
      <c r="AT287" s="99"/>
      <c r="AU287" s="99"/>
      <c r="AV287" s="99"/>
      <c r="AW287" s="55" t="s">
        <v>2328</v>
      </c>
      <c r="AX287" s="55" t="s">
        <v>1519</v>
      </c>
    </row>
    <row r="288" spans="1:50" x14ac:dyDescent="0.3">
      <c r="A288" s="43">
        <v>287</v>
      </c>
      <c r="B288" s="43">
        <v>22</v>
      </c>
      <c r="C288" s="118" t="s">
        <v>2543</v>
      </c>
      <c r="D288" s="101">
        <v>4</v>
      </c>
      <c r="E288" s="97" t="s">
        <v>1881</v>
      </c>
      <c r="F288" s="100" t="s">
        <v>446</v>
      </c>
      <c r="G288" s="97">
        <v>29878</v>
      </c>
      <c r="H288" s="47">
        <f>+DATE(YEAR(G288)+57,MONTH(G288),DAY(G288))</f>
        <v>50697</v>
      </c>
      <c r="I288" s="48">
        <f t="shared" si="58"/>
        <v>50710</v>
      </c>
      <c r="J288" s="48">
        <v>48122</v>
      </c>
      <c r="K288" s="97">
        <v>36831</v>
      </c>
      <c r="L288" s="135" t="s">
        <v>735</v>
      </c>
      <c r="M288" s="207" t="s">
        <v>287</v>
      </c>
      <c r="N288" s="118" t="s">
        <v>281</v>
      </c>
      <c r="O288" s="97">
        <v>42979</v>
      </c>
      <c r="P288" s="117"/>
      <c r="Q288" s="118" t="s">
        <v>76</v>
      </c>
      <c r="R288" s="119">
        <v>1.58</v>
      </c>
      <c r="S288" s="119"/>
      <c r="T288" s="99"/>
      <c r="U288" s="52">
        <f t="shared" si="48"/>
        <v>7473400</v>
      </c>
      <c r="V288" s="52">
        <f t="shared" si="56"/>
        <v>0</v>
      </c>
      <c r="W288" s="52">
        <f t="shared" si="55"/>
        <v>0</v>
      </c>
      <c r="X288" s="52">
        <f t="shared" si="53"/>
        <v>7473400</v>
      </c>
      <c r="Y288" s="52">
        <f>+VLOOKUP(E288,[2]Sheet1!$B$11:$J$400,9,0)</f>
        <v>6572800</v>
      </c>
      <c r="Z288" s="52"/>
      <c r="AA288" s="53" t="s">
        <v>1721</v>
      </c>
      <c r="AB288" s="99" t="s">
        <v>1282</v>
      </c>
      <c r="AC288" s="45" t="str">
        <f>+VLOOKUP(E288,[3]Sheet1!$B$11:$I$388,8,0)</f>
        <v>54 - 162</v>
      </c>
      <c r="AD288" s="99" t="s">
        <v>1797</v>
      </c>
      <c r="AE288" s="99" t="s">
        <v>2917</v>
      </c>
      <c r="AF288" s="100">
        <v>221040651</v>
      </c>
      <c r="AG288" s="99">
        <f>+VALUE(AF288:AF667)</f>
        <v>221040651</v>
      </c>
      <c r="AH288" s="99" t="s">
        <v>1350</v>
      </c>
      <c r="AI288" s="99" t="s">
        <v>615</v>
      </c>
      <c r="AJ288" s="99" t="s">
        <v>1351</v>
      </c>
      <c r="AK288" s="101" t="s">
        <v>1352</v>
      </c>
      <c r="AL288" s="99"/>
      <c r="AM288" s="99"/>
      <c r="AN288" s="99"/>
      <c r="AO288" s="99" t="s">
        <v>518</v>
      </c>
      <c r="AP288" s="99"/>
      <c r="AQ288" s="99"/>
      <c r="AR288" s="99"/>
      <c r="AS288" s="99"/>
      <c r="AT288" s="99"/>
      <c r="AU288" s="99"/>
      <c r="AV288" s="99"/>
      <c r="AW288" s="55" t="s">
        <v>2330</v>
      </c>
      <c r="AX288" s="55" t="s">
        <v>1519</v>
      </c>
    </row>
    <row r="289" spans="1:61" x14ac:dyDescent="0.3">
      <c r="A289" s="43">
        <v>288</v>
      </c>
      <c r="B289" s="43">
        <v>23</v>
      </c>
      <c r="C289" s="118" t="s">
        <v>2543</v>
      </c>
      <c r="D289" s="101">
        <v>5</v>
      </c>
      <c r="E289" s="99" t="s">
        <v>2509</v>
      </c>
      <c r="F289" s="100" t="s">
        <v>2510</v>
      </c>
      <c r="G289" s="205">
        <v>32051</v>
      </c>
      <c r="H289" s="47">
        <f>+DATE(YEAR(G289)+57,MONTH(G289),DAY(G289))</f>
        <v>52871</v>
      </c>
      <c r="I289" s="48">
        <f t="shared" si="58"/>
        <v>52902</v>
      </c>
      <c r="J289" s="48">
        <v>51806</v>
      </c>
      <c r="K289" s="97">
        <v>44621</v>
      </c>
      <c r="L289" s="206" t="s">
        <v>735</v>
      </c>
      <c r="M289" s="207" t="s">
        <v>287</v>
      </c>
      <c r="N289" s="118" t="s">
        <v>281</v>
      </c>
      <c r="O289" s="97">
        <v>44287</v>
      </c>
      <c r="P289" s="117"/>
      <c r="Q289" s="118" t="s">
        <v>72</v>
      </c>
      <c r="R289" s="119">
        <v>1.41</v>
      </c>
      <c r="S289" s="119"/>
      <c r="T289" s="99"/>
      <c r="U289" s="52">
        <f t="shared" ref="U289:U353" si="59">+R289*4730000</f>
        <v>6669300</v>
      </c>
      <c r="V289" s="52">
        <f t="shared" si="56"/>
        <v>0</v>
      </c>
      <c r="W289" s="52">
        <f t="shared" si="55"/>
        <v>0</v>
      </c>
      <c r="X289" s="52">
        <f t="shared" si="53"/>
        <v>6669300</v>
      </c>
      <c r="Y289" s="52">
        <f>+VLOOKUP(E289,[2]Sheet1!$B$11:$J$400,9,0)</f>
        <v>5865600</v>
      </c>
      <c r="Z289" s="52"/>
      <c r="AA289" s="53" t="s">
        <v>2511</v>
      </c>
      <c r="AB289" s="99" t="s">
        <v>2512</v>
      </c>
      <c r="AC289" s="45" t="str">
        <f>+VLOOKUP(E289,[3]Sheet1!$B$11:$I$388,8,0)</f>
        <v>54 - 162</v>
      </c>
      <c r="AD289" s="99" t="s">
        <v>1795</v>
      </c>
      <c r="AE289" s="99" t="s">
        <v>2918</v>
      </c>
      <c r="AF289" s="100" t="e">
        <f>+VALUE(AB289:AB667)</f>
        <v>#VALUE!</v>
      </c>
      <c r="AG289" s="201" t="s">
        <v>2513</v>
      </c>
      <c r="AH289" s="99" t="s">
        <v>615</v>
      </c>
      <c r="AI289" s="99" t="s">
        <v>2514</v>
      </c>
      <c r="AJ289" s="101" t="s">
        <v>2515</v>
      </c>
      <c r="AK289" s="99"/>
      <c r="AL289" s="99"/>
      <c r="AM289" s="99"/>
      <c r="AN289" s="99" t="s">
        <v>2516</v>
      </c>
      <c r="AO289" s="99"/>
      <c r="AP289" s="99"/>
      <c r="AQ289" s="99"/>
      <c r="AR289" s="99"/>
      <c r="AS289" s="99"/>
      <c r="AT289" s="99"/>
      <c r="AU289" s="99"/>
      <c r="AV289" s="99"/>
      <c r="AW289" s="55" t="s">
        <v>2331</v>
      </c>
      <c r="AX289" s="55" t="s">
        <v>1519</v>
      </c>
    </row>
    <row r="290" spans="1:61" x14ac:dyDescent="0.3">
      <c r="A290" s="43">
        <v>289</v>
      </c>
      <c r="B290" s="43">
        <v>24</v>
      </c>
      <c r="C290" s="118" t="s">
        <v>2543</v>
      </c>
      <c r="D290" s="101">
        <v>6</v>
      </c>
      <c r="E290" s="99" t="s">
        <v>1807</v>
      </c>
      <c r="F290" s="100" t="s">
        <v>447</v>
      </c>
      <c r="G290" s="97">
        <v>27396</v>
      </c>
      <c r="H290" s="47">
        <f>+DATE(YEAR(G290)+57,MONTH(G290),DAY(G290))</f>
        <v>48215</v>
      </c>
      <c r="I290" s="48">
        <f t="shared" si="58"/>
        <v>48245</v>
      </c>
      <c r="J290" s="48">
        <v>50618</v>
      </c>
      <c r="K290" s="97">
        <v>34851</v>
      </c>
      <c r="L290" s="135" t="s">
        <v>735</v>
      </c>
      <c r="M290" s="207" t="s">
        <v>287</v>
      </c>
      <c r="N290" s="118" t="s">
        <v>281</v>
      </c>
      <c r="O290" s="97">
        <v>41456</v>
      </c>
      <c r="P290" s="117"/>
      <c r="Q290" s="118" t="s">
        <v>74</v>
      </c>
      <c r="R290" s="119">
        <v>1.68</v>
      </c>
      <c r="S290" s="119"/>
      <c r="T290" s="99"/>
      <c r="U290" s="52">
        <f t="shared" si="59"/>
        <v>7946400</v>
      </c>
      <c r="V290" s="52">
        <f t="shared" si="56"/>
        <v>0</v>
      </c>
      <c r="W290" s="52">
        <f t="shared" si="55"/>
        <v>0</v>
      </c>
      <c r="X290" s="52">
        <f t="shared" si="53"/>
        <v>7946400</v>
      </c>
      <c r="Y290" s="52">
        <f>+VLOOKUP(E290,[2]Sheet1!$B$11:$J$400,9,0)</f>
        <v>6988800</v>
      </c>
      <c r="Z290" s="52"/>
      <c r="AA290" s="53" t="s">
        <v>1722</v>
      </c>
      <c r="AB290" s="99" t="s">
        <v>1339</v>
      </c>
      <c r="AC290" s="45" t="str">
        <f>+VLOOKUP(E290,[3]Sheet1!$B$11:$I$388,8,0)</f>
        <v>54 - 162</v>
      </c>
      <c r="AD290" s="99" t="s">
        <v>1797</v>
      </c>
      <c r="AE290" s="99" t="s">
        <v>2919</v>
      </c>
      <c r="AF290" s="100">
        <v>220970684</v>
      </c>
      <c r="AG290" s="99">
        <f>+VALUE(AF290:AF668)</f>
        <v>220970684</v>
      </c>
      <c r="AH290" s="99" t="s">
        <v>1353</v>
      </c>
      <c r="AI290" s="99" t="s">
        <v>615</v>
      </c>
      <c r="AJ290" s="99" t="s">
        <v>1354</v>
      </c>
      <c r="AK290" s="101" t="s">
        <v>1355</v>
      </c>
      <c r="AL290" s="99"/>
      <c r="AM290" s="99"/>
      <c r="AN290" s="99"/>
      <c r="AO290" s="99" t="s">
        <v>504</v>
      </c>
      <c r="AP290" s="99" t="s">
        <v>510</v>
      </c>
      <c r="AQ290" s="99"/>
      <c r="AR290" s="99"/>
      <c r="AS290" s="99"/>
      <c r="AT290" s="99"/>
      <c r="AU290" s="99"/>
      <c r="AV290" s="99"/>
      <c r="AW290" s="55" t="s">
        <v>2332</v>
      </c>
      <c r="AX290" s="55" t="s">
        <v>1519</v>
      </c>
    </row>
    <row r="291" spans="1:61" x14ac:dyDescent="0.3">
      <c r="A291" s="43">
        <v>290</v>
      </c>
      <c r="B291" s="43">
        <v>25</v>
      </c>
      <c r="C291" s="118" t="s">
        <v>2543</v>
      </c>
      <c r="D291" s="101">
        <v>7</v>
      </c>
      <c r="E291" s="208" t="s">
        <v>232</v>
      </c>
      <c r="F291" s="209" t="s">
        <v>448</v>
      </c>
      <c r="G291" s="97">
        <v>31506</v>
      </c>
      <c r="H291" s="97">
        <f>+DATE(YEAR(G291)+55,MONTH(G291),DAY(G291))</f>
        <v>51595</v>
      </c>
      <c r="I291" s="48">
        <f t="shared" si="58"/>
        <v>51622</v>
      </c>
      <c r="J291" s="48">
        <v>51622</v>
      </c>
      <c r="K291" s="97">
        <v>40575</v>
      </c>
      <c r="L291" s="206" t="s">
        <v>735</v>
      </c>
      <c r="M291" s="207" t="s">
        <v>287</v>
      </c>
      <c r="N291" s="118" t="s">
        <v>281</v>
      </c>
      <c r="O291" s="97">
        <v>42979</v>
      </c>
      <c r="P291" s="117"/>
      <c r="Q291" s="118" t="s">
        <v>76</v>
      </c>
      <c r="R291" s="119">
        <v>1.42</v>
      </c>
      <c r="S291" s="119"/>
      <c r="T291" s="99"/>
      <c r="U291" s="52">
        <f t="shared" si="59"/>
        <v>6716600</v>
      </c>
      <c r="V291" s="52">
        <f t="shared" si="56"/>
        <v>0</v>
      </c>
      <c r="W291" s="52">
        <f t="shared" si="55"/>
        <v>0</v>
      </c>
      <c r="X291" s="52">
        <f t="shared" si="53"/>
        <v>6716600</v>
      </c>
      <c r="Y291" s="52">
        <f>+VLOOKUP(E291,[2]Sheet1!$B$11:$J$400,9,0)</f>
        <v>5907200</v>
      </c>
      <c r="Z291" s="52"/>
      <c r="AA291" s="53" t="s">
        <v>1723</v>
      </c>
      <c r="AB291" s="99" t="s">
        <v>1339</v>
      </c>
      <c r="AC291" s="45" t="str">
        <f>+VLOOKUP(E291,[3]Sheet1!$B$11:$I$388,8,0)</f>
        <v>54 - 162</v>
      </c>
      <c r="AD291" s="99" t="s">
        <v>1796</v>
      </c>
      <c r="AE291" s="99" t="s">
        <v>2920</v>
      </c>
      <c r="AF291" s="100">
        <v>221168724</v>
      </c>
      <c r="AG291" s="99">
        <f>+VALUE(AF291:AF670)</f>
        <v>221168724</v>
      </c>
      <c r="AH291" s="99" t="s">
        <v>1356</v>
      </c>
      <c r="AI291" s="99" t="s">
        <v>615</v>
      </c>
      <c r="AJ291" s="99" t="s">
        <v>1357</v>
      </c>
      <c r="AK291" s="101" t="s">
        <v>1344</v>
      </c>
      <c r="AL291" s="99"/>
      <c r="AM291" s="99"/>
      <c r="AN291" s="99"/>
      <c r="AO291" s="99"/>
      <c r="AP291" s="99" t="s">
        <v>510</v>
      </c>
      <c r="AQ291" s="99"/>
      <c r="AR291" s="99"/>
      <c r="AS291" s="99"/>
      <c r="AT291" s="99"/>
      <c r="AU291" s="99"/>
      <c r="AV291" s="99"/>
      <c r="AW291" s="55" t="s">
        <v>2333</v>
      </c>
      <c r="AX291" s="55" t="s">
        <v>1519</v>
      </c>
    </row>
    <row r="292" spans="1:61" x14ac:dyDescent="0.3">
      <c r="A292" s="43">
        <v>291</v>
      </c>
      <c r="B292" s="43">
        <v>26</v>
      </c>
      <c r="C292" s="118" t="s">
        <v>2543</v>
      </c>
      <c r="D292" s="101">
        <v>8</v>
      </c>
      <c r="E292" s="208" t="s">
        <v>233</v>
      </c>
      <c r="F292" s="209" t="s">
        <v>449</v>
      </c>
      <c r="G292" s="97">
        <v>30853</v>
      </c>
      <c r="H292" s="97">
        <f>+DATE(YEAR(G292)+55,MONTH(G292),DAY(G292))</f>
        <v>50941</v>
      </c>
      <c r="I292" s="48">
        <f t="shared" si="58"/>
        <v>50952</v>
      </c>
      <c r="J292" s="48">
        <v>50952</v>
      </c>
      <c r="K292" s="97">
        <v>41153</v>
      </c>
      <c r="L292" s="206" t="s">
        <v>735</v>
      </c>
      <c r="M292" s="118" t="s">
        <v>287</v>
      </c>
      <c r="N292" s="118" t="s">
        <v>281</v>
      </c>
      <c r="O292" s="97">
        <v>43405</v>
      </c>
      <c r="P292" s="117"/>
      <c r="Q292" s="118" t="s">
        <v>76</v>
      </c>
      <c r="R292" s="119">
        <v>1.42</v>
      </c>
      <c r="S292" s="119"/>
      <c r="T292" s="99"/>
      <c r="U292" s="52">
        <f t="shared" si="59"/>
        <v>6716600</v>
      </c>
      <c r="V292" s="52">
        <f t="shared" si="56"/>
        <v>0</v>
      </c>
      <c r="W292" s="52">
        <f t="shared" si="55"/>
        <v>0</v>
      </c>
      <c r="X292" s="52">
        <f t="shared" si="53"/>
        <v>6716600</v>
      </c>
      <c r="Y292" s="52">
        <f>+VLOOKUP(E292,[2]Sheet1!$B$11:$J$400,9,0)</f>
        <v>5907200</v>
      </c>
      <c r="Z292" s="52"/>
      <c r="AA292" s="53" t="s">
        <v>1724</v>
      </c>
      <c r="AB292" s="99" t="s">
        <v>1282</v>
      </c>
      <c r="AC292" s="45" t="str">
        <f>+VLOOKUP(E292,[3]Sheet1!$B$11:$I$388,8,0)</f>
        <v>54 - 162</v>
      </c>
      <c r="AD292" s="99" t="s">
        <v>1796</v>
      </c>
      <c r="AE292" s="99" t="s">
        <v>2921</v>
      </c>
      <c r="AF292" s="100">
        <v>221090412</v>
      </c>
      <c r="AG292" s="99">
        <f>+VALUE(AF292:AF671)</f>
        <v>221090412</v>
      </c>
      <c r="AH292" s="99" t="s">
        <v>1358</v>
      </c>
      <c r="AI292" s="99" t="s">
        <v>615</v>
      </c>
      <c r="AJ292" s="99" t="s">
        <v>1359</v>
      </c>
      <c r="AK292" s="101" t="s">
        <v>1359</v>
      </c>
      <c r="AL292" s="99"/>
      <c r="AM292" s="99"/>
      <c r="AN292" s="99"/>
      <c r="AO292" s="99"/>
      <c r="AP292" s="99" t="s">
        <v>510</v>
      </c>
      <c r="AQ292" s="99"/>
      <c r="AR292" s="99"/>
      <c r="AS292" s="99"/>
      <c r="AT292" s="99"/>
      <c r="AU292" s="99"/>
      <c r="AV292" s="99"/>
      <c r="AW292" s="55" t="s">
        <v>2334</v>
      </c>
      <c r="AX292" s="55" t="s">
        <v>1519</v>
      </c>
    </row>
    <row r="293" spans="1:61" x14ac:dyDescent="0.3">
      <c r="A293" s="43">
        <v>292</v>
      </c>
      <c r="B293" s="43">
        <v>27</v>
      </c>
      <c r="C293" s="118" t="s">
        <v>2543</v>
      </c>
      <c r="D293" s="99">
        <v>1</v>
      </c>
      <c r="E293" s="97" t="s">
        <v>234</v>
      </c>
      <c r="F293" s="100" t="s">
        <v>450</v>
      </c>
      <c r="G293" s="97">
        <v>31122</v>
      </c>
      <c r="H293" s="47">
        <f>+DATE(YEAR(G293)+57,MONTH(G293),DAY(G293))</f>
        <v>51941</v>
      </c>
      <c r="I293" s="48">
        <f t="shared" si="58"/>
        <v>51957</v>
      </c>
      <c r="J293" s="48">
        <v>51957</v>
      </c>
      <c r="K293" s="97">
        <v>39234</v>
      </c>
      <c r="L293" s="206" t="s">
        <v>277</v>
      </c>
      <c r="M293" s="207" t="s">
        <v>287</v>
      </c>
      <c r="N293" s="118" t="s">
        <v>283</v>
      </c>
      <c r="O293" s="97">
        <v>45839</v>
      </c>
      <c r="P293" s="117"/>
      <c r="Q293" s="210" t="s">
        <v>74</v>
      </c>
      <c r="R293" s="119">
        <v>1.68</v>
      </c>
      <c r="S293" s="119">
        <v>0.04</v>
      </c>
      <c r="T293" s="99"/>
      <c r="U293" s="52">
        <f t="shared" si="59"/>
        <v>7946400</v>
      </c>
      <c r="V293" s="52">
        <f t="shared" si="56"/>
        <v>176400</v>
      </c>
      <c r="W293" s="52">
        <f t="shared" si="55"/>
        <v>0</v>
      </c>
      <c r="X293" s="52">
        <f t="shared" si="53"/>
        <v>8122800</v>
      </c>
      <c r="Y293" s="52">
        <f>+VLOOKUP(E293,[2]Sheet1!$B$11:$J$400,9,0)</f>
        <v>6572800</v>
      </c>
      <c r="Z293" s="52"/>
      <c r="AA293" s="53" t="s">
        <v>1725</v>
      </c>
      <c r="AB293" s="99" t="s">
        <v>1316</v>
      </c>
      <c r="AC293" s="45" t="str">
        <f>+VLOOKUP(E293,[3]Sheet1!$B$11:$I$388,8,0)</f>
        <v>56 - 001</v>
      </c>
      <c r="AD293" s="99" t="s">
        <v>1787</v>
      </c>
      <c r="AE293" s="99" t="s">
        <v>2922</v>
      </c>
      <c r="AF293" s="100">
        <v>221126383</v>
      </c>
      <c r="AG293" s="99">
        <f>+VALUE(AF293:AF673)</f>
        <v>221126383</v>
      </c>
      <c r="AH293" s="99" t="s">
        <v>1361</v>
      </c>
      <c r="AI293" s="99" t="s">
        <v>1297</v>
      </c>
      <c r="AJ293" s="99" t="s">
        <v>1362</v>
      </c>
      <c r="AK293" s="101" t="s">
        <v>1363</v>
      </c>
      <c r="AL293" s="99"/>
      <c r="AM293" s="99"/>
      <c r="AN293" s="99"/>
      <c r="AO293" s="99" t="s">
        <v>504</v>
      </c>
      <c r="AP293" s="99"/>
      <c r="AQ293" s="99"/>
      <c r="AR293" s="99"/>
      <c r="AS293" s="99"/>
      <c r="AT293" s="99"/>
      <c r="AU293" s="99"/>
      <c r="AV293" s="99"/>
      <c r="AW293" s="55" t="s">
        <v>2335</v>
      </c>
      <c r="AX293" s="55" t="s">
        <v>1519</v>
      </c>
    </row>
    <row r="294" spans="1:61" x14ac:dyDescent="0.3">
      <c r="A294" s="43">
        <v>293</v>
      </c>
      <c r="B294" s="43">
        <v>28</v>
      </c>
      <c r="C294" s="118" t="s">
        <v>2543</v>
      </c>
      <c r="D294" s="99">
        <v>2</v>
      </c>
      <c r="E294" s="208" t="s">
        <v>235</v>
      </c>
      <c r="F294" s="209" t="s">
        <v>451</v>
      </c>
      <c r="G294" s="97">
        <v>28491</v>
      </c>
      <c r="H294" s="97">
        <v>48092</v>
      </c>
      <c r="I294" s="48">
        <f t="shared" si="58"/>
        <v>48122</v>
      </c>
      <c r="J294" s="48">
        <v>48122</v>
      </c>
      <c r="K294" s="97">
        <v>33270</v>
      </c>
      <c r="L294" s="206" t="s">
        <v>277</v>
      </c>
      <c r="M294" s="207" t="s">
        <v>287</v>
      </c>
      <c r="N294" s="118" t="s">
        <v>281</v>
      </c>
      <c r="O294" s="97">
        <v>41091</v>
      </c>
      <c r="P294" s="117"/>
      <c r="Q294" s="118" t="s">
        <v>76</v>
      </c>
      <c r="R294" s="119">
        <v>1.58</v>
      </c>
      <c r="S294" s="119"/>
      <c r="T294" s="99"/>
      <c r="U294" s="52">
        <f t="shared" si="59"/>
        <v>7473400</v>
      </c>
      <c r="V294" s="52">
        <f t="shared" si="56"/>
        <v>0</v>
      </c>
      <c r="W294" s="52">
        <f t="shared" si="55"/>
        <v>0</v>
      </c>
      <c r="X294" s="52">
        <f t="shared" si="53"/>
        <v>7473400</v>
      </c>
      <c r="Y294" s="52">
        <f>+VLOOKUP(E294,[2]Sheet1!$B$11:$J$400,9,0)</f>
        <v>6572800</v>
      </c>
      <c r="Z294" s="52"/>
      <c r="AA294" s="53" t="s">
        <v>1726</v>
      </c>
      <c r="AB294" s="99" t="s">
        <v>669</v>
      </c>
      <c r="AC294" s="45" t="str">
        <f>+VLOOKUP(E294,[3]Sheet1!$B$11:$I$388,8,0)</f>
        <v>56 - 183</v>
      </c>
      <c r="AD294" s="99" t="s">
        <v>1787</v>
      </c>
      <c r="AE294" s="99" t="s">
        <v>2923</v>
      </c>
      <c r="AF294" s="100">
        <v>225075735</v>
      </c>
      <c r="AG294" s="99">
        <f>+VALUE(AF294:AF674)</f>
        <v>225075735</v>
      </c>
      <c r="AH294" s="99" t="s">
        <v>1364</v>
      </c>
      <c r="AI294" s="99" t="s">
        <v>620</v>
      </c>
      <c r="AJ294" s="99" t="s">
        <v>1365</v>
      </c>
      <c r="AK294" s="101" t="s">
        <v>1366</v>
      </c>
      <c r="AL294" s="99"/>
      <c r="AM294" s="99" t="s">
        <v>505</v>
      </c>
      <c r="AN294" s="99"/>
      <c r="AO294" s="99"/>
      <c r="AP294" s="99" t="s">
        <v>511</v>
      </c>
      <c r="AQ294" s="99"/>
      <c r="AR294" s="99"/>
      <c r="AS294" s="99"/>
      <c r="AT294" s="99"/>
      <c r="AU294" s="99"/>
      <c r="AV294" s="99"/>
      <c r="AW294" s="55" t="s">
        <v>2336</v>
      </c>
      <c r="AX294" s="55" t="s">
        <v>1519</v>
      </c>
    </row>
    <row r="295" spans="1:61" x14ac:dyDescent="0.3">
      <c r="A295" s="43">
        <v>294</v>
      </c>
      <c r="B295" s="43">
        <v>29</v>
      </c>
      <c r="C295" s="118" t="s">
        <v>2543</v>
      </c>
      <c r="D295" s="99">
        <v>3</v>
      </c>
      <c r="E295" s="97" t="s">
        <v>295</v>
      </c>
      <c r="F295" s="100" t="s">
        <v>452</v>
      </c>
      <c r="G295" s="97">
        <v>31899</v>
      </c>
      <c r="H295" s="47">
        <f>+DATE(YEAR(G295)+57,MONTH(G295),DAY(G295))</f>
        <v>52719</v>
      </c>
      <c r="I295" s="48">
        <f t="shared" si="58"/>
        <v>52749</v>
      </c>
      <c r="J295" s="48">
        <v>51806</v>
      </c>
      <c r="K295" s="97">
        <v>41671</v>
      </c>
      <c r="L295" s="206" t="s">
        <v>277</v>
      </c>
      <c r="M295" s="207" t="s">
        <v>287</v>
      </c>
      <c r="N295" s="118" t="s">
        <v>282</v>
      </c>
      <c r="O295" s="97">
        <v>45505</v>
      </c>
      <c r="P295" s="117"/>
      <c r="Q295" s="118" t="s">
        <v>76</v>
      </c>
      <c r="R295" s="119">
        <v>1.58</v>
      </c>
      <c r="S295" s="119">
        <v>0.06</v>
      </c>
      <c r="T295" s="99"/>
      <c r="U295" s="52">
        <f t="shared" si="59"/>
        <v>7473400</v>
      </c>
      <c r="V295" s="52">
        <f t="shared" si="56"/>
        <v>264600</v>
      </c>
      <c r="W295" s="52">
        <f t="shared" si="55"/>
        <v>0</v>
      </c>
      <c r="X295" s="52">
        <f t="shared" si="53"/>
        <v>7738000</v>
      </c>
      <c r="Y295" s="52">
        <f>+VLOOKUP(E295,[2]Sheet1!$B$11:$J$400,9,0)</f>
        <v>6198400</v>
      </c>
      <c r="Z295" s="52"/>
      <c r="AA295" s="53" t="s">
        <v>1727</v>
      </c>
      <c r="AB295" s="99" t="s">
        <v>1316</v>
      </c>
      <c r="AC295" s="45" t="str">
        <f>+VLOOKUP(E295,[3]Sheet1!$B$11:$I$388,8,0)</f>
        <v>56 - 001</v>
      </c>
      <c r="AD295" s="99" t="s">
        <v>1787</v>
      </c>
      <c r="AE295" s="99" t="s">
        <v>2924</v>
      </c>
      <c r="AF295" s="100">
        <v>225332743</v>
      </c>
      <c r="AG295" s="99">
        <f>+VALUE(AF295:AF675)</f>
        <v>225332743</v>
      </c>
      <c r="AH295" s="99" t="s">
        <v>1367</v>
      </c>
      <c r="AI295" s="99" t="s">
        <v>620</v>
      </c>
      <c r="AJ295" s="99" t="s">
        <v>1368</v>
      </c>
      <c r="AK295" s="101" t="s">
        <v>1369</v>
      </c>
      <c r="AL295" s="99"/>
      <c r="AM295" s="99"/>
      <c r="AN295" s="99"/>
      <c r="AO295" s="99"/>
      <c r="AP295" s="99"/>
      <c r="AQ295" s="99"/>
      <c r="AR295" s="99"/>
      <c r="AS295" s="99"/>
      <c r="AT295" s="99"/>
      <c r="AU295" s="99"/>
      <c r="AV295" s="99"/>
      <c r="AW295" s="55" t="s">
        <v>2337</v>
      </c>
      <c r="AX295" s="55" t="s">
        <v>1519</v>
      </c>
    </row>
    <row r="296" spans="1:61" x14ac:dyDescent="0.3">
      <c r="A296" s="43">
        <v>295</v>
      </c>
      <c r="B296" s="43">
        <v>30</v>
      </c>
      <c r="C296" s="118" t="s">
        <v>2543</v>
      </c>
      <c r="D296" s="99">
        <v>4</v>
      </c>
      <c r="E296" s="208" t="s">
        <v>236</v>
      </c>
      <c r="F296" s="209" t="s">
        <v>453</v>
      </c>
      <c r="G296" s="97">
        <v>31706</v>
      </c>
      <c r="H296" s="97">
        <f>+DATE(YEAR(G296)+55,MONTH(G296),DAY(G296))</f>
        <v>51795</v>
      </c>
      <c r="I296" s="48">
        <f t="shared" si="58"/>
        <v>51806</v>
      </c>
      <c r="J296" s="48">
        <v>50618</v>
      </c>
      <c r="K296" s="97">
        <v>39479</v>
      </c>
      <c r="L296" s="206" t="s">
        <v>277</v>
      </c>
      <c r="M296" s="207" t="s">
        <v>287</v>
      </c>
      <c r="N296" s="118" t="s">
        <v>281</v>
      </c>
      <c r="O296" s="97">
        <v>45839</v>
      </c>
      <c r="P296" s="117"/>
      <c r="Q296" s="210" t="s">
        <v>74</v>
      </c>
      <c r="R296" s="119">
        <v>1.68</v>
      </c>
      <c r="S296" s="119"/>
      <c r="T296" s="99"/>
      <c r="U296" s="52">
        <f t="shared" si="59"/>
        <v>7946400</v>
      </c>
      <c r="V296" s="52">
        <f t="shared" si="56"/>
        <v>0</v>
      </c>
      <c r="W296" s="52">
        <f t="shared" si="55"/>
        <v>0</v>
      </c>
      <c r="X296" s="52">
        <f t="shared" si="53"/>
        <v>7946400</v>
      </c>
      <c r="Y296" s="52">
        <f>+VLOOKUP(E296,[2]Sheet1!$B$11:$J$400,9,0)</f>
        <v>6572800</v>
      </c>
      <c r="Z296" s="52"/>
      <c r="AA296" s="53" t="s">
        <v>1728</v>
      </c>
      <c r="AB296" s="99" t="s">
        <v>1316</v>
      </c>
      <c r="AC296" s="45" t="str">
        <f>+VLOOKUP(E296,[3]Sheet1!$B$11:$I$388,8,0)</f>
        <v>56 - 181</v>
      </c>
      <c r="AD296" s="99" t="s">
        <v>1787</v>
      </c>
      <c r="AE296" s="99" t="s">
        <v>2925</v>
      </c>
      <c r="AF296" s="100">
        <v>225569876</v>
      </c>
      <c r="AG296" s="99">
        <f>+VALUE(AF296:AF676)</f>
        <v>225569876</v>
      </c>
      <c r="AH296" s="99" t="s">
        <v>1370</v>
      </c>
      <c r="AI296" s="99" t="s">
        <v>1360</v>
      </c>
      <c r="AJ296" s="99" t="s">
        <v>1371</v>
      </c>
      <c r="AK296" s="101" t="s">
        <v>1372</v>
      </c>
      <c r="AL296" s="99"/>
      <c r="AM296" s="99" t="s">
        <v>551</v>
      </c>
      <c r="AN296" s="99"/>
      <c r="AO296" s="99" t="s">
        <v>504</v>
      </c>
      <c r="AP296" s="99"/>
      <c r="AQ296" s="99"/>
      <c r="AR296" s="99"/>
      <c r="AS296" s="99"/>
      <c r="AT296" s="99"/>
      <c r="AU296" s="99"/>
      <c r="AV296" s="99"/>
      <c r="AW296" s="55" t="s">
        <v>2338</v>
      </c>
      <c r="AX296" s="55" t="s">
        <v>1519</v>
      </c>
    </row>
    <row r="297" spans="1:61" x14ac:dyDescent="0.3">
      <c r="A297" s="43">
        <v>296</v>
      </c>
      <c r="B297" s="43">
        <v>31</v>
      </c>
      <c r="C297" s="118" t="s">
        <v>2543</v>
      </c>
      <c r="D297" s="101">
        <v>1</v>
      </c>
      <c r="E297" s="97" t="s">
        <v>238</v>
      </c>
      <c r="F297" s="100" t="s">
        <v>455</v>
      </c>
      <c r="G297" s="97">
        <v>26625</v>
      </c>
      <c r="H297" s="47">
        <f t="shared" ref="H297:H309" si="60">+DATE(YEAR(G297)+57,MONTH(G297),DAY(G297))</f>
        <v>47444</v>
      </c>
      <c r="I297" s="48">
        <f t="shared" si="58"/>
        <v>47453</v>
      </c>
      <c r="J297" s="48">
        <v>47453</v>
      </c>
      <c r="K297" s="97">
        <v>36220</v>
      </c>
      <c r="L297" s="206" t="s">
        <v>726</v>
      </c>
      <c r="M297" s="207" t="s">
        <v>287</v>
      </c>
      <c r="N297" s="118" t="s">
        <v>286</v>
      </c>
      <c r="O297" s="97">
        <v>41821</v>
      </c>
      <c r="P297" s="117"/>
      <c r="Q297" s="210" t="s">
        <v>74</v>
      </c>
      <c r="R297" s="119">
        <v>1.68</v>
      </c>
      <c r="S297" s="119">
        <v>0.06</v>
      </c>
      <c r="T297" s="99"/>
      <c r="U297" s="52">
        <f t="shared" si="59"/>
        <v>7946400</v>
      </c>
      <c r="V297" s="52">
        <f t="shared" si="56"/>
        <v>264600</v>
      </c>
      <c r="W297" s="52">
        <f t="shared" si="55"/>
        <v>0</v>
      </c>
      <c r="X297" s="52">
        <f t="shared" si="53"/>
        <v>8211000</v>
      </c>
      <c r="Y297" s="52">
        <f>+VLOOKUP(E297,[2]Sheet1!$B$11:$J$400,9,0)</f>
        <v>7238400</v>
      </c>
      <c r="Z297" s="52"/>
      <c r="AA297" s="53" t="s">
        <v>1729</v>
      </c>
      <c r="AB297" s="99" t="s">
        <v>1377</v>
      </c>
      <c r="AC297" s="45" t="str">
        <f>+VLOOKUP(E297,[3]Sheet1!$B$11:$I$388,8,0)</f>
        <v>56 - 002</v>
      </c>
      <c r="AD297" s="99" t="s">
        <v>1787</v>
      </c>
      <c r="AE297" s="99" t="s">
        <v>2927</v>
      </c>
      <c r="AF297" s="100">
        <v>225094329</v>
      </c>
      <c r="AG297" s="99">
        <f>+VALUE(AF297:AF678)</f>
        <v>225094329</v>
      </c>
      <c r="AH297" s="99" t="s">
        <v>1378</v>
      </c>
      <c r="AI297" s="99" t="s">
        <v>620</v>
      </c>
      <c r="AJ297" s="99" t="s">
        <v>1379</v>
      </c>
      <c r="AK297" s="101" t="s">
        <v>1380</v>
      </c>
      <c r="AL297" s="99"/>
      <c r="AM297" s="99" t="s">
        <v>502</v>
      </c>
      <c r="AN297" s="99"/>
      <c r="AO297" s="99"/>
      <c r="AP297" s="99"/>
      <c r="AQ297" s="99"/>
      <c r="AR297" s="99"/>
      <c r="AS297" s="99"/>
      <c r="AT297" s="99"/>
      <c r="AU297" s="99"/>
      <c r="AV297" s="99"/>
      <c r="AW297" s="55" t="s">
        <v>2340</v>
      </c>
      <c r="AX297" s="55" t="s">
        <v>1519</v>
      </c>
    </row>
    <row r="298" spans="1:61" s="170" customFormat="1" x14ac:dyDescent="0.3">
      <c r="A298" s="43">
        <v>297</v>
      </c>
      <c r="B298" s="43">
        <v>32</v>
      </c>
      <c r="C298" s="118" t="s">
        <v>2543</v>
      </c>
      <c r="D298" s="101">
        <v>2</v>
      </c>
      <c r="E298" s="97" t="s">
        <v>239</v>
      </c>
      <c r="F298" s="100" t="s">
        <v>456</v>
      </c>
      <c r="G298" s="97">
        <v>26803</v>
      </c>
      <c r="H298" s="47">
        <f t="shared" si="60"/>
        <v>47622</v>
      </c>
      <c r="I298" s="48">
        <f t="shared" si="58"/>
        <v>47635</v>
      </c>
      <c r="J298" s="48">
        <v>47635</v>
      </c>
      <c r="K298" s="97">
        <v>35370</v>
      </c>
      <c r="L298" s="206" t="s">
        <v>726</v>
      </c>
      <c r="M298" s="207" t="s">
        <v>287</v>
      </c>
      <c r="N298" s="118" t="s">
        <v>281</v>
      </c>
      <c r="O298" s="97">
        <v>41091</v>
      </c>
      <c r="P298" s="117"/>
      <c r="Q298" s="210" t="s">
        <v>74</v>
      </c>
      <c r="R298" s="119">
        <v>1.68</v>
      </c>
      <c r="S298" s="119"/>
      <c r="T298" s="99"/>
      <c r="U298" s="52">
        <f t="shared" si="59"/>
        <v>7946400</v>
      </c>
      <c r="V298" s="52">
        <f t="shared" si="56"/>
        <v>0</v>
      </c>
      <c r="W298" s="52">
        <f t="shared" ref="W298:W329" si="61">+T298*2340000</f>
        <v>0</v>
      </c>
      <c r="X298" s="52">
        <f t="shared" si="53"/>
        <v>7946400</v>
      </c>
      <c r="Y298" s="52">
        <f>+VLOOKUP(E298,[2]Sheet1!$B$11:$J$400,9,0)</f>
        <v>6988800</v>
      </c>
      <c r="Z298" s="52"/>
      <c r="AA298" s="53" t="s">
        <v>1730</v>
      </c>
      <c r="AB298" s="99" t="s">
        <v>1377</v>
      </c>
      <c r="AC298" s="45" t="str">
        <f>+VLOOKUP(E298,[3]Sheet1!$B$11:$I$388,8,0)</f>
        <v>56 - 002</v>
      </c>
      <c r="AD298" s="99" t="s">
        <v>1787</v>
      </c>
      <c r="AE298" s="99" t="s">
        <v>2928</v>
      </c>
      <c r="AF298" s="100">
        <v>225246977</v>
      </c>
      <c r="AG298" s="99">
        <f>+VALUE(AF298:AF679)</f>
        <v>225246977</v>
      </c>
      <c r="AH298" s="99" t="s">
        <v>1033</v>
      </c>
      <c r="AI298" s="99" t="s">
        <v>620</v>
      </c>
      <c r="AJ298" s="99" t="s">
        <v>1381</v>
      </c>
      <c r="AK298" s="101" t="s">
        <v>1382</v>
      </c>
      <c r="AL298" s="99"/>
      <c r="AM298" s="99"/>
      <c r="AN298" s="99"/>
      <c r="AO298" s="99" t="s">
        <v>504</v>
      </c>
      <c r="AP298" s="99"/>
      <c r="AQ298" s="99"/>
      <c r="AR298" s="99"/>
      <c r="AS298" s="99"/>
      <c r="AT298" s="99"/>
      <c r="AU298" s="99"/>
      <c r="AV298" s="99"/>
      <c r="AW298" s="55" t="s">
        <v>2341</v>
      </c>
      <c r="AX298" s="55" t="s">
        <v>1519</v>
      </c>
      <c r="AY298" s="55"/>
      <c r="AZ298" s="55"/>
      <c r="BA298" s="55"/>
      <c r="BB298" s="55"/>
      <c r="BC298" s="55"/>
      <c r="BD298" s="55"/>
      <c r="BE298" s="55"/>
      <c r="BF298" s="55"/>
      <c r="BG298" s="55"/>
      <c r="BH298" s="55"/>
      <c r="BI298" s="55"/>
    </row>
    <row r="299" spans="1:61" s="170" customFormat="1" x14ac:dyDescent="0.3">
      <c r="A299" s="43">
        <v>298</v>
      </c>
      <c r="B299" s="43">
        <v>33</v>
      </c>
      <c r="C299" s="118" t="s">
        <v>2543</v>
      </c>
      <c r="D299" s="101">
        <v>3</v>
      </c>
      <c r="E299" s="97" t="s">
        <v>240</v>
      </c>
      <c r="F299" s="100" t="s">
        <v>457</v>
      </c>
      <c r="G299" s="97">
        <v>31726</v>
      </c>
      <c r="H299" s="47">
        <f t="shared" si="60"/>
        <v>52545</v>
      </c>
      <c r="I299" s="48">
        <f t="shared" si="58"/>
        <v>52566</v>
      </c>
      <c r="J299" s="48">
        <v>52566</v>
      </c>
      <c r="K299" s="97">
        <v>39479</v>
      </c>
      <c r="L299" s="206" t="s">
        <v>726</v>
      </c>
      <c r="M299" s="207" t="s">
        <v>287</v>
      </c>
      <c r="N299" s="118" t="s">
        <v>285</v>
      </c>
      <c r="O299" s="97">
        <v>45505</v>
      </c>
      <c r="P299" s="117"/>
      <c r="Q299" s="210" t="s">
        <v>74</v>
      </c>
      <c r="R299" s="119">
        <v>1.68</v>
      </c>
      <c r="S299" s="119">
        <v>0.04</v>
      </c>
      <c r="T299" s="99"/>
      <c r="U299" s="52">
        <f t="shared" si="59"/>
        <v>7946400</v>
      </c>
      <c r="V299" s="52">
        <f t="shared" si="56"/>
        <v>176400</v>
      </c>
      <c r="W299" s="52">
        <f t="shared" si="61"/>
        <v>0</v>
      </c>
      <c r="X299" s="52">
        <f t="shared" si="53"/>
        <v>8122800</v>
      </c>
      <c r="Y299" s="52">
        <f>+VLOOKUP(E299,[2]Sheet1!$B$11:$J$400,9,0)</f>
        <v>6739200</v>
      </c>
      <c r="Z299" s="52"/>
      <c r="AA299" s="53" t="s">
        <v>1731</v>
      </c>
      <c r="AB299" s="99" t="s">
        <v>1377</v>
      </c>
      <c r="AC299" s="45" t="str">
        <f>+VLOOKUP(E299,[3]Sheet1!$B$11:$I$388,8,0)</f>
        <v>56 - 002</v>
      </c>
      <c r="AD299" s="99" t="s">
        <v>1787</v>
      </c>
      <c r="AE299" s="99" t="s">
        <v>2929</v>
      </c>
      <c r="AF299" s="100">
        <v>225301391</v>
      </c>
      <c r="AG299" s="99">
        <f>+VALUE(AF299:AF680)</f>
        <v>225301391</v>
      </c>
      <c r="AH299" s="99" t="s">
        <v>1290</v>
      </c>
      <c r="AI299" s="99" t="s">
        <v>620</v>
      </c>
      <c r="AJ299" s="99" t="s">
        <v>1383</v>
      </c>
      <c r="AK299" s="101" t="s">
        <v>1383</v>
      </c>
      <c r="AL299" s="99"/>
      <c r="AM299" s="99"/>
      <c r="AN299" s="99"/>
      <c r="AO299" s="99" t="s">
        <v>504</v>
      </c>
      <c r="AP299" s="99"/>
      <c r="AQ299" s="99"/>
      <c r="AR299" s="99"/>
      <c r="AS299" s="99"/>
      <c r="AT299" s="99"/>
      <c r="AU299" s="99"/>
      <c r="AV299" s="99"/>
      <c r="AW299" s="55" t="s">
        <v>2342</v>
      </c>
      <c r="AX299" s="55" t="s">
        <v>1519</v>
      </c>
      <c r="AY299" s="55"/>
      <c r="AZ299" s="55"/>
      <c r="BA299" s="55"/>
      <c r="BB299" s="55"/>
      <c r="BC299" s="55"/>
      <c r="BD299" s="55"/>
      <c r="BE299" s="55"/>
      <c r="BF299" s="55"/>
      <c r="BG299" s="55"/>
      <c r="BH299" s="55"/>
      <c r="BI299" s="55"/>
    </row>
    <row r="300" spans="1:61" s="170" customFormat="1" x14ac:dyDescent="0.3">
      <c r="A300" s="43">
        <v>299</v>
      </c>
      <c r="B300" s="43">
        <v>34</v>
      </c>
      <c r="C300" s="118" t="s">
        <v>2543</v>
      </c>
      <c r="D300" s="101">
        <v>4</v>
      </c>
      <c r="E300" s="99" t="s">
        <v>244</v>
      </c>
      <c r="F300" s="100" t="s">
        <v>617</v>
      </c>
      <c r="G300" s="97">
        <v>30748</v>
      </c>
      <c r="H300" s="47">
        <f t="shared" si="60"/>
        <v>51567</v>
      </c>
      <c r="I300" s="48">
        <f t="shared" si="58"/>
        <v>51592</v>
      </c>
      <c r="J300" s="48">
        <v>51592</v>
      </c>
      <c r="K300" s="97">
        <v>43191</v>
      </c>
      <c r="L300" s="206" t="s">
        <v>726</v>
      </c>
      <c r="M300" s="207" t="s">
        <v>287</v>
      </c>
      <c r="N300" s="118" t="s">
        <v>281</v>
      </c>
      <c r="O300" s="117" t="s">
        <v>3238</v>
      </c>
      <c r="P300" s="117"/>
      <c r="Q300" s="200" t="s">
        <v>71</v>
      </c>
      <c r="R300" s="119">
        <v>1.49</v>
      </c>
      <c r="S300" s="119"/>
      <c r="T300" s="99"/>
      <c r="U300" s="52">
        <f t="shared" si="59"/>
        <v>7047700</v>
      </c>
      <c r="V300" s="52">
        <f t="shared" si="56"/>
        <v>0</v>
      </c>
      <c r="W300" s="52">
        <f t="shared" si="61"/>
        <v>0</v>
      </c>
      <c r="X300" s="52">
        <f t="shared" si="53"/>
        <v>7047700</v>
      </c>
      <c r="Y300" s="52">
        <f>+VLOOKUP(E300,[2]Sheet1!$B$11:$J$400,9,0)</f>
        <v>5865600</v>
      </c>
      <c r="Z300" s="52"/>
      <c r="AA300" s="53" t="s">
        <v>1735</v>
      </c>
      <c r="AB300" s="99" t="s">
        <v>618</v>
      </c>
      <c r="AC300" s="45" t="str">
        <f>+VLOOKUP(E300,[3]Sheet1!$B$11:$I$388,8,0)</f>
        <v>56 - 002</v>
      </c>
      <c r="AD300" s="99" t="s">
        <v>1787</v>
      </c>
      <c r="AE300" s="99" t="s">
        <v>2931</v>
      </c>
      <c r="AF300" s="100" t="s">
        <v>619</v>
      </c>
      <c r="AG300" s="99">
        <f>+VALUE(AF300:AF683)</f>
        <v>225303574</v>
      </c>
      <c r="AH300" s="205" t="s">
        <v>663</v>
      </c>
      <c r="AI300" s="99" t="s">
        <v>620</v>
      </c>
      <c r="AJ300" s="99" t="s">
        <v>1524</v>
      </c>
      <c r="AK300" s="101" t="e">
        <v>#N/A</v>
      </c>
      <c r="AL300" s="99"/>
      <c r="AM300" s="99"/>
      <c r="AN300" s="99"/>
      <c r="AO300" s="99" t="s">
        <v>572</v>
      </c>
      <c r="AP300" s="213"/>
      <c r="AQ300" s="213" t="s">
        <v>543</v>
      </c>
      <c r="AR300" s="213"/>
      <c r="AS300" s="213"/>
      <c r="AT300" s="213"/>
      <c r="AU300" s="213"/>
      <c r="AV300" s="213"/>
      <c r="AW300" s="55" t="s">
        <v>2344</v>
      </c>
      <c r="AX300" s="55" t="s">
        <v>1519</v>
      </c>
    </row>
    <row r="301" spans="1:61" x14ac:dyDescent="0.3">
      <c r="A301" s="43">
        <v>300</v>
      </c>
      <c r="B301" s="43">
        <v>35</v>
      </c>
      <c r="C301" s="118" t="s">
        <v>2543</v>
      </c>
      <c r="D301" s="101">
        <v>5</v>
      </c>
      <c r="E301" s="213" t="s">
        <v>2071</v>
      </c>
      <c r="F301" s="214" t="s">
        <v>2072</v>
      </c>
      <c r="G301" s="215">
        <v>34065</v>
      </c>
      <c r="H301" s="47">
        <f t="shared" si="60"/>
        <v>54884</v>
      </c>
      <c r="I301" s="48">
        <f t="shared" si="58"/>
        <v>54909</v>
      </c>
      <c r="J301" s="48">
        <v>54909</v>
      </c>
      <c r="K301" s="211">
        <v>40848</v>
      </c>
      <c r="L301" s="216" t="s">
        <v>726</v>
      </c>
      <c r="M301" s="207" t="s">
        <v>287</v>
      </c>
      <c r="N301" s="207" t="s">
        <v>281</v>
      </c>
      <c r="O301" s="217" t="s">
        <v>3238</v>
      </c>
      <c r="P301" s="217"/>
      <c r="Q301" s="200" t="s">
        <v>71</v>
      </c>
      <c r="R301" s="218">
        <v>1.49</v>
      </c>
      <c r="S301" s="218"/>
      <c r="T301" s="213"/>
      <c r="U301" s="52">
        <f t="shared" si="59"/>
        <v>7047700</v>
      </c>
      <c r="V301" s="52">
        <f t="shared" si="56"/>
        <v>0</v>
      </c>
      <c r="W301" s="52">
        <f t="shared" si="61"/>
        <v>0</v>
      </c>
      <c r="X301" s="52">
        <f t="shared" si="53"/>
        <v>7047700</v>
      </c>
      <c r="Y301" s="52">
        <f>+VLOOKUP(E301,[2]Sheet1!$B$11:$J$400,9,0)</f>
        <v>5865600</v>
      </c>
      <c r="Z301" s="52"/>
      <c r="AA301" s="53" t="s">
        <v>2073</v>
      </c>
      <c r="AB301" s="99"/>
      <c r="AC301" s="45" t="str">
        <f>+VLOOKUP(E301,[3]Sheet1!$B$11:$I$388,8,0)</f>
        <v>56 - 002</v>
      </c>
      <c r="AD301" s="99" t="s">
        <v>1787</v>
      </c>
      <c r="AE301" s="201" t="s">
        <v>3085</v>
      </c>
      <c r="AF301" s="219" t="s">
        <v>2074</v>
      </c>
      <c r="AG301" s="99">
        <f>+VALUE(AF301:AF687)</f>
        <v>225507635</v>
      </c>
      <c r="AH301" s="220" t="s">
        <v>2075</v>
      </c>
      <c r="AI301" s="221" t="s">
        <v>620</v>
      </c>
      <c r="AJ301" s="221" t="s">
        <v>2076</v>
      </c>
      <c r="AK301" s="222">
        <v>22489</v>
      </c>
      <c r="AL301" s="213"/>
      <c r="AM301" s="213"/>
      <c r="AN301" s="213"/>
      <c r="AO301" s="99"/>
      <c r="AP301" s="213"/>
      <c r="AQ301" s="213"/>
      <c r="AR301" s="213"/>
      <c r="AS301" s="213"/>
      <c r="AT301" s="211">
        <v>44052</v>
      </c>
      <c r="AU301" s="213"/>
      <c r="AV301" s="211">
        <v>44783</v>
      </c>
      <c r="AW301" s="55" t="s">
        <v>2346</v>
      </c>
      <c r="AX301" s="55" t="s">
        <v>1519</v>
      </c>
      <c r="AY301" s="170"/>
      <c r="AZ301" s="170"/>
      <c r="BA301" s="170"/>
      <c r="BB301" s="170"/>
      <c r="BC301" s="170"/>
      <c r="BD301" s="170"/>
      <c r="BE301" s="170"/>
      <c r="BF301" s="170"/>
      <c r="BG301" s="170"/>
      <c r="BH301" s="170"/>
      <c r="BI301" s="170"/>
    </row>
    <row r="302" spans="1:61" x14ac:dyDescent="0.3">
      <c r="A302" s="43">
        <v>301</v>
      </c>
      <c r="B302" s="43">
        <v>36</v>
      </c>
      <c r="C302" s="118" t="s">
        <v>2543</v>
      </c>
      <c r="D302" s="101">
        <v>6</v>
      </c>
      <c r="E302" s="213" t="s">
        <v>2084</v>
      </c>
      <c r="F302" s="214" t="s">
        <v>2085</v>
      </c>
      <c r="G302" s="215">
        <v>34413</v>
      </c>
      <c r="H302" s="47">
        <f t="shared" si="60"/>
        <v>55232</v>
      </c>
      <c r="I302" s="48">
        <f t="shared" si="58"/>
        <v>55244</v>
      </c>
      <c r="J302" s="48">
        <v>55244</v>
      </c>
      <c r="K302" s="211">
        <v>44053</v>
      </c>
      <c r="L302" s="216" t="s">
        <v>726</v>
      </c>
      <c r="M302" s="207" t="s">
        <v>287</v>
      </c>
      <c r="N302" s="207" t="s">
        <v>281</v>
      </c>
      <c r="O302" s="211">
        <v>44053</v>
      </c>
      <c r="P302" s="217"/>
      <c r="Q302" s="207" t="s">
        <v>72</v>
      </c>
      <c r="R302" s="218">
        <v>1.41</v>
      </c>
      <c r="S302" s="218"/>
      <c r="T302" s="213"/>
      <c r="U302" s="52">
        <f t="shared" si="59"/>
        <v>6669300</v>
      </c>
      <c r="V302" s="52">
        <f t="shared" si="56"/>
        <v>0</v>
      </c>
      <c r="W302" s="52">
        <f t="shared" si="61"/>
        <v>0</v>
      </c>
      <c r="X302" s="52">
        <f t="shared" si="53"/>
        <v>6669300</v>
      </c>
      <c r="Y302" s="52">
        <f>+VLOOKUP(E302,[2]Sheet1!$B$11:$J$400,9,0)</f>
        <v>5865600</v>
      </c>
      <c r="Z302" s="52"/>
      <c r="AA302" s="53" t="s">
        <v>2106</v>
      </c>
      <c r="AB302" s="99"/>
      <c r="AC302" s="45" t="str">
        <f>+VLOOKUP(E302,[3]Sheet1!$B$11:$I$388,8,0)</f>
        <v>56 - 002</v>
      </c>
      <c r="AD302" s="99" t="s">
        <v>1787</v>
      </c>
      <c r="AE302" s="99" t="s">
        <v>2933</v>
      </c>
      <c r="AF302" s="219" t="s">
        <v>2086</v>
      </c>
      <c r="AG302" s="99">
        <f>+VALUE(AF302:AF688)</f>
        <v>225605771</v>
      </c>
      <c r="AH302" s="220" t="s">
        <v>2087</v>
      </c>
      <c r="AI302" s="221" t="s">
        <v>620</v>
      </c>
      <c r="AJ302" s="221" t="s">
        <v>2088</v>
      </c>
      <c r="AK302" s="222">
        <v>22498</v>
      </c>
      <c r="AL302" s="213"/>
      <c r="AM302" s="213"/>
      <c r="AN302" s="213"/>
      <c r="AO302" s="99" t="s">
        <v>2089</v>
      </c>
      <c r="AP302" s="213"/>
      <c r="AQ302" s="213"/>
      <c r="AR302" s="213"/>
      <c r="AS302" s="213"/>
      <c r="AT302" s="211">
        <v>44165</v>
      </c>
      <c r="AU302" s="213"/>
      <c r="AV302" s="211">
        <v>44896</v>
      </c>
      <c r="AW302" s="55" t="s">
        <v>2347</v>
      </c>
      <c r="AX302" s="55" t="s">
        <v>1519</v>
      </c>
      <c r="AY302" s="170"/>
      <c r="AZ302" s="170"/>
      <c r="BA302" s="170"/>
      <c r="BB302" s="170"/>
      <c r="BC302" s="170"/>
      <c r="BD302" s="170"/>
      <c r="BE302" s="170"/>
      <c r="BF302" s="170"/>
      <c r="BG302" s="170"/>
      <c r="BH302" s="170"/>
      <c r="BI302" s="170"/>
    </row>
    <row r="303" spans="1:61" x14ac:dyDescent="0.3">
      <c r="A303" s="43">
        <v>302</v>
      </c>
      <c r="B303" s="43">
        <v>37</v>
      </c>
      <c r="C303" s="118" t="s">
        <v>2543</v>
      </c>
      <c r="D303" s="101">
        <v>7</v>
      </c>
      <c r="E303" s="213" t="s">
        <v>2108</v>
      </c>
      <c r="F303" s="214" t="s">
        <v>2109</v>
      </c>
      <c r="G303" s="215">
        <v>32937</v>
      </c>
      <c r="H303" s="47">
        <f t="shared" si="60"/>
        <v>53756</v>
      </c>
      <c r="I303" s="48">
        <f t="shared" si="58"/>
        <v>53783</v>
      </c>
      <c r="J303" s="48">
        <v>53783</v>
      </c>
      <c r="K303" s="211">
        <v>44166</v>
      </c>
      <c r="L303" s="216" t="s">
        <v>726</v>
      </c>
      <c r="M303" s="207" t="s">
        <v>287</v>
      </c>
      <c r="N303" s="207" t="s">
        <v>281</v>
      </c>
      <c r="O303" s="211">
        <v>44166</v>
      </c>
      <c r="P303" s="217"/>
      <c r="Q303" s="207" t="s">
        <v>72</v>
      </c>
      <c r="R303" s="218">
        <v>1.41</v>
      </c>
      <c r="S303" s="218"/>
      <c r="T303" s="213"/>
      <c r="U303" s="52">
        <f t="shared" si="59"/>
        <v>6669300</v>
      </c>
      <c r="V303" s="52">
        <f t="shared" si="56"/>
        <v>0</v>
      </c>
      <c r="W303" s="52">
        <f t="shared" si="61"/>
        <v>0</v>
      </c>
      <c r="X303" s="52">
        <f t="shared" si="53"/>
        <v>6669300</v>
      </c>
      <c r="Y303" s="52">
        <f>+VLOOKUP(E303,[2]Sheet1!$B$11:$J$400,9,0)</f>
        <v>5865600</v>
      </c>
      <c r="Z303" s="52"/>
      <c r="AA303" s="53" t="s">
        <v>2119</v>
      </c>
      <c r="AB303" s="99"/>
      <c r="AC303" s="45" t="str">
        <f>+VLOOKUP(E303,[3]Sheet1!$B$11:$I$388,8,0)</f>
        <v>56 - 002</v>
      </c>
      <c r="AD303" s="99" t="s">
        <v>1787</v>
      </c>
      <c r="AE303" s="99" t="s">
        <v>2934</v>
      </c>
      <c r="AF303" s="219" t="s">
        <v>2110</v>
      </c>
      <c r="AG303" s="99">
        <f>+VALUE(AF303:AF689)</f>
        <v>225481597</v>
      </c>
      <c r="AH303" s="220" t="s">
        <v>2111</v>
      </c>
      <c r="AI303" s="221" t="s">
        <v>620</v>
      </c>
      <c r="AJ303" s="221" t="s">
        <v>2112</v>
      </c>
      <c r="AK303" s="101" t="s">
        <v>1383</v>
      </c>
      <c r="AL303" s="213"/>
      <c r="AM303" s="213"/>
      <c r="AN303" s="213"/>
      <c r="AO303" s="99" t="s">
        <v>2089</v>
      </c>
      <c r="AP303" s="99"/>
      <c r="AQ303" s="99"/>
      <c r="AR303" s="99"/>
      <c r="AS303" s="99"/>
      <c r="AT303" s="97">
        <v>43570</v>
      </c>
      <c r="AU303" s="99"/>
      <c r="AV303" s="97">
        <v>44301</v>
      </c>
      <c r="AW303" s="55" t="s">
        <v>2348</v>
      </c>
      <c r="AX303" s="55" t="s">
        <v>1519</v>
      </c>
    </row>
    <row r="304" spans="1:61" x14ac:dyDescent="0.3">
      <c r="A304" s="43">
        <v>303</v>
      </c>
      <c r="B304" s="43">
        <v>38</v>
      </c>
      <c r="C304" s="118" t="s">
        <v>2543</v>
      </c>
      <c r="D304" s="101">
        <v>8</v>
      </c>
      <c r="E304" s="99" t="s">
        <v>2495</v>
      </c>
      <c r="F304" s="100" t="s">
        <v>2496</v>
      </c>
      <c r="G304" s="205">
        <v>33598</v>
      </c>
      <c r="H304" s="47">
        <f t="shared" si="60"/>
        <v>54418</v>
      </c>
      <c r="I304" s="48">
        <f t="shared" si="58"/>
        <v>54424</v>
      </c>
      <c r="J304" s="48">
        <v>54424</v>
      </c>
      <c r="K304" s="97">
        <v>44562</v>
      </c>
      <c r="L304" s="216" t="s">
        <v>726</v>
      </c>
      <c r="M304" s="207" t="s">
        <v>287</v>
      </c>
      <c r="N304" s="118" t="s">
        <v>281</v>
      </c>
      <c r="O304" s="97">
        <v>44562</v>
      </c>
      <c r="P304" s="117"/>
      <c r="Q304" s="118" t="s">
        <v>72</v>
      </c>
      <c r="R304" s="119">
        <v>1.41</v>
      </c>
      <c r="S304" s="119"/>
      <c r="T304" s="99"/>
      <c r="U304" s="52">
        <f t="shared" si="59"/>
        <v>6669300</v>
      </c>
      <c r="V304" s="52">
        <f t="shared" si="56"/>
        <v>0</v>
      </c>
      <c r="W304" s="52">
        <f t="shared" si="61"/>
        <v>0</v>
      </c>
      <c r="X304" s="52">
        <f t="shared" si="53"/>
        <v>6669300</v>
      </c>
      <c r="Y304" s="52">
        <f>+VLOOKUP(E304,[2]Sheet1!$B$11:$J$400,9,0)</f>
        <v>5865600</v>
      </c>
      <c r="Z304" s="52"/>
      <c r="AA304" s="53" t="s">
        <v>2716</v>
      </c>
      <c r="AB304" s="99"/>
      <c r="AC304" s="45" t="str">
        <f>+VLOOKUP(E304,[3]Sheet1!$B$11:$I$388,8,0)</f>
        <v>56 - 105</v>
      </c>
      <c r="AD304" s="99" t="s">
        <v>1787</v>
      </c>
      <c r="AE304" s="99" t="s">
        <v>2944</v>
      </c>
      <c r="AF304" s="223" t="s">
        <v>2497</v>
      </c>
      <c r="AG304" s="99">
        <v>225445852</v>
      </c>
      <c r="AH304" s="205" t="s">
        <v>2498</v>
      </c>
      <c r="AI304" s="99" t="s">
        <v>620</v>
      </c>
      <c r="AJ304" s="99" t="s">
        <v>2499</v>
      </c>
      <c r="AK304" s="99" t="s">
        <v>2500</v>
      </c>
      <c r="AL304" s="99"/>
      <c r="AM304" s="99"/>
      <c r="AN304" s="99"/>
      <c r="AO304" s="99"/>
      <c r="AP304" s="99"/>
      <c r="AQ304" s="97"/>
      <c r="AR304" s="99"/>
      <c r="AS304" s="99"/>
      <c r="AT304" s="97"/>
      <c r="AU304" s="99"/>
      <c r="AV304" s="97"/>
      <c r="AW304" s="77" t="s">
        <v>2508</v>
      </c>
      <c r="AX304" s="55" t="s">
        <v>1519</v>
      </c>
    </row>
    <row r="305" spans="1:50" x14ac:dyDescent="0.3">
      <c r="A305" s="43">
        <v>304</v>
      </c>
      <c r="B305" s="43">
        <v>39</v>
      </c>
      <c r="C305" s="118" t="s">
        <v>2543</v>
      </c>
      <c r="D305" s="101">
        <v>9</v>
      </c>
      <c r="E305" s="99" t="s">
        <v>2579</v>
      </c>
      <c r="F305" s="100" t="s">
        <v>2580</v>
      </c>
      <c r="G305" s="205">
        <v>36654</v>
      </c>
      <c r="H305" s="47">
        <f t="shared" si="60"/>
        <v>57473</v>
      </c>
      <c r="I305" s="48">
        <f t="shared" si="58"/>
        <v>57497</v>
      </c>
      <c r="J305" s="48">
        <v>57497</v>
      </c>
      <c r="K305" s="97">
        <v>44896</v>
      </c>
      <c r="L305" s="216" t="s">
        <v>726</v>
      </c>
      <c r="M305" s="207" t="s">
        <v>287</v>
      </c>
      <c r="N305" s="118" t="s">
        <v>281</v>
      </c>
      <c r="O305" s="97">
        <v>44927</v>
      </c>
      <c r="P305" s="117"/>
      <c r="Q305" s="118" t="s">
        <v>72</v>
      </c>
      <c r="R305" s="119">
        <v>1.41</v>
      </c>
      <c r="S305" s="119"/>
      <c r="T305" s="99"/>
      <c r="U305" s="52">
        <f t="shared" si="59"/>
        <v>6669300</v>
      </c>
      <c r="V305" s="52">
        <f t="shared" si="56"/>
        <v>0</v>
      </c>
      <c r="W305" s="52">
        <f t="shared" si="61"/>
        <v>0</v>
      </c>
      <c r="X305" s="52">
        <f t="shared" si="53"/>
        <v>6669300</v>
      </c>
      <c r="Y305" s="52">
        <f>+VLOOKUP(E305,[2]Sheet1!$B$11:$J$400,9,0)</f>
        <v>5865600</v>
      </c>
      <c r="Z305" s="52"/>
      <c r="AA305" s="53" t="s">
        <v>2713</v>
      </c>
      <c r="AB305" s="99"/>
      <c r="AC305" s="45" t="str">
        <f>+VLOOKUP(E305,[3]Sheet1!$B$11:$I$388,8,0)</f>
        <v>52 - 008</v>
      </c>
      <c r="AD305" s="99" t="s">
        <v>1787</v>
      </c>
      <c r="AE305" s="99" t="s">
        <v>2936</v>
      </c>
      <c r="AF305" s="223" t="s">
        <v>2581</v>
      </c>
      <c r="AG305" s="99">
        <f>+VALUE(AF305:AF701)</f>
        <v>225621468</v>
      </c>
      <c r="AH305" s="205" t="s">
        <v>2582</v>
      </c>
      <c r="AI305" s="99" t="s">
        <v>620</v>
      </c>
      <c r="AJ305" s="99" t="s">
        <v>2583</v>
      </c>
      <c r="AK305" s="99" t="s">
        <v>2584</v>
      </c>
      <c r="AL305" s="99"/>
      <c r="AM305" s="99"/>
      <c r="AN305" s="99"/>
      <c r="AO305" s="99"/>
      <c r="AP305" s="99" t="s">
        <v>524</v>
      </c>
      <c r="AQ305" s="97">
        <v>44896</v>
      </c>
      <c r="AR305" s="99"/>
      <c r="AS305" s="99"/>
      <c r="AT305" s="97">
        <v>44927</v>
      </c>
      <c r="AU305" s="99"/>
      <c r="AV305" s="99"/>
      <c r="AW305" s="77" t="s">
        <v>2585</v>
      </c>
      <c r="AX305" s="55" t="s">
        <v>1519</v>
      </c>
    </row>
    <row r="306" spans="1:50" x14ac:dyDescent="0.3">
      <c r="A306" s="43">
        <v>305</v>
      </c>
      <c r="B306" s="43">
        <v>40</v>
      </c>
      <c r="C306" s="118" t="s">
        <v>2543</v>
      </c>
      <c r="D306" s="101">
        <v>10</v>
      </c>
      <c r="E306" s="99" t="s">
        <v>3061</v>
      </c>
      <c r="F306" s="100" t="s">
        <v>3062</v>
      </c>
      <c r="G306" s="205">
        <v>37536</v>
      </c>
      <c r="H306" s="47">
        <f t="shared" si="60"/>
        <v>58355</v>
      </c>
      <c r="I306" s="224">
        <f t="shared" si="58"/>
        <v>58380</v>
      </c>
      <c r="J306" s="224">
        <v>58380</v>
      </c>
      <c r="K306" s="97">
        <v>45139</v>
      </c>
      <c r="L306" s="216" t="s">
        <v>726</v>
      </c>
      <c r="M306" s="207" t="s">
        <v>287</v>
      </c>
      <c r="N306" s="118" t="s">
        <v>281</v>
      </c>
      <c r="O306" s="97">
        <v>45170</v>
      </c>
      <c r="P306" s="117"/>
      <c r="Q306" s="118" t="s">
        <v>72</v>
      </c>
      <c r="R306" s="119">
        <v>1.41</v>
      </c>
      <c r="S306" s="119"/>
      <c r="T306" s="99"/>
      <c r="U306" s="52">
        <f t="shared" si="59"/>
        <v>6669300</v>
      </c>
      <c r="V306" s="52">
        <f t="shared" si="56"/>
        <v>0</v>
      </c>
      <c r="W306" s="52">
        <f t="shared" si="61"/>
        <v>0</v>
      </c>
      <c r="X306" s="52">
        <f t="shared" si="53"/>
        <v>6669300</v>
      </c>
      <c r="Y306" s="52">
        <f>+VLOOKUP(E306,[2]Sheet1!$B$11:$J$400,9,0)</f>
        <v>5865600</v>
      </c>
      <c r="Z306" s="52"/>
      <c r="AA306" s="53" t="s">
        <v>3093</v>
      </c>
      <c r="AB306" s="99"/>
      <c r="AC306" s="45" t="str">
        <f>+VLOOKUP(E306,[3]Sheet1!$B$11:$I$388,8,0)</f>
        <v>56 - 002</v>
      </c>
      <c r="AD306" s="99" t="s">
        <v>1787</v>
      </c>
      <c r="AE306" s="201" t="s">
        <v>3063</v>
      </c>
      <c r="AF306" s="223"/>
      <c r="AG306" s="99"/>
      <c r="AH306" s="205" t="s">
        <v>3064</v>
      </c>
      <c r="AI306" s="99" t="s">
        <v>2427</v>
      </c>
      <c r="AJ306" s="99" t="s">
        <v>3065</v>
      </c>
      <c r="AK306" s="99"/>
      <c r="AL306" s="99"/>
      <c r="AM306" s="99"/>
      <c r="AN306" s="99" t="s">
        <v>1912</v>
      </c>
      <c r="AO306" s="99"/>
      <c r="AP306" s="99"/>
      <c r="AQ306" s="97">
        <v>45139</v>
      </c>
      <c r="AR306" s="99"/>
      <c r="AS306" s="97">
        <v>45170</v>
      </c>
      <c r="AT306" s="97"/>
      <c r="AU306" s="99"/>
      <c r="AV306" s="99"/>
      <c r="AW306" s="77" t="s">
        <v>3068</v>
      </c>
      <c r="AX306" s="55" t="s">
        <v>1519</v>
      </c>
    </row>
    <row r="307" spans="1:50" x14ac:dyDescent="0.3">
      <c r="A307" s="43">
        <v>306</v>
      </c>
      <c r="B307" s="43">
        <v>41</v>
      </c>
      <c r="C307" s="118" t="s">
        <v>2543</v>
      </c>
      <c r="D307" s="101">
        <v>11</v>
      </c>
      <c r="E307" s="99" t="s">
        <v>3092</v>
      </c>
      <c r="F307" s="223" t="s">
        <v>2505</v>
      </c>
      <c r="G307" s="205">
        <v>33856</v>
      </c>
      <c r="H307" s="47">
        <f t="shared" si="60"/>
        <v>54675</v>
      </c>
      <c r="I307" s="224">
        <f t="shared" si="58"/>
        <v>54697</v>
      </c>
      <c r="J307" s="224">
        <v>58381</v>
      </c>
      <c r="K307" s="97">
        <v>45261</v>
      </c>
      <c r="L307" s="216" t="s">
        <v>726</v>
      </c>
      <c r="M307" s="207" t="s">
        <v>287</v>
      </c>
      <c r="N307" s="118" t="s">
        <v>281</v>
      </c>
      <c r="O307" s="97">
        <v>45292</v>
      </c>
      <c r="P307" s="117"/>
      <c r="Q307" s="118" t="s">
        <v>72</v>
      </c>
      <c r="R307" s="119">
        <v>1.41</v>
      </c>
      <c r="S307" s="119"/>
      <c r="T307" s="99"/>
      <c r="U307" s="52">
        <f t="shared" si="59"/>
        <v>6669300</v>
      </c>
      <c r="V307" s="52">
        <f t="shared" si="56"/>
        <v>0</v>
      </c>
      <c r="W307" s="52">
        <f t="shared" si="61"/>
        <v>0</v>
      </c>
      <c r="X307" s="52">
        <f t="shared" si="53"/>
        <v>6669300</v>
      </c>
      <c r="Y307" s="52">
        <f>+VLOOKUP(E307,[2]Sheet1!$B$11:$J$400,9,0)</f>
        <v>5865600</v>
      </c>
      <c r="Z307" s="52"/>
      <c r="AA307" s="53" t="s">
        <v>3234</v>
      </c>
      <c r="AB307" s="99"/>
      <c r="AC307" s="45" t="e">
        <f>+VLOOKUP(E307,[3]Sheet1!$B$11:$I$388,8,0)</f>
        <v>#N/A</v>
      </c>
      <c r="AD307" s="99" t="s">
        <v>1787</v>
      </c>
      <c r="AE307" s="201" t="s">
        <v>3094</v>
      </c>
      <c r="AF307" s="223"/>
      <c r="AG307" s="99"/>
      <c r="AH307" s="205" t="s">
        <v>3067</v>
      </c>
      <c r="AI307" s="99" t="s">
        <v>2427</v>
      </c>
      <c r="AJ307" s="99" t="s">
        <v>3095</v>
      </c>
      <c r="AK307" s="99"/>
      <c r="AL307" s="99"/>
      <c r="AM307" s="99"/>
      <c r="AN307" s="99" t="s">
        <v>3096</v>
      </c>
      <c r="AO307" s="99"/>
      <c r="AP307" s="99"/>
      <c r="AQ307" s="97">
        <v>45261</v>
      </c>
      <c r="AR307" s="99"/>
      <c r="AS307" s="97">
        <v>45292</v>
      </c>
      <c r="AT307" s="97"/>
      <c r="AU307" s="99"/>
      <c r="AV307" s="97">
        <v>45658</v>
      </c>
      <c r="AW307" s="77" t="s">
        <v>3097</v>
      </c>
      <c r="AX307" s="55" t="s">
        <v>1519</v>
      </c>
    </row>
    <row r="308" spans="1:50" s="237" customFormat="1" x14ac:dyDescent="0.3">
      <c r="A308" s="43">
        <v>307</v>
      </c>
      <c r="B308" s="43">
        <v>42</v>
      </c>
      <c r="C308" s="118" t="s">
        <v>2543</v>
      </c>
      <c r="D308" s="101">
        <v>12</v>
      </c>
      <c r="E308" s="225" t="s">
        <v>2625</v>
      </c>
      <c r="F308" s="226" t="s">
        <v>2626</v>
      </c>
      <c r="G308" s="227">
        <v>36717</v>
      </c>
      <c r="H308" s="47">
        <f t="shared" si="60"/>
        <v>57536</v>
      </c>
      <c r="I308" s="224">
        <f t="shared" si="58"/>
        <v>57558</v>
      </c>
      <c r="J308" s="224">
        <v>57558</v>
      </c>
      <c r="K308" s="228">
        <v>44896</v>
      </c>
      <c r="L308" s="216" t="s">
        <v>726</v>
      </c>
      <c r="M308" s="229" t="s">
        <v>287</v>
      </c>
      <c r="N308" s="230" t="s">
        <v>281</v>
      </c>
      <c r="O308" s="228"/>
      <c r="P308" s="231"/>
      <c r="Q308" s="232" t="s">
        <v>72</v>
      </c>
      <c r="R308" s="230">
        <v>1.41</v>
      </c>
      <c r="S308" s="233"/>
      <c r="T308" s="234"/>
      <c r="U308" s="52">
        <f t="shared" si="59"/>
        <v>6669300</v>
      </c>
      <c r="V308" s="52">
        <f t="shared" si="56"/>
        <v>0</v>
      </c>
      <c r="W308" s="52">
        <f t="shared" si="61"/>
        <v>0</v>
      </c>
      <c r="X308" s="52">
        <f t="shared" si="53"/>
        <v>6669300</v>
      </c>
      <c r="Y308" s="52">
        <f>+VLOOKUP(E308,[2]Sheet1!$B$11:$J$400,9,0)</f>
        <v>5865600</v>
      </c>
      <c r="Z308" s="52"/>
      <c r="AA308" s="53" t="s">
        <v>2710</v>
      </c>
      <c r="AB308" s="234"/>
      <c r="AC308" s="45" t="str">
        <f>+VLOOKUP(E308,[3]Sheet1!$B$11:$I$388,8,0)</f>
        <v>60 - 004</v>
      </c>
      <c r="AD308" s="234" t="s">
        <v>1787</v>
      </c>
      <c r="AE308" s="234" t="s">
        <v>2627</v>
      </c>
      <c r="AF308" s="226" t="s">
        <v>2627</v>
      </c>
      <c r="AG308" s="234">
        <f>+VALUE(AF204:AF637)</f>
        <v>56200008543</v>
      </c>
      <c r="AH308" s="227" t="s">
        <v>2628</v>
      </c>
      <c r="AI308" s="234" t="s">
        <v>2427</v>
      </c>
      <c r="AJ308" s="234" t="s">
        <v>2629</v>
      </c>
      <c r="AK308" s="235"/>
      <c r="AL308" s="234"/>
      <c r="AM308" s="234"/>
      <c r="AN308" s="234"/>
      <c r="AO308" s="234"/>
      <c r="AP308" s="234" t="s">
        <v>2630</v>
      </c>
      <c r="AQ308" s="228">
        <v>44896</v>
      </c>
      <c r="AR308" s="234"/>
      <c r="AS308" s="234"/>
      <c r="AT308" s="228">
        <v>44927</v>
      </c>
      <c r="AU308" s="228"/>
      <c r="AV308" s="228"/>
      <c r="AW308" s="236" t="s">
        <v>2631</v>
      </c>
      <c r="AX308" s="55" t="s">
        <v>1519</v>
      </c>
    </row>
    <row r="309" spans="1:50" x14ac:dyDescent="0.3">
      <c r="A309" s="43">
        <v>308</v>
      </c>
      <c r="B309" s="43">
        <v>43</v>
      </c>
      <c r="C309" s="118" t="s">
        <v>2543</v>
      </c>
      <c r="D309" s="101">
        <v>13</v>
      </c>
      <c r="E309" s="99" t="s">
        <v>3150</v>
      </c>
      <c r="F309" s="223" t="s">
        <v>3151</v>
      </c>
      <c r="G309" s="205">
        <v>37266</v>
      </c>
      <c r="H309" s="47">
        <f t="shared" si="60"/>
        <v>58085</v>
      </c>
      <c r="I309" s="224">
        <f t="shared" si="58"/>
        <v>58107</v>
      </c>
      <c r="J309" s="224">
        <v>57559</v>
      </c>
      <c r="K309" s="97">
        <v>45292</v>
      </c>
      <c r="L309" s="216" t="s">
        <v>726</v>
      </c>
      <c r="M309" s="207" t="s">
        <v>287</v>
      </c>
      <c r="N309" s="118" t="s">
        <v>281</v>
      </c>
      <c r="O309" s="97">
        <v>45292</v>
      </c>
      <c r="P309" s="117"/>
      <c r="Q309" s="118" t="s">
        <v>72</v>
      </c>
      <c r="R309" s="119">
        <v>1.41</v>
      </c>
      <c r="S309" s="119"/>
      <c r="T309" s="99"/>
      <c r="U309" s="52">
        <f t="shared" si="59"/>
        <v>6669300</v>
      </c>
      <c r="V309" s="52">
        <f t="shared" si="56"/>
        <v>0</v>
      </c>
      <c r="W309" s="52">
        <f t="shared" si="61"/>
        <v>0</v>
      </c>
      <c r="X309" s="52">
        <f t="shared" si="53"/>
        <v>6669300</v>
      </c>
      <c r="Y309" s="52">
        <f>+VLOOKUP(E309,[2]Sheet1!$B$11:$J$400,9,0)</f>
        <v>5865600</v>
      </c>
      <c r="Z309" s="52"/>
      <c r="AA309" s="53" t="s">
        <v>3152</v>
      </c>
      <c r="AB309" s="99"/>
      <c r="AC309" s="45" t="e">
        <f>+VLOOKUP(E309,[3]Sheet1!$B$11:$I$388,8,0)</f>
        <v>#N/A</v>
      </c>
      <c r="AD309" s="99" t="s">
        <v>1787</v>
      </c>
      <c r="AE309" s="201" t="s">
        <v>3153</v>
      </c>
      <c r="AF309" s="223"/>
      <c r="AG309" s="99"/>
      <c r="AH309" s="205" t="s">
        <v>3154</v>
      </c>
      <c r="AI309" s="99" t="s">
        <v>2427</v>
      </c>
      <c r="AJ309" s="99" t="s">
        <v>2088</v>
      </c>
      <c r="AK309" s="99"/>
      <c r="AL309" s="99"/>
      <c r="AM309" s="99"/>
      <c r="AN309" s="99" t="s">
        <v>1912</v>
      </c>
      <c r="AO309" s="99"/>
      <c r="AP309" s="99"/>
      <c r="AQ309" s="97">
        <v>45261</v>
      </c>
      <c r="AR309" s="99"/>
      <c r="AS309" s="97">
        <v>45292</v>
      </c>
      <c r="AT309" s="97"/>
      <c r="AU309" s="99"/>
      <c r="AV309" s="97">
        <v>45658</v>
      </c>
      <c r="AW309" s="77" t="s">
        <v>3155</v>
      </c>
      <c r="AX309" s="55" t="s">
        <v>1519</v>
      </c>
    </row>
    <row r="310" spans="1:50" x14ac:dyDescent="0.3">
      <c r="A310" s="43">
        <v>309</v>
      </c>
      <c r="B310" s="43">
        <v>44</v>
      </c>
      <c r="C310" s="118" t="s">
        <v>2543</v>
      </c>
      <c r="D310" s="99">
        <v>1</v>
      </c>
      <c r="E310" s="97" t="s">
        <v>245</v>
      </c>
      <c r="F310" s="100" t="s">
        <v>459</v>
      </c>
      <c r="G310" s="97">
        <v>25690</v>
      </c>
      <c r="H310" s="47">
        <v>46328</v>
      </c>
      <c r="I310" s="224">
        <f t="shared" si="58"/>
        <v>46357</v>
      </c>
      <c r="J310" s="224">
        <v>46357</v>
      </c>
      <c r="K310" s="97">
        <v>35370</v>
      </c>
      <c r="L310" s="206" t="s">
        <v>727</v>
      </c>
      <c r="M310" s="207" t="s">
        <v>287</v>
      </c>
      <c r="N310" s="118" t="s">
        <v>286</v>
      </c>
      <c r="O310" s="97">
        <v>41091</v>
      </c>
      <c r="P310" s="117"/>
      <c r="Q310" s="118" t="s">
        <v>74</v>
      </c>
      <c r="R310" s="119">
        <v>1.68</v>
      </c>
      <c r="S310" s="119">
        <v>0.06</v>
      </c>
      <c r="T310" s="99"/>
      <c r="U310" s="52">
        <f t="shared" si="59"/>
        <v>7946400</v>
      </c>
      <c r="V310" s="52">
        <f t="shared" si="56"/>
        <v>264600</v>
      </c>
      <c r="W310" s="52">
        <f t="shared" si="61"/>
        <v>0</v>
      </c>
      <c r="X310" s="52">
        <f t="shared" si="53"/>
        <v>8211000</v>
      </c>
      <c r="Y310" s="52">
        <f>+VLOOKUP(E310,[2]Sheet1!$B$11:$J$400,9,0)</f>
        <v>7238400</v>
      </c>
      <c r="Z310" s="52"/>
      <c r="AA310" s="53" t="s">
        <v>1736</v>
      </c>
      <c r="AB310" s="99" t="s">
        <v>666</v>
      </c>
      <c r="AC310" s="45" t="str">
        <f>+VLOOKUP(E310,[3]Sheet1!$B$11:$I$388,8,0)</f>
        <v>56 - 105</v>
      </c>
      <c r="AD310" s="99" t="s">
        <v>1787</v>
      </c>
      <c r="AE310" s="99" t="s">
        <v>3157</v>
      </c>
      <c r="AF310" s="100">
        <v>220776744</v>
      </c>
      <c r="AG310" s="99">
        <f>+VALUE(AF310:AF686)</f>
        <v>220776744</v>
      </c>
      <c r="AH310" s="99" t="s">
        <v>3158</v>
      </c>
      <c r="AI310" s="99" t="s">
        <v>1360</v>
      </c>
      <c r="AJ310" s="99" t="s">
        <v>1392</v>
      </c>
      <c r="AK310" s="101" t="s">
        <v>1391</v>
      </c>
      <c r="AL310" s="99"/>
      <c r="AM310" s="99" t="s">
        <v>502</v>
      </c>
      <c r="AN310" s="99"/>
      <c r="AO310" s="99"/>
      <c r="AP310" s="99" t="s">
        <v>511</v>
      </c>
      <c r="AQ310" s="99"/>
      <c r="AR310" s="99"/>
      <c r="AS310" s="99"/>
      <c r="AT310" s="99"/>
      <c r="AU310" s="99"/>
      <c r="AV310" s="99"/>
      <c r="AW310" s="55" t="s">
        <v>3159</v>
      </c>
      <c r="AX310" s="55" t="s">
        <v>1519</v>
      </c>
    </row>
    <row r="311" spans="1:50" x14ac:dyDescent="0.3">
      <c r="A311" s="43">
        <v>310</v>
      </c>
      <c r="B311" s="43">
        <v>45</v>
      </c>
      <c r="C311" s="118" t="s">
        <v>2543</v>
      </c>
      <c r="D311" s="99">
        <v>2</v>
      </c>
      <c r="E311" s="97" t="s">
        <v>246</v>
      </c>
      <c r="F311" s="100" t="s">
        <v>460</v>
      </c>
      <c r="G311" s="97">
        <v>26826</v>
      </c>
      <c r="H311" s="47">
        <f>+DATE(YEAR(G311)+57,MONTH(G311),DAY(G311))</f>
        <v>47645</v>
      </c>
      <c r="I311" s="48">
        <f t="shared" si="58"/>
        <v>47665</v>
      </c>
      <c r="J311" s="48">
        <v>47665</v>
      </c>
      <c r="K311" s="97">
        <v>35004</v>
      </c>
      <c r="L311" s="206" t="s">
        <v>727</v>
      </c>
      <c r="M311" s="207" t="s">
        <v>287</v>
      </c>
      <c r="N311" s="118" t="s">
        <v>281</v>
      </c>
      <c r="O311" s="97">
        <v>40725</v>
      </c>
      <c r="P311" s="117"/>
      <c r="Q311" s="118" t="s">
        <v>74</v>
      </c>
      <c r="R311" s="119">
        <v>1.68</v>
      </c>
      <c r="S311" s="119"/>
      <c r="T311" s="99"/>
      <c r="U311" s="52">
        <f t="shared" si="59"/>
        <v>7946400</v>
      </c>
      <c r="V311" s="52">
        <f t="shared" si="56"/>
        <v>0</v>
      </c>
      <c r="W311" s="52">
        <f t="shared" si="61"/>
        <v>0</v>
      </c>
      <c r="X311" s="52">
        <f t="shared" si="53"/>
        <v>7946400</v>
      </c>
      <c r="Y311" s="52">
        <f>+VLOOKUP(E311,[2]Sheet1!$B$11:$J$400,9,0)</f>
        <v>6988800</v>
      </c>
      <c r="Z311" s="52"/>
      <c r="AA311" s="53" t="s">
        <v>1737</v>
      </c>
      <c r="AB311" s="99" t="s">
        <v>666</v>
      </c>
      <c r="AC311" s="45" t="str">
        <f>+VLOOKUP(E311,[3]Sheet1!$B$11:$I$388,8,0)</f>
        <v>56 - 105</v>
      </c>
      <c r="AD311" s="99" t="s">
        <v>1787</v>
      </c>
      <c r="AE311" s="209" t="s">
        <v>3362</v>
      </c>
      <c r="AF311" s="100">
        <v>220760545</v>
      </c>
      <c r="AG311" s="99">
        <f t="shared" ref="AG311:AG316" si="62">+VALUE(AF311:AF691)</f>
        <v>220760545</v>
      </c>
      <c r="AH311" s="99" t="s">
        <v>1393</v>
      </c>
      <c r="AI311" s="99" t="s">
        <v>1360</v>
      </c>
      <c r="AJ311" s="99" t="s">
        <v>1392</v>
      </c>
      <c r="AK311" s="101" t="s">
        <v>1394</v>
      </c>
      <c r="AL311" s="99"/>
      <c r="AM311" s="99"/>
      <c r="AN311" s="99"/>
      <c r="AO311" s="99"/>
      <c r="AP311" s="99" t="s">
        <v>511</v>
      </c>
      <c r="AQ311" s="99"/>
      <c r="AR311" s="99"/>
      <c r="AS311" s="99"/>
      <c r="AT311" s="99"/>
      <c r="AU311" s="99"/>
      <c r="AV311" s="99"/>
      <c r="AW311" s="55" t="s">
        <v>2350</v>
      </c>
      <c r="AX311" s="55" t="s">
        <v>1519</v>
      </c>
    </row>
    <row r="312" spans="1:50" x14ac:dyDescent="0.3">
      <c r="A312" s="43">
        <v>311</v>
      </c>
      <c r="B312" s="43">
        <v>46</v>
      </c>
      <c r="C312" s="118" t="s">
        <v>2543</v>
      </c>
      <c r="D312" s="99">
        <v>3</v>
      </c>
      <c r="E312" s="97" t="s">
        <v>247</v>
      </c>
      <c r="F312" s="100" t="s">
        <v>461</v>
      </c>
      <c r="G312" s="97">
        <v>25965</v>
      </c>
      <c r="H312" s="47">
        <v>46692</v>
      </c>
      <c r="I312" s="48">
        <f t="shared" si="58"/>
        <v>46722</v>
      </c>
      <c r="J312" s="48">
        <v>46722</v>
      </c>
      <c r="K312" s="97">
        <v>33878</v>
      </c>
      <c r="L312" s="206" t="s">
        <v>727</v>
      </c>
      <c r="M312" s="207" t="s">
        <v>287</v>
      </c>
      <c r="N312" s="118" t="s">
        <v>281</v>
      </c>
      <c r="O312" s="97">
        <v>42979</v>
      </c>
      <c r="P312" s="117"/>
      <c r="Q312" s="238" t="s">
        <v>74</v>
      </c>
      <c r="R312" s="118">
        <v>1.68</v>
      </c>
      <c r="S312" s="119"/>
      <c r="T312" s="99"/>
      <c r="U312" s="52">
        <f t="shared" si="59"/>
        <v>7946400</v>
      </c>
      <c r="V312" s="52">
        <f t="shared" ref="V312:V349" si="63">+S312*4410000</f>
        <v>0</v>
      </c>
      <c r="W312" s="52">
        <f t="shared" si="61"/>
        <v>0</v>
      </c>
      <c r="X312" s="52">
        <f t="shared" si="53"/>
        <v>7946400</v>
      </c>
      <c r="Y312" s="52">
        <f>+VLOOKUP(E312,[2]Sheet1!$B$11:$J$400,9,0)</f>
        <v>6988800</v>
      </c>
      <c r="Z312" s="52"/>
      <c r="AA312" s="53" t="s">
        <v>1738</v>
      </c>
      <c r="AB312" s="99" t="s">
        <v>1390</v>
      </c>
      <c r="AC312" s="45" t="str">
        <f>+VLOOKUP(E312,[3]Sheet1!$B$11:$I$388,8,0)</f>
        <v>56 - 003</v>
      </c>
      <c r="AD312" s="99" t="s">
        <v>1787</v>
      </c>
      <c r="AE312" s="99" t="s">
        <v>2938</v>
      </c>
      <c r="AF312" s="100">
        <v>225066442</v>
      </c>
      <c r="AG312" s="99">
        <f t="shared" si="62"/>
        <v>225066442</v>
      </c>
      <c r="AH312" s="99" t="s">
        <v>1241</v>
      </c>
      <c r="AI312" s="99" t="s">
        <v>1360</v>
      </c>
      <c r="AJ312" s="99" t="s">
        <v>1395</v>
      </c>
      <c r="AK312" s="101" t="s">
        <v>1391</v>
      </c>
      <c r="AL312" s="99"/>
      <c r="AM312" s="99"/>
      <c r="AN312" s="99"/>
      <c r="AO312" s="99"/>
      <c r="AP312" s="99" t="s">
        <v>511</v>
      </c>
      <c r="AQ312" s="99"/>
      <c r="AR312" s="99"/>
      <c r="AS312" s="99"/>
      <c r="AT312" s="99"/>
      <c r="AU312" s="99"/>
      <c r="AV312" s="99"/>
      <c r="AW312" s="55" t="s">
        <v>2351</v>
      </c>
      <c r="AX312" s="55" t="s">
        <v>1519</v>
      </c>
    </row>
    <row r="313" spans="1:50" x14ac:dyDescent="0.3">
      <c r="A313" s="43">
        <v>312</v>
      </c>
      <c r="B313" s="43">
        <v>47</v>
      </c>
      <c r="C313" s="118" t="s">
        <v>2543</v>
      </c>
      <c r="D313" s="99">
        <v>4</v>
      </c>
      <c r="E313" s="97" t="s">
        <v>248</v>
      </c>
      <c r="F313" s="100" t="s">
        <v>462</v>
      </c>
      <c r="G313" s="97">
        <v>25843</v>
      </c>
      <c r="H313" s="47">
        <v>46570</v>
      </c>
      <c r="I313" s="48">
        <f t="shared" si="58"/>
        <v>46600</v>
      </c>
      <c r="J313" s="48">
        <v>46600</v>
      </c>
      <c r="K313" s="97">
        <v>34639</v>
      </c>
      <c r="L313" s="206" t="s">
        <v>727</v>
      </c>
      <c r="M313" s="207" t="s">
        <v>287</v>
      </c>
      <c r="N313" s="118" t="s">
        <v>281</v>
      </c>
      <c r="O313" s="97">
        <v>39995</v>
      </c>
      <c r="P313" s="117"/>
      <c r="Q313" s="118" t="s">
        <v>74</v>
      </c>
      <c r="R313" s="119">
        <v>1.68</v>
      </c>
      <c r="S313" s="119"/>
      <c r="T313" s="99"/>
      <c r="U313" s="52">
        <f t="shared" si="59"/>
        <v>7946400</v>
      </c>
      <c r="V313" s="52">
        <f t="shared" si="63"/>
        <v>0</v>
      </c>
      <c r="W313" s="52">
        <f t="shared" si="61"/>
        <v>0</v>
      </c>
      <c r="X313" s="52">
        <f t="shared" si="53"/>
        <v>7946400</v>
      </c>
      <c r="Y313" s="52">
        <f>+VLOOKUP(E313,[2]Sheet1!$B$11:$J$400,9,0)</f>
        <v>6988800</v>
      </c>
      <c r="Z313" s="52"/>
      <c r="AA313" s="53" t="s">
        <v>1739</v>
      </c>
      <c r="AB313" s="99" t="s">
        <v>666</v>
      </c>
      <c r="AC313" s="45" t="str">
        <f>+VLOOKUP(E313,[3]Sheet1!$B$11:$I$388,8,0)</f>
        <v>56 - 105</v>
      </c>
      <c r="AD313" s="99" t="s">
        <v>1787</v>
      </c>
      <c r="AE313" s="99" t="s">
        <v>2939</v>
      </c>
      <c r="AF313" s="100">
        <v>220765793</v>
      </c>
      <c r="AG313" s="99">
        <f t="shared" si="62"/>
        <v>220765793</v>
      </c>
      <c r="AH313" s="99" t="s">
        <v>1396</v>
      </c>
      <c r="AI313" s="99" t="s">
        <v>1360</v>
      </c>
      <c r="AJ313" s="99" t="s">
        <v>1392</v>
      </c>
      <c r="AK313" s="101" t="s">
        <v>1391</v>
      </c>
      <c r="AL313" s="99"/>
      <c r="AM313" s="99"/>
      <c r="AN313" s="99"/>
      <c r="AO313" s="99"/>
      <c r="AP313" s="99" t="s">
        <v>511</v>
      </c>
      <c r="AQ313" s="99"/>
      <c r="AR313" s="99"/>
      <c r="AS313" s="99"/>
      <c r="AT313" s="99"/>
      <c r="AU313" s="99"/>
      <c r="AV313" s="99"/>
      <c r="AW313" s="55" t="s">
        <v>2352</v>
      </c>
      <c r="AX313" s="55" t="s">
        <v>1519</v>
      </c>
    </row>
    <row r="314" spans="1:50" x14ac:dyDescent="0.3">
      <c r="A314" s="43">
        <v>313</v>
      </c>
      <c r="B314" s="43">
        <v>48</v>
      </c>
      <c r="C314" s="118" t="s">
        <v>2543</v>
      </c>
      <c r="D314" s="99">
        <v>5</v>
      </c>
      <c r="E314" s="97" t="s">
        <v>249</v>
      </c>
      <c r="F314" s="100" t="s">
        <v>463</v>
      </c>
      <c r="G314" s="97">
        <v>33260</v>
      </c>
      <c r="H314" s="47">
        <f>+DATE(YEAR(G314)+57,MONTH(G314),DAY(G314))</f>
        <v>54079</v>
      </c>
      <c r="I314" s="48">
        <f t="shared" si="58"/>
        <v>54089</v>
      </c>
      <c r="J314" s="48">
        <v>54089</v>
      </c>
      <c r="K314" s="97">
        <v>41671</v>
      </c>
      <c r="L314" s="206" t="s">
        <v>727</v>
      </c>
      <c r="M314" s="207" t="s">
        <v>287</v>
      </c>
      <c r="N314" s="118" t="s">
        <v>285</v>
      </c>
      <c r="O314" s="97">
        <v>45505</v>
      </c>
      <c r="P314" s="117"/>
      <c r="Q314" s="118" t="s">
        <v>76</v>
      </c>
      <c r="R314" s="119">
        <v>1.58</v>
      </c>
      <c r="S314" s="119">
        <v>0.04</v>
      </c>
      <c r="T314" s="99"/>
      <c r="U314" s="52">
        <f t="shared" si="59"/>
        <v>7473400</v>
      </c>
      <c r="V314" s="52">
        <f t="shared" si="63"/>
        <v>176400</v>
      </c>
      <c r="W314" s="52">
        <f t="shared" si="61"/>
        <v>0</v>
      </c>
      <c r="X314" s="52">
        <f t="shared" si="53"/>
        <v>7649800</v>
      </c>
      <c r="Y314" s="52">
        <f>+VLOOKUP(E314,[2]Sheet1!$B$11:$J$400,9,0)</f>
        <v>6364800</v>
      </c>
      <c r="Z314" s="52"/>
      <c r="AA314" s="53" t="s">
        <v>1740</v>
      </c>
      <c r="AB314" s="99" t="s">
        <v>666</v>
      </c>
      <c r="AC314" s="45" t="str">
        <f>+VLOOKUP(E314,[3]Sheet1!$B$11:$I$388,8,0)</f>
        <v>56 - 105</v>
      </c>
      <c r="AD314" s="99" t="s">
        <v>1787</v>
      </c>
      <c r="AE314" s="99" t="s">
        <v>2940</v>
      </c>
      <c r="AF314" s="100">
        <v>225514175</v>
      </c>
      <c r="AG314" s="99">
        <f t="shared" si="62"/>
        <v>225514175</v>
      </c>
      <c r="AH314" s="99" t="s">
        <v>983</v>
      </c>
      <c r="AI314" s="99" t="s">
        <v>1360</v>
      </c>
      <c r="AJ314" s="99" t="s">
        <v>1392</v>
      </c>
      <c r="AK314" s="101" t="s">
        <v>1391</v>
      </c>
      <c r="AL314" s="99"/>
      <c r="AM314" s="99"/>
      <c r="AN314" s="99"/>
      <c r="AO314" s="99"/>
      <c r="AP314" s="99" t="s">
        <v>511</v>
      </c>
      <c r="AQ314" s="99"/>
      <c r="AR314" s="99"/>
      <c r="AS314" s="99"/>
      <c r="AT314" s="99"/>
      <c r="AU314" s="99"/>
      <c r="AV314" s="99"/>
      <c r="AW314" s="55" t="s">
        <v>2353</v>
      </c>
      <c r="AX314" s="55" t="s">
        <v>1519</v>
      </c>
    </row>
    <row r="315" spans="1:50" x14ac:dyDescent="0.3">
      <c r="A315" s="43">
        <v>314</v>
      </c>
      <c r="B315" s="43">
        <v>49</v>
      </c>
      <c r="C315" s="118" t="s">
        <v>2543</v>
      </c>
      <c r="D315" s="99">
        <v>6</v>
      </c>
      <c r="E315" s="99" t="s">
        <v>250</v>
      </c>
      <c r="F315" s="100" t="s">
        <v>464</v>
      </c>
      <c r="G315" s="97">
        <v>34396</v>
      </c>
      <c r="H315" s="47">
        <f>+DATE(YEAR(G315)+57,MONTH(G315),DAY(G315))</f>
        <v>55215</v>
      </c>
      <c r="I315" s="48">
        <f t="shared" ref="I315:I346" si="64">+EOMONTH(H315,0)+1</f>
        <v>55244</v>
      </c>
      <c r="J315" s="48">
        <v>55244</v>
      </c>
      <c r="K315" s="97">
        <v>41671</v>
      </c>
      <c r="L315" s="206" t="s">
        <v>727</v>
      </c>
      <c r="M315" s="207" t="s">
        <v>287</v>
      </c>
      <c r="N315" s="118" t="s">
        <v>281</v>
      </c>
      <c r="O315" s="97">
        <v>45839</v>
      </c>
      <c r="P315" s="117"/>
      <c r="Q315" s="118" t="s">
        <v>76</v>
      </c>
      <c r="R315" s="119">
        <v>1.58</v>
      </c>
      <c r="S315" s="119"/>
      <c r="T315" s="99"/>
      <c r="U315" s="52">
        <f t="shared" si="59"/>
        <v>7473400</v>
      </c>
      <c r="V315" s="52">
        <f t="shared" si="63"/>
        <v>0</v>
      </c>
      <c r="W315" s="52">
        <f t="shared" si="61"/>
        <v>0</v>
      </c>
      <c r="X315" s="52">
        <f t="shared" si="53"/>
        <v>7473400</v>
      </c>
      <c r="Y315" s="52">
        <f>+VLOOKUP(E315,[2]Sheet1!$B$11:$J$400,9,0)</f>
        <v>6198400</v>
      </c>
      <c r="Z315" s="52"/>
      <c r="AA315" s="53" t="s">
        <v>1741</v>
      </c>
      <c r="AB315" s="99" t="s">
        <v>666</v>
      </c>
      <c r="AC315" s="45" t="str">
        <f>+VLOOKUP(E315,[3]Sheet1!$B$11:$I$388,8,0)</f>
        <v>56 - 105</v>
      </c>
      <c r="AD315" s="99" t="s">
        <v>1787</v>
      </c>
      <c r="AE315" s="99" t="s">
        <v>2941</v>
      </c>
      <c r="AF315" s="100" t="s">
        <v>1397</v>
      </c>
      <c r="AG315" s="99">
        <f t="shared" si="62"/>
        <v>225551177</v>
      </c>
      <c r="AH315" s="99" t="s">
        <v>1398</v>
      </c>
      <c r="AI315" s="99" t="s">
        <v>620</v>
      </c>
      <c r="AJ315" s="99" t="s">
        <v>1392</v>
      </c>
      <c r="AK315" s="101" t="s">
        <v>1391</v>
      </c>
      <c r="AL315" s="99"/>
      <c r="AM315" s="99"/>
      <c r="AN315" s="99"/>
      <c r="AO315" s="99"/>
      <c r="AP315" s="99" t="s">
        <v>511</v>
      </c>
      <c r="AQ315" s="99"/>
      <c r="AR315" s="99"/>
      <c r="AS315" s="99"/>
      <c r="AT315" s="99"/>
      <c r="AU315" s="99"/>
      <c r="AV315" s="99"/>
      <c r="AW315" s="55" t="s">
        <v>2354</v>
      </c>
      <c r="AX315" s="55" t="s">
        <v>1519</v>
      </c>
    </row>
    <row r="316" spans="1:50" x14ac:dyDescent="0.3">
      <c r="A316" s="43">
        <v>315</v>
      </c>
      <c r="B316" s="43">
        <v>50</v>
      </c>
      <c r="C316" s="118" t="s">
        <v>2543</v>
      </c>
      <c r="D316" s="99">
        <v>7</v>
      </c>
      <c r="E316" s="97" t="s">
        <v>251</v>
      </c>
      <c r="F316" s="100" t="s">
        <v>465</v>
      </c>
      <c r="G316" s="97">
        <v>25756</v>
      </c>
      <c r="H316" s="47">
        <v>46484</v>
      </c>
      <c r="I316" s="48">
        <f t="shared" si="64"/>
        <v>46508</v>
      </c>
      <c r="J316" s="48">
        <v>46508</v>
      </c>
      <c r="K316" s="97">
        <v>36586</v>
      </c>
      <c r="L316" s="206" t="s">
        <v>727</v>
      </c>
      <c r="M316" s="207" t="s">
        <v>287</v>
      </c>
      <c r="N316" s="118" t="s">
        <v>281</v>
      </c>
      <c r="O316" s="97">
        <v>45839</v>
      </c>
      <c r="P316" s="117"/>
      <c r="Q316" s="118" t="s">
        <v>74</v>
      </c>
      <c r="R316" s="119">
        <v>1.68</v>
      </c>
      <c r="S316" s="119"/>
      <c r="T316" s="99"/>
      <c r="U316" s="52">
        <f t="shared" si="59"/>
        <v>7946400</v>
      </c>
      <c r="V316" s="52">
        <f t="shared" si="63"/>
        <v>0</v>
      </c>
      <c r="W316" s="52">
        <f t="shared" si="61"/>
        <v>0</v>
      </c>
      <c r="X316" s="52">
        <f t="shared" si="53"/>
        <v>7946400</v>
      </c>
      <c r="Y316" s="52">
        <f>+VLOOKUP(E316,[2]Sheet1!$B$11:$J$400,9,0)</f>
        <v>6572800</v>
      </c>
      <c r="Z316" s="52"/>
      <c r="AA316" s="53" t="s">
        <v>1742</v>
      </c>
      <c r="AB316" s="99" t="s">
        <v>669</v>
      </c>
      <c r="AC316" s="45" t="str">
        <f>+VLOOKUP(E316,[3]Sheet1!$B$11:$I$388,8,0)</f>
        <v>56 - 183</v>
      </c>
      <c r="AD316" s="99" t="s">
        <v>1787</v>
      </c>
      <c r="AE316" s="99" t="s">
        <v>2942</v>
      </c>
      <c r="AF316" s="100">
        <v>220785057</v>
      </c>
      <c r="AG316" s="99">
        <f t="shared" si="62"/>
        <v>220785057</v>
      </c>
      <c r="AH316" s="99" t="s">
        <v>1399</v>
      </c>
      <c r="AI316" s="99" t="s">
        <v>620</v>
      </c>
      <c r="AJ316" s="99" t="s">
        <v>1400</v>
      </c>
      <c r="AK316" s="101" t="s">
        <v>1401</v>
      </c>
      <c r="AL316" s="99"/>
      <c r="AM316" s="99"/>
      <c r="AN316" s="99"/>
      <c r="AO316" s="99" t="s">
        <v>573</v>
      </c>
      <c r="AP316" s="99"/>
      <c r="AQ316" s="99"/>
      <c r="AR316" s="99"/>
      <c r="AS316" s="99"/>
      <c r="AT316" s="99"/>
      <c r="AU316" s="99"/>
      <c r="AV316" s="99"/>
      <c r="AW316" s="55" t="s">
        <v>2355</v>
      </c>
      <c r="AX316" s="55" t="s">
        <v>1519</v>
      </c>
    </row>
    <row r="317" spans="1:50" x14ac:dyDescent="0.3">
      <c r="A317" s="43">
        <v>316</v>
      </c>
      <c r="B317" s="43">
        <v>51</v>
      </c>
      <c r="C317" s="118" t="s">
        <v>2543</v>
      </c>
      <c r="D317" s="99">
        <v>8</v>
      </c>
      <c r="E317" s="99" t="s">
        <v>1897</v>
      </c>
      <c r="F317" s="100" t="s">
        <v>1898</v>
      </c>
      <c r="G317" s="97">
        <v>34634</v>
      </c>
      <c r="H317" s="47">
        <f t="shared" ref="H317:H349" si="65">+DATE(YEAR(G317)+57,MONTH(G317),DAY(G317))</f>
        <v>55453</v>
      </c>
      <c r="I317" s="48">
        <f t="shared" si="64"/>
        <v>55458</v>
      </c>
      <c r="J317" s="48">
        <v>55458</v>
      </c>
      <c r="K317" s="97">
        <v>43542</v>
      </c>
      <c r="L317" s="206" t="s">
        <v>727</v>
      </c>
      <c r="M317" s="207" t="s">
        <v>287</v>
      </c>
      <c r="N317" s="118" t="s">
        <v>281</v>
      </c>
      <c r="O317" s="97">
        <v>45505</v>
      </c>
      <c r="P317" s="117"/>
      <c r="Q317" s="200" t="s">
        <v>71</v>
      </c>
      <c r="R317" s="119">
        <v>1.49</v>
      </c>
      <c r="S317" s="119"/>
      <c r="T317" s="99"/>
      <c r="U317" s="52">
        <f t="shared" si="59"/>
        <v>7047700</v>
      </c>
      <c r="V317" s="52">
        <f t="shared" si="63"/>
        <v>0</v>
      </c>
      <c r="W317" s="52">
        <f t="shared" si="61"/>
        <v>0</v>
      </c>
      <c r="X317" s="52">
        <f t="shared" si="53"/>
        <v>7047700</v>
      </c>
      <c r="Y317" s="52">
        <f>+VLOOKUP(E317,[2]Sheet1!$B$11:$J$400,9,0)</f>
        <v>5865600</v>
      </c>
      <c r="Z317" s="52"/>
      <c r="AA317" s="53" t="s">
        <v>1934</v>
      </c>
      <c r="AB317" s="99" t="s">
        <v>666</v>
      </c>
      <c r="AC317" s="45" t="str">
        <f>+VLOOKUP(E317,[3]Sheet1!$B$11:$I$388,8,0)</f>
        <v>56 - 105</v>
      </c>
      <c r="AD317" s="99" t="s">
        <v>1787</v>
      </c>
      <c r="AE317" s="201" t="s">
        <v>3077</v>
      </c>
      <c r="AF317" s="100" t="s">
        <v>1899</v>
      </c>
      <c r="AG317" s="99">
        <f>+VALUE(AF317:AF698)</f>
        <v>225656932</v>
      </c>
      <c r="AH317" s="205" t="s">
        <v>1900</v>
      </c>
      <c r="AI317" s="99" t="s">
        <v>620</v>
      </c>
      <c r="AJ317" s="99" t="s">
        <v>1901</v>
      </c>
      <c r="AK317" s="101" t="s">
        <v>1940</v>
      </c>
      <c r="AL317" s="99"/>
      <c r="AM317" s="99"/>
      <c r="AN317" s="99"/>
      <c r="AO317" s="99" t="s">
        <v>578</v>
      </c>
      <c r="AP317" s="99"/>
      <c r="AQ317" s="99"/>
      <c r="AR317" s="99"/>
      <c r="AS317" s="99"/>
      <c r="AT317" s="97">
        <v>44001</v>
      </c>
      <c r="AU317" s="99"/>
      <c r="AV317" s="97">
        <v>44732</v>
      </c>
      <c r="AW317" s="55" t="s">
        <v>2358</v>
      </c>
      <c r="AX317" s="55" t="s">
        <v>1519</v>
      </c>
    </row>
    <row r="318" spans="1:50" x14ac:dyDescent="0.3">
      <c r="A318" s="43">
        <v>317</v>
      </c>
      <c r="B318" s="43">
        <v>52</v>
      </c>
      <c r="C318" s="118" t="s">
        <v>2543</v>
      </c>
      <c r="D318" s="99">
        <v>9</v>
      </c>
      <c r="E318" s="99" t="s">
        <v>2077</v>
      </c>
      <c r="F318" s="100" t="s">
        <v>2081</v>
      </c>
      <c r="G318" s="205">
        <v>35177</v>
      </c>
      <c r="H318" s="47">
        <f t="shared" si="65"/>
        <v>55996</v>
      </c>
      <c r="I318" s="48">
        <f t="shared" si="64"/>
        <v>56005</v>
      </c>
      <c r="J318" s="48">
        <v>56005</v>
      </c>
      <c r="K318" s="97">
        <v>44032</v>
      </c>
      <c r="L318" s="206" t="s">
        <v>727</v>
      </c>
      <c r="M318" s="207" t="s">
        <v>287</v>
      </c>
      <c r="N318" s="118" t="s">
        <v>281</v>
      </c>
      <c r="O318" s="97">
        <v>45139</v>
      </c>
      <c r="P318" s="117"/>
      <c r="Q318" s="238" t="s">
        <v>71</v>
      </c>
      <c r="R318" s="118">
        <v>1.49</v>
      </c>
      <c r="S318" s="119"/>
      <c r="T318" s="99"/>
      <c r="U318" s="52">
        <f t="shared" si="59"/>
        <v>7047700</v>
      </c>
      <c r="V318" s="52">
        <f t="shared" si="63"/>
        <v>0</v>
      </c>
      <c r="W318" s="52">
        <f t="shared" si="61"/>
        <v>0</v>
      </c>
      <c r="X318" s="52">
        <f t="shared" si="53"/>
        <v>7047700</v>
      </c>
      <c r="Y318" s="52">
        <f>+VLOOKUP(E318,[2]Sheet1!$B$11:$J$400,9,0)</f>
        <v>6198400</v>
      </c>
      <c r="Z318" s="52"/>
      <c r="AA318" s="53" t="s">
        <v>2715</v>
      </c>
      <c r="AB318" s="99"/>
      <c r="AC318" s="45" t="str">
        <f>+VLOOKUP(E318,[3]Sheet1!$B$11:$I$388,8,0)</f>
        <v>56 - 003</v>
      </c>
      <c r="AD318" s="99" t="s">
        <v>1787</v>
      </c>
      <c r="AE318" s="99" t="s">
        <v>2943</v>
      </c>
      <c r="AF318" s="223" t="s">
        <v>2079</v>
      </c>
      <c r="AG318" s="99">
        <f>+VALUE(AF318:AF701)</f>
        <v>225670560</v>
      </c>
      <c r="AH318" s="205" t="s">
        <v>2078</v>
      </c>
      <c r="AI318" s="99" t="s">
        <v>620</v>
      </c>
      <c r="AJ318" s="99" t="s">
        <v>2100</v>
      </c>
      <c r="AK318" s="99">
        <v>22573</v>
      </c>
      <c r="AL318" s="99"/>
      <c r="AM318" s="99"/>
      <c r="AN318" s="99" t="s">
        <v>2080</v>
      </c>
      <c r="AO318" s="99"/>
      <c r="AP318" s="99" t="s">
        <v>524</v>
      </c>
      <c r="AQ318" s="97">
        <v>44531</v>
      </c>
      <c r="AR318" s="99"/>
      <c r="AS318" s="99"/>
      <c r="AT318" s="97">
        <v>44562</v>
      </c>
      <c r="AU318" s="99"/>
      <c r="AV318" s="97">
        <v>45292</v>
      </c>
      <c r="AW318" s="77" t="s">
        <v>2501</v>
      </c>
      <c r="AX318" s="55" t="s">
        <v>1519</v>
      </c>
    </row>
    <row r="319" spans="1:50" x14ac:dyDescent="0.3">
      <c r="A319" s="43">
        <v>318</v>
      </c>
      <c r="B319" s="43">
        <v>53</v>
      </c>
      <c r="C319" s="118" t="s">
        <v>2543</v>
      </c>
      <c r="D319" s="99">
        <v>10</v>
      </c>
      <c r="E319" s="99" t="s">
        <v>2554</v>
      </c>
      <c r="F319" s="100" t="s">
        <v>2555</v>
      </c>
      <c r="G319" s="205">
        <v>37662</v>
      </c>
      <c r="H319" s="47">
        <f t="shared" si="65"/>
        <v>58481</v>
      </c>
      <c r="I319" s="48">
        <f t="shared" si="64"/>
        <v>58501</v>
      </c>
      <c r="J319" s="48">
        <v>58501</v>
      </c>
      <c r="K319" s="97">
        <v>44896</v>
      </c>
      <c r="L319" s="206" t="s">
        <v>727</v>
      </c>
      <c r="M319" s="207" t="s">
        <v>287</v>
      </c>
      <c r="N319" s="118" t="s">
        <v>281</v>
      </c>
      <c r="O319" s="97">
        <v>44927</v>
      </c>
      <c r="P319" s="117"/>
      <c r="Q319" s="118" t="s">
        <v>72</v>
      </c>
      <c r="R319" s="119">
        <v>1.41</v>
      </c>
      <c r="S319" s="119"/>
      <c r="T319" s="99"/>
      <c r="U319" s="52">
        <f t="shared" si="59"/>
        <v>6669300</v>
      </c>
      <c r="V319" s="52">
        <f t="shared" si="63"/>
        <v>0</v>
      </c>
      <c r="W319" s="52">
        <f t="shared" si="61"/>
        <v>0</v>
      </c>
      <c r="X319" s="52">
        <f t="shared" si="53"/>
        <v>6669300</v>
      </c>
      <c r="Y319" s="52">
        <f>+VLOOKUP(E319,[2]Sheet1!$B$11:$J$400,9,0)</f>
        <v>5865600</v>
      </c>
      <c r="Z319" s="52"/>
      <c r="AA319" s="53" t="s">
        <v>2728</v>
      </c>
      <c r="AB319" s="99" t="s">
        <v>666</v>
      </c>
      <c r="AC319" s="45" t="str">
        <f>+VLOOKUP(E319,[3]Sheet1!$B$11:$I$388,8,0)</f>
        <v>54 - 031</v>
      </c>
      <c r="AD319" s="99" t="s">
        <v>1787</v>
      </c>
      <c r="AE319" s="99" t="s">
        <v>2556</v>
      </c>
      <c r="AF319" s="100" t="s">
        <v>2556</v>
      </c>
      <c r="AG319" s="100" t="s">
        <v>2556</v>
      </c>
      <c r="AH319" s="201" t="s">
        <v>2557</v>
      </c>
      <c r="AI319" s="99" t="s">
        <v>2427</v>
      </c>
      <c r="AJ319" s="99" t="s">
        <v>2558</v>
      </c>
      <c r="AK319" s="101" t="s">
        <v>2559</v>
      </c>
      <c r="AL319" s="99"/>
      <c r="AM319" s="99"/>
      <c r="AN319" s="99"/>
      <c r="AO319" s="99"/>
      <c r="AP319" s="99" t="s">
        <v>524</v>
      </c>
      <c r="AQ319" s="97">
        <v>44896</v>
      </c>
      <c r="AR319" s="99"/>
      <c r="AS319" s="99"/>
      <c r="AT319" s="97">
        <v>44927</v>
      </c>
      <c r="AU319" s="99"/>
      <c r="AV319" s="99"/>
      <c r="AX319" s="55" t="s">
        <v>1519</v>
      </c>
    </row>
    <row r="320" spans="1:50" x14ac:dyDescent="0.3">
      <c r="A320" s="43">
        <v>319</v>
      </c>
      <c r="B320" s="43">
        <v>54</v>
      </c>
      <c r="C320" s="118" t="s">
        <v>2543</v>
      </c>
      <c r="D320" s="99">
        <v>11</v>
      </c>
      <c r="E320" s="99" t="s">
        <v>2504</v>
      </c>
      <c r="F320" s="100" t="s">
        <v>2505</v>
      </c>
      <c r="G320" s="239" t="s">
        <v>2505</v>
      </c>
      <c r="H320" s="47">
        <f t="shared" si="65"/>
        <v>54675</v>
      </c>
      <c r="I320" s="48">
        <f t="shared" si="64"/>
        <v>54697</v>
      </c>
      <c r="J320" s="48">
        <v>54697</v>
      </c>
      <c r="K320" s="97">
        <v>44621</v>
      </c>
      <c r="L320" s="206" t="s">
        <v>727</v>
      </c>
      <c r="M320" s="207" t="s">
        <v>287</v>
      </c>
      <c r="N320" s="118" t="s">
        <v>281</v>
      </c>
      <c r="O320" s="97">
        <v>44652</v>
      </c>
      <c r="P320" s="117"/>
      <c r="Q320" s="118" t="s">
        <v>72</v>
      </c>
      <c r="R320" s="119">
        <v>1.41</v>
      </c>
      <c r="S320" s="119"/>
      <c r="T320" s="99"/>
      <c r="U320" s="52">
        <f t="shared" si="59"/>
        <v>6669300</v>
      </c>
      <c r="V320" s="52">
        <f t="shared" si="63"/>
        <v>0</v>
      </c>
      <c r="W320" s="52">
        <f t="shared" si="61"/>
        <v>0</v>
      </c>
      <c r="X320" s="52">
        <f t="shared" si="53"/>
        <v>6669300</v>
      </c>
      <c r="Y320" s="52">
        <f>+VLOOKUP(E320,[2]Sheet1!$B$11:$J$400,9,0)</f>
        <v>5865600</v>
      </c>
      <c r="Z320" s="52"/>
      <c r="AA320" s="53" t="s">
        <v>2717</v>
      </c>
      <c r="AB320" s="99"/>
      <c r="AC320" s="45" t="str">
        <f>+VLOOKUP(E320,[3]Sheet1!$B$11:$I$388,8,0)</f>
        <v>56 - 105</v>
      </c>
      <c r="AD320" s="99" t="s">
        <v>1787</v>
      </c>
      <c r="AE320" s="99" t="s">
        <v>2945</v>
      </c>
      <c r="AF320" s="223" t="s">
        <v>2506</v>
      </c>
      <c r="AG320" s="201">
        <v>225398380</v>
      </c>
      <c r="AH320" s="205" t="s">
        <v>1194</v>
      </c>
      <c r="AI320" s="99" t="s">
        <v>620</v>
      </c>
      <c r="AJ320" s="99" t="s">
        <v>2507</v>
      </c>
      <c r="AK320" s="99" t="s">
        <v>2500</v>
      </c>
      <c r="AL320" s="99"/>
      <c r="AM320" s="99"/>
      <c r="AN320" s="99" t="s">
        <v>1912</v>
      </c>
      <c r="AO320" s="99"/>
      <c r="AP320" s="99"/>
      <c r="AQ320" s="99"/>
      <c r="AR320" s="99"/>
      <c r="AS320" s="99"/>
      <c r="AT320" s="99"/>
      <c r="AU320" s="99"/>
      <c r="AV320" s="99"/>
      <c r="AW320" s="55" t="s">
        <v>2359</v>
      </c>
      <c r="AX320" s="55" t="s">
        <v>1519</v>
      </c>
    </row>
    <row r="321" spans="1:50" s="237" customFormat="1" x14ac:dyDescent="0.3">
      <c r="A321" s="43">
        <v>320</v>
      </c>
      <c r="B321" s="43">
        <v>55</v>
      </c>
      <c r="C321" s="118" t="s">
        <v>2543</v>
      </c>
      <c r="D321" s="99">
        <v>12</v>
      </c>
      <c r="E321" s="225" t="s">
        <v>2632</v>
      </c>
      <c r="F321" s="226" t="s">
        <v>642</v>
      </c>
      <c r="G321" s="227">
        <v>34920</v>
      </c>
      <c r="H321" s="228">
        <f t="shared" si="65"/>
        <v>55740</v>
      </c>
      <c r="I321" s="228">
        <f t="shared" si="64"/>
        <v>55763</v>
      </c>
      <c r="J321" s="228">
        <v>55763</v>
      </c>
      <c r="K321" s="228">
        <v>44896</v>
      </c>
      <c r="L321" s="206" t="s">
        <v>727</v>
      </c>
      <c r="M321" s="229" t="s">
        <v>287</v>
      </c>
      <c r="N321" s="230" t="s">
        <v>281</v>
      </c>
      <c r="O321" s="228">
        <v>44927</v>
      </c>
      <c r="P321" s="231"/>
      <c r="Q321" s="232" t="s">
        <v>72</v>
      </c>
      <c r="R321" s="230">
        <v>1.41</v>
      </c>
      <c r="S321" s="233"/>
      <c r="T321" s="234"/>
      <c r="U321" s="52">
        <f t="shared" si="59"/>
        <v>6669300</v>
      </c>
      <c r="V321" s="52">
        <f t="shared" si="63"/>
        <v>0</v>
      </c>
      <c r="W321" s="52">
        <f t="shared" si="61"/>
        <v>0</v>
      </c>
      <c r="X321" s="52">
        <f t="shared" ref="X321:X383" si="66">+U321+V321+W321</f>
        <v>6669300</v>
      </c>
      <c r="Y321" s="52">
        <f>+VLOOKUP(E321,[2]Sheet1!$B$11:$J$400,9,0)</f>
        <v>5865600</v>
      </c>
      <c r="Z321" s="52"/>
      <c r="AA321" s="53" t="s">
        <v>2711</v>
      </c>
      <c r="AB321" s="234"/>
      <c r="AC321" s="45" t="str">
        <f>+VLOOKUP(E321,[3]Sheet1!$B$11:$I$388,8,0)</f>
        <v>60 - 004</v>
      </c>
      <c r="AD321" s="234" t="s">
        <v>1787</v>
      </c>
      <c r="AE321" s="240" t="s">
        <v>3363</v>
      </c>
      <c r="AF321" s="226" t="s">
        <v>2633</v>
      </c>
      <c r="AG321" s="234">
        <f>+VALUE(AF204:AF638)</f>
        <v>225607566</v>
      </c>
      <c r="AH321" s="227" t="s">
        <v>2634</v>
      </c>
      <c r="AI321" s="234" t="s">
        <v>620</v>
      </c>
      <c r="AJ321" s="234" t="s">
        <v>2635</v>
      </c>
      <c r="AK321" s="235" t="s">
        <v>2636</v>
      </c>
      <c r="AL321" s="234"/>
      <c r="AM321" s="234"/>
      <c r="AN321" s="234"/>
      <c r="AO321" s="234"/>
      <c r="AP321" s="234" t="s">
        <v>2630</v>
      </c>
      <c r="AQ321" s="228">
        <v>44896</v>
      </c>
      <c r="AR321" s="234"/>
      <c r="AS321" s="234"/>
      <c r="AT321" s="228">
        <v>44927</v>
      </c>
      <c r="AU321" s="228"/>
      <c r="AV321" s="228"/>
      <c r="AW321" s="236"/>
      <c r="AX321" s="55" t="s">
        <v>1519</v>
      </c>
    </row>
    <row r="322" spans="1:50" s="237" customFormat="1" x14ac:dyDescent="0.3">
      <c r="A322" s="43">
        <v>321</v>
      </c>
      <c r="B322" s="43">
        <v>56</v>
      </c>
      <c r="C322" s="118" t="s">
        <v>2543</v>
      </c>
      <c r="D322" s="99">
        <v>13</v>
      </c>
      <c r="E322" s="225" t="s">
        <v>3286</v>
      </c>
      <c r="F322" s="226" t="s">
        <v>3287</v>
      </c>
      <c r="G322" s="227">
        <v>34950</v>
      </c>
      <c r="H322" s="228">
        <f t="shared" si="65"/>
        <v>55770</v>
      </c>
      <c r="I322" s="228">
        <f t="shared" si="64"/>
        <v>55793</v>
      </c>
      <c r="J322" s="228">
        <v>55764</v>
      </c>
      <c r="K322" s="228">
        <v>45627</v>
      </c>
      <c r="L322" s="206" t="s">
        <v>727</v>
      </c>
      <c r="M322" s="229" t="s">
        <v>287</v>
      </c>
      <c r="N322" s="230" t="s">
        <v>281</v>
      </c>
      <c r="O322" s="228">
        <v>45627</v>
      </c>
      <c r="P322" s="231"/>
      <c r="Q322" s="232" t="s">
        <v>72</v>
      </c>
      <c r="R322" s="230">
        <v>1.41</v>
      </c>
      <c r="S322" s="233"/>
      <c r="T322" s="234"/>
      <c r="U322" s="52">
        <f t="shared" si="59"/>
        <v>6669300</v>
      </c>
      <c r="V322" s="52">
        <f t="shared" si="63"/>
        <v>0</v>
      </c>
      <c r="W322" s="52">
        <f t="shared" si="61"/>
        <v>0</v>
      </c>
      <c r="X322" s="52">
        <f t="shared" si="66"/>
        <v>6669300</v>
      </c>
      <c r="Y322" s="52" t="e">
        <f>+VLOOKUP(E322,[2]Sheet1!$B$11:$J$400,9,0)</f>
        <v>#N/A</v>
      </c>
      <c r="Z322" s="52"/>
      <c r="AA322" s="73">
        <v>5621277778</v>
      </c>
      <c r="AB322" s="234" t="s">
        <v>3305</v>
      </c>
      <c r="AC322" s="45" t="e">
        <f>+VLOOKUP(E322,[3]Sheet1!$B$11:$I$388,8,0)</f>
        <v>#N/A</v>
      </c>
      <c r="AD322" s="234" t="s">
        <v>1787</v>
      </c>
      <c r="AE322" s="226" t="s">
        <v>3288</v>
      </c>
      <c r="AF322" s="226"/>
      <c r="AG322" s="234"/>
      <c r="AH322" s="241">
        <v>44417</v>
      </c>
      <c r="AI322" s="234" t="s">
        <v>2427</v>
      </c>
      <c r="AJ322" s="234" t="s">
        <v>3289</v>
      </c>
      <c r="AK322" s="235"/>
      <c r="AL322" s="234"/>
      <c r="AM322" s="234"/>
      <c r="AN322" s="234" t="s">
        <v>3290</v>
      </c>
      <c r="AO322" s="234"/>
      <c r="AP322" s="234"/>
      <c r="AQ322" s="228"/>
      <c r="AR322" s="234"/>
      <c r="AS322" s="228">
        <v>45627</v>
      </c>
      <c r="AT322" s="228"/>
      <c r="AU322" s="228"/>
      <c r="AV322" s="228"/>
      <c r="AW322" s="242" t="s">
        <v>3291</v>
      </c>
      <c r="AX322" s="55" t="s">
        <v>1519</v>
      </c>
    </row>
    <row r="323" spans="1:50" x14ac:dyDescent="0.3">
      <c r="A323" s="43">
        <v>322</v>
      </c>
      <c r="B323" s="43">
        <v>57</v>
      </c>
      <c r="C323" s="118" t="s">
        <v>2543</v>
      </c>
      <c r="D323" s="101">
        <v>1</v>
      </c>
      <c r="E323" s="97" t="s">
        <v>253</v>
      </c>
      <c r="F323" s="100" t="s">
        <v>298</v>
      </c>
      <c r="G323" s="97">
        <v>28002</v>
      </c>
      <c r="H323" s="47">
        <f t="shared" si="65"/>
        <v>48821</v>
      </c>
      <c r="I323" s="48">
        <f t="shared" si="64"/>
        <v>48823</v>
      </c>
      <c r="J323" s="48">
        <v>48823</v>
      </c>
      <c r="K323" s="97">
        <v>35370</v>
      </c>
      <c r="L323" s="206" t="s">
        <v>728</v>
      </c>
      <c r="M323" s="207" t="s">
        <v>287</v>
      </c>
      <c r="N323" s="118" t="s">
        <v>281</v>
      </c>
      <c r="O323" s="97">
        <v>41456</v>
      </c>
      <c r="P323" s="117"/>
      <c r="Q323" s="118" t="s">
        <v>74</v>
      </c>
      <c r="R323" s="119">
        <v>1.68</v>
      </c>
      <c r="S323" s="119"/>
      <c r="T323" s="99"/>
      <c r="U323" s="52">
        <f t="shared" si="59"/>
        <v>7946400</v>
      </c>
      <c r="V323" s="52">
        <f t="shared" si="63"/>
        <v>0</v>
      </c>
      <c r="W323" s="52">
        <f t="shared" si="61"/>
        <v>0</v>
      </c>
      <c r="X323" s="52">
        <f t="shared" si="66"/>
        <v>7946400</v>
      </c>
      <c r="Y323" s="52">
        <f>+VLOOKUP(E323,[2]Sheet1!$B$11:$J$400,9,0)</f>
        <v>6988800</v>
      </c>
      <c r="Z323" s="52"/>
      <c r="AA323" s="53" t="s">
        <v>1744</v>
      </c>
      <c r="AB323" s="99" t="s">
        <v>1316</v>
      </c>
      <c r="AC323" s="45" t="str">
        <f>+VLOOKUP(E323,[3]Sheet1!$B$11:$I$388,8,0)</f>
        <v>56 - 001</v>
      </c>
      <c r="AD323" s="99" t="s">
        <v>1787</v>
      </c>
      <c r="AE323" s="99" t="s">
        <v>2946</v>
      </c>
      <c r="AF323" s="100" t="s">
        <v>1402</v>
      </c>
      <c r="AG323" s="99">
        <f>+VALUE(AF323:AF702)</f>
        <v>225110668</v>
      </c>
      <c r="AH323" s="99" t="s">
        <v>1403</v>
      </c>
      <c r="AI323" s="99" t="s">
        <v>620</v>
      </c>
      <c r="AJ323" s="99" t="s">
        <v>1404</v>
      </c>
      <c r="AK323" s="101" t="s">
        <v>1405</v>
      </c>
      <c r="AL323" s="99"/>
      <c r="AM323" s="99"/>
      <c r="AN323" s="99"/>
      <c r="AO323" s="99" t="s">
        <v>504</v>
      </c>
      <c r="AP323" s="99"/>
      <c r="AQ323" s="99"/>
      <c r="AR323" s="99"/>
      <c r="AS323" s="99"/>
      <c r="AT323" s="99"/>
      <c r="AU323" s="99"/>
      <c r="AV323" s="99"/>
      <c r="AW323" s="55" t="s">
        <v>2360</v>
      </c>
      <c r="AX323" s="55" t="s">
        <v>1519</v>
      </c>
    </row>
    <row r="324" spans="1:50" x14ac:dyDescent="0.3">
      <c r="A324" s="43">
        <v>323</v>
      </c>
      <c r="B324" s="43">
        <v>58</v>
      </c>
      <c r="C324" s="118" t="s">
        <v>2543</v>
      </c>
      <c r="D324" s="101">
        <v>2</v>
      </c>
      <c r="E324" s="97" t="s">
        <v>254</v>
      </c>
      <c r="F324" s="100" t="s">
        <v>466</v>
      </c>
      <c r="G324" s="97">
        <v>28469</v>
      </c>
      <c r="H324" s="47">
        <f t="shared" si="65"/>
        <v>49288</v>
      </c>
      <c r="I324" s="48">
        <f t="shared" si="64"/>
        <v>49310</v>
      </c>
      <c r="J324" s="48">
        <v>49310</v>
      </c>
      <c r="K324" s="97">
        <v>36220</v>
      </c>
      <c r="L324" s="206" t="s">
        <v>728</v>
      </c>
      <c r="M324" s="207" t="s">
        <v>287</v>
      </c>
      <c r="N324" s="118" t="s">
        <v>285</v>
      </c>
      <c r="O324" s="97">
        <v>41456</v>
      </c>
      <c r="P324" s="117"/>
      <c r="Q324" s="118" t="s">
        <v>74</v>
      </c>
      <c r="R324" s="119">
        <v>1.68</v>
      </c>
      <c r="S324" s="233">
        <v>0.04</v>
      </c>
      <c r="T324" s="99"/>
      <c r="U324" s="52">
        <f t="shared" si="59"/>
        <v>7946400</v>
      </c>
      <c r="V324" s="52">
        <f t="shared" si="63"/>
        <v>176400</v>
      </c>
      <c r="W324" s="52">
        <f t="shared" si="61"/>
        <v>0</v>
      </c>
      <c r="X324" s="52">
        <f t="shared" si="66"/>
        <v>8122800</v>
      </c>
      <c r="Y324" s="52">
        <f>+VLOOKUP(E324,[2]Sheet1!$B$11:$J$400,9,0)</f>
        <v>7155200</v>
      </c>
      <c r="Z324" s="52"/>
      <c r="AA324" s="53" t="s">
        <v>1745</v>
      </c>
      <c r="AB324" s="99" t="s">
        <v>1316</v>
      </c>
      <c r="AC324" s="45" t="str">
        <f>+VLOOKUP(E324,[3]Sheet1!$B$11:$I$388,8,0)</f>
        <v>56 - 197</v>
      </c>
      <c r="AD324" s="99" t="s">
        <v>1787</v>
      </c>
      <c r="AE324" s="99" t="s">
        <v>2947</v>
      </c>
      <c r="AF324" s="100" t="s">
        <v>1406</v>
      </c>
      <c r="AG324" s="99">
        <f>+VALUE(AF324:AF703)</f>
        <v>225100693</v>
      </c>
      <c r="AH324" s="99" t="s">
        <v>1407</v>
      </c>
      <c r="AI324" s="99" t="s">
        <v>620</v>
      </c>
      <c r="AJ324" s="99" t="s">
        <v>1408</v>
      </c>
      <c r="AK324" s="101" t="s">
        <v>1352</v>
      </c>
      <c r="AL324" s="99"/>
      <c r="AM324" s="99"/>
      <c r="AN324" s="99"/>
      <c r="AO324" s="99" t="s">
        <v>504</v>
      </c>
      <c r="AP324" s="99"/>
      <c r="AQ324" s="99"/>
      <c r="AR324" s="99"/>
      <c r="AS324" s="99"/>
      <c r="AT324" s="99"/>
      <c r="AU324" s="99"/>
      <c r="AV324" s="99"/>
      <c r="AW324" s="55" t="s">
        <v>2361</v>
      </c>
      <c r="AX324" s="55" t="s">
        <v>1519</v>
      </c>
    </row>
    <row r="325" spans="1:50" x14ac:dyDescent="0.3">
      <c r="A325" s="43">
        <v>324</v>
      </c>
      <c r="B325" s="43">
        <v>59</v>
      </c>
      <c r="C325" s="118" t="s">
        <v>2543</v>
      </c>
      <c r="D325" s="101">
        <v>3</v>
      </c>
      <c r="E325" s="97" t="s">
        <v>255</v>
      </c>
      <c r="F325" s="100" t="s">
        <v>467</v>
      </c>
      <c r="G325" s="97">
        <v>28884</v>
      </c>
      <c r="H325" s="47">
        <f t="shared" si="65"/>
        <v>49703</v>
      </c>
      <c r="I325" s="48">
        <f t="shared" si="64"/>
        <v>49706</v>
      </c>
      <c r="J325" s="48">
        <v>49706</v>
      </c>
      <c r="K325" s="97">
        <v>37165</v>
      </c>
      <c r="L325" s="206" t="s">
        <v>728</v>
      </c>
      <c r="M325" s="207" t="s">
        <v>287</v>
      </c>
      <c r="N325" s="118" t="s">
        <v>281</v>
      </c>
      <c r="O325" s="97">
        <v>42979</v>
      </c>
      <c r="P325" s="117"/>
      <c r="Q325" s="118" t="s">
        <v>76</v>
      </c>
      <c r="R325" s="119">
        <v>1.58</v>
      </c>
      <c r="S325" s="119"/>
      <c r="T325" s="99"/>
      <c r="U325" s="52">
        <f t="shared" si="59"/>
        <v>7473400</v>
      </c>
      <c r="V325" s="52">
        <f t="shared" si="63"/>
        <v>0</v>
      </c>
      <c r="W325" s="52">
        <f t="shared" si="61"/>
        <v>0</v>
      </c>
      <c r="X325" s="52">
        <f t="shared" si="66"/>
        <v>7473400</v>
      </c>
      <c r="Y325" s="52">
        <f>+VLOOKUP(E325,[2]Sheet1!$B$11:$J$400,9,0)</f>
        <v>6572800</v>
      </c>
      <c r="Z325" s="52"/>
      <c r="AA325" s="53" t="s">
        <v>1746</v>
      </c>
      <c r="AB325" s="99" t="s">
        <v>1316</v>
      </c>
      <c r="AC325" s="45" t="str">
        <f>+VLOOKUP(E325,[3]Sheet1!$B$11:$I$388,8,0)</f>
        <v>56 - 197</v>
      </c>
      <c r="AD325" s="99" t="s">
        <v>1787</v>
      </c>
      <c r="AE325" s="99" t="s">
        <v>2948</v>
      </c>
      <c r="AF325" s="100" t="s">
        <v>1409</v>
      </c>
      <c r="AG325" s="99">
        <f>+VALUE(AF325:AF705)</f>
        <v>225518687</v>
      </c>
      <c r="AH325" s="99" t="s">
        <v>1410</v>
      </c>
      <c r="AI325" s="99" t="s">
        <v>620</v>
      </c>
      <c r="AJ325" s="99" t="s">
        <v>1411</v>
      </c>
      <c r="AK325" s="101" t="s">
        <v>1412</v>
      </c>
      <c r="AL325" s="99"/>
      <c r="AM325" s="99" t="s">
        <v>88</v>
      </c>
      <c r="AN325" s="99"/>
      <c r="AO325" s="99"/>
      <c r="AP325" s="99"/>
      <c r="AQ325" s="99"/>
      <c r="AR325" s="99"/>
      <c r="AS325" s="99"/>
      <c r="AT325" s="99"/>
      <c r="AU325" s="99"/>
      <c r="AV325" s="99"/>
      <c r="AW325" s="55" t="s">
        <v>2362</v>
      </c>
      <c r="AX325" s="55" t="s">
        <v>1519</v>
      </c>
    </row>
    <row r="326" spans="1:50" x14ac:dyDescent="0.3">
      <c r="A326" s="43">
        <v>325</v>
      </c>
      <c r="B326" s="43">
        <v>60</v>
      </c>
      <c r="C326" s="118" t="s">
        <v>2543</v>
      </c>
      <c r="D326" s="101">
        <v>4</v>
      </c>
      <c r="E326" s="99" t="s">
        <v>264</v>
      </c>
      <c r="F326" s="100" t="s">
        <v>636</v>
      </c>
      <c r="G326" s="97">
        <v>32531</v>
      </c>
      <c r="H326" s="47">
        <f t="shared" si="65"/>
        <v>53350</v>
      </c>
      <c r="I326" s="48">
        <f t="shared" si="64"/>
        <v>53359</v>
      </c>
      <c r="J326" s="48">
        <v>53359</v>
      </c>
      <c r="K326" s="97">
        <v>43191</v>
      </c>
      <c r="L326" s="206" t="s">
        <v>728</v>
      </c>
      <c r="M326" s="207" t="s">
        <v>287</v>
      </c>
      <c r="N326" s="118" t="s">
        <v>281</v>
      </c>
      <c r="O326" s="97">
        <v>43191</v>
      </c>
      <c r="P326" s="117"/>
      <c r="Q326" s="210" t="s">
        <v>71</v>
      </c>
      <c r="R326" s="119">
        <v>1.49</v>
      </c>
      <c r="S326" s="119"/>
      <c r="T326" s="99"/>
      <c r="U326" s="52">
        <f t="shared" si="59"/>
        <v>7047700</v>
      </c>
      <c r="V326" s="52">
        <f t="shared" si="63"/>
        <v>0</v>
      </c>
      <c r="W326" s="52">
        <f t="shared" si="61"/>
        <v>0</v>
      </c>
      <c r="X326" s="52">
        <f t="shared" si="66"/>
        <v>7047700</v>
      </c>
      <c r="Y326" s="52">
        <f>+VLOOKUP(E326,[2]Sheet1!$B$11:$J$400,9,0)</f>
        <v>6198400</v>
      </c>
      <c r="Z326" s="52"/>
      <c r="AA326" s="53" t="s">
        <v>1754</v>
      </c>
      <c r="AB326" s="99" t="s">
        <v>669</v>
      </c>
      <c r="AC326" s="45" t="str">
        <f>+VLOOKUP(E326,[3]Sheet1!$B$11:$I$388,8,0)</f>
        <v>56 - 001</v>
      </c>
      <c r="AD326" s="99" t="s">
        <v>1787</v>
      </c>
      <c r="AE326" s="201" t="s">
        <v>3066</v>
      </c>
      <c r="AF326" s="100" t="s">
        <v>673</v>
      </c>
      <c r="AG326" s="99">
        <f>+VALUE(AF326:AF706)</f>
        <v>225388540</v>
      </c>
      <c r="AH326" s="205" t="s">
        <v>3067</v>
      </c>
      <c r="AI326" s="99" t="s">
        <v>620</v>
      </c>
      <c r="AJ326" s="99" t="s">
        <v>637</v>
      </c>
      <c r="AK326" s="101" t="s">
        <v>674</v>
      </c>
      <c r="AL326" s="99"/>
      <c r="AM326" s="99"/>
      <c r="AN326" s="99"/>
      <c r="AO326" s="99" t="s">
        <v>578</v>
      </c>
      <c r="AP326" s="99" t="s">
        <v>511</v>
      </c>
      <c r="AQ326" s="99"/>
      <c r="AR326" s="99"/>
      <c r="AS326" s="99"/>
      <c r="AT326" s="99"/>
      <c r="AU326" s="99"/>
      <c r="AV326" s="99"/>
      <c r="AW326" s="55" t="s">
        <v>2363</v>
      </c>
      <c r="AX326" s="55" t="s">
        <v>1519</v>
      </c>
    </row>
    <row r="327" spans="1:50" x14ac:dyDescent="0.3">
      <c r="A327" s="43">
        <v>326</v>
      </c>
      <c r="B327" s="43">
        <v>61</v>
      </c>
      <c r="C327" s="118" t="s">
        <v>2543</v>
      </c>
      <c r="D327" s="101">
        <v>5</v>
      </c>
      <c r="E327" s="97" t="s">
        <v>256</v>
      </c>
      <c r="F327" s="100" t="s">
        <v>468</v>
      </c>
      <c r="G327" s="97">
        <v>32610</v>
      </c>
      <c r="H327" s="47">
        <f t="shared" si="65"/>
        <v>53429</v>
      </c>
      <c r="I327" s="48">
        <f t="shared" si="64"/>
        <v>53448</v>
      </c>
      <c r="J327" s="48">
        <v>53448</v>
      </c>
      <c r="K327" s="97">
        <v>41671</v>
      </c>
      <c r="L327" s="206" t="s">
        <v>728</v>
      </c>
      <c r="M327" s="207" t="s">
        <v>287</v>
      </c>
      <c r="N327" s="118" t="s">
        <v>281</v>
      </c>
      <c r="O327" s="117" t="s">
        <v>3238</v>
      </c>
      <c r="P327" s="117"/>
      <c r="Q327" s="210" t="s">
        <v>71</v>
      </c>
      <c r="R327" s="119">
        <v>1.49</v>
      </c>
      <c r="S327" s="119"/>
      <c r="T327" s="99"/>
      <c r="U327" s="52">
        <f t="shared" si="59"/>
        <v>7047700</v>
      </c>
      <c r="V327" s="52">
        <f t="shared" si="63"/>
        <v>0</v>
      </c>
      <c r="W327" s="52">
        <f t="shared" si="61"/>
        <v>0</v>
      </c>
      <c r="X327" s="52">
        <f t="shared" si="66"/>
        <v>7047700</v>
      </c>
      <c r="Y327" s="52">
        <f>+VLOOKUP(E327,[2]Sheet1!$B$11:$J$400,9,0)</f>
        <v>5865600</v>
      </c>
      <c r="Z327" s="52"/>
      <c r="AA327" s="53" t="s">
        <v>1755</v>
      </c>
      <c r="AB327" s="99" t="s">
        <v>669</v>
      </c>
      <c r="AC327" s="45" t="str">
        <f>+VLOOKUP(E327,[3]Sheet1!$B$11:$I$388,8,0)</f>
        <v>56 - 001</v>
      </c>
      <c r="AD327" s="99" t="s">
        <v>1787</v>
      </c>
      <c r="AE327" s="99" t="s">
        <v>2949</v>
      </c>
      <c r="AF327" s="100" t="s">
        <v>1439</v>
      </c>
      <c r="AG327" s="99">
        <f>+VALUE(AF327:AF707)</f>
        <v>225406904</v>
      </c>
      <c r="AH327" s="99" t="s">
        <v>1440</v>
      </c>
      <c r="AI327" s="99" t="s">
        <v>620</v>
      </c>
      <c r="AJ327" s="99" t="s">
        <v>1441</v>
      </c>
      <c r="AK327" s="101" t="s">
        <v>1442</v>
      </c>
      <c r="AL327" s="99"/>
      <c r="AM327" s="99"/>
      <c r="AN327" s="99"/>
      <c r="AO327" s="99"/>
      <c r="AP327" s="99" t="s">
        <v>511</v>
      </c>
      <c r="AQ327" s="99"/>
      <c r="AR327" s="99"/>
      <c r="AS327" s="99"/>
      <c r="AT327" s="97"/>
      <c r="AU327" s="99"/>
      <c r="AV327" s="97"/>
      <c r="AX327" s="55" t="s">
        <v>1519</v>
      </c>
    </row>
    <row r="328" spans="1:50" x14ac:dyDescent="0.3">
      <c r="A328" s="43">
        <v>327</v>
      </c>
      <c r="B328" s="43">
        <v>62</v>
      </c>
      <c r="C328" s="118" t="s">
        <v>2543</v>
      </c>
      <c r="D328" s="101">
        <v>6</v>
      </c>
      <c r="E328" s="97" t="s">
        <v>590</v>
      </c>
      <c r="F328" s="100" t="s">
        <v>675</v>
      </c>
      <c r="G328" s="97">
        <v>31729</v>
      </c>
      <c r="H328" s="47">
        <f t="shared" si="65"/>
        <v>52548</v>
      </c>
      <c r="I328" s="48">
        <f t="shared" si="64"/>
        <v>52566</v>
      </c>
      <c r="J328" s="48">
        <v>52566</v>
      </c>
      <c r="K328" s="97">
        <v>43221</v>
      </c>
      <c r="L328" s="206" t="s">
        <v>728</v>
      </c>
      <c r="M328" s="207" t="s">
        <v>287</v>
      </c>
      <c r="N328" s="118" t="s">
        <v>281</v>
      </c>
      <c r="O328" s="97">
        <v>43221</v>
      </c>
      <c r="P328" s="117"/>
      <c r="Q328" s="210" t="s">
        <v>71</v>
      </c>
      <c r="R328" s="119">
        <v>1.49</v>
      </c>
      <c r="S328" s="119"/>
      <c r="T328" s="99"/>
      <c r="U328" s="52">
        <f t="shared" si="59"/>
        <v>7047700</v>
      </c>
      <c r="V328" s="52">
        <f t="shared" si="63"/>
        <v>0</v>
      </c>
      <c r="W328" s="52">
        <f t="shared" si="61"/>
        <v>0</v>
      </c>
      <c r="X328" s="52">
        <f t="shared" si="66"/>
        <v>7047700</v>
      </c>
      <c r="Y328" s="52">
        <f>+VLOOKUP(E328,[2]Sheet1!$B$11:$J$400,9,0)</f>
        <v>6198400</v>
      </c>
      <c r="Z328" s="52"/>
      <c r="AA328" s="53" t="s">
        <v>1784</v>
      </c>
      <c r="AB328" s="99" t="s">
        <v>669</v>
      </c>
      <c r="AC328" s="45" t="str">
        <f>+VLOOKUP(E328,[3]Sheet1!$B$11:$I$388,8,0)</f>
        <v>56 - 001</v>
      </c>
      <c r="AD328" s="99" t="s">
        <v>1787</v>
      </c>
      <c r="AE328" s="209" t="s">
        <v>3364</v>
      </c>
      <c r="AF328" s="100" t="s">
        <v>676</v>
      </c>
      <c r="AG328" s="99">
        <f>+VALUE(AF328:AF717)</f>
        <v>225318510</v>
      </c>
      <c r="AH328" s="201" t="s">
        <v>677</v>
      </c>
      <c r="AI328" s="99" t="s">
        <v>620</v>
      </c>
      <c r="AJ328" s="99" t="s">
        <v>679</v>
      </c>
      <c r="AK328" s="99" t="s">
        <v>678</v>
      </c>
      <c r="AL328" s="99"/>
      <c r="AM328" s="99"/>
      <c r="AN328" s="99" t="s">
        <v>588</v>
      </c>
      <c r="AO328" s="99"/>
      <c r="AP328" s="99"/>
      <c r="AQ328" s="99"/>
      <c r="AR328" s="99"/>
      <c r="AS328" s="99"/>
      <c r="AT328" s="99"/>
      <c r="AU328" s="99"/>
      <c r="AV328" s="99"/>
      <c r="AW328" s="55" t="s">
        <v>2364</v>
      </c>
      <c r="AX328" s="55" t="s">
        <v>1519</v>
      </c>
    </row>
    <row r="329" spans="1:50" x14ac:dyDescent="0.3">
      <c r="A329" s="43">
        <v>328</v>
      </c>
      <c r="B329" s="43">
        <v>63</v>
      </c>
      <c r="C329" s="118" t="s">
        <v>2543</v>
      </c>
      <c r="D329" s="101">
        <v>7</v>
      </c>
      <c r="E329" s="97" t="s">
        <v>226</v>
      </c>
      <c r="F329" s="100" t="s">
        <v>435</v>
      </c>
      <c r="G329" s="97">
        <v>29135</v>
      </c>
      <c r="H329" s="47">
        <f t="shared" si="65"/>
        <v>49955</v>
      </c>
      <c r="I329" s="48">
        <f t="shared" si="64"/>
        <v>49980</v>
      </c>
      <c r="J329" s="48">
        <v>49980</v>
      </c>
      <c r="K329" s="97">
        <v>36586</v>
      </c>
      <c r="L329" s="206" t="s">
        <v>728</v>
      </c>
      <c r="M329" s="207" t="s">
        <v>287</v>
      </c>
      <c r="N329" s="118" t="s">
        <v>286</v>
      </c>
      <c r="O329" s="97">
        <v>41091</v>
      </c>
      <c r="P329" s="117"/>
      <c r="Q329" s="118" t="s">
        <v>74</v>
      </c>
      <c r="R329" s="119">
        <v>1.68</v>
      </c>
      <c r="S329" s="119">
        <v>0.06</v>
      </c>
      <c r="T329" s="99"/>
      <c r="U329" s="52">
        <f t="shared" si="59"/>
        <v>7946400</v>
      </c>
      <c r="V329" s="52">
        <f t="shared" si="63"/>
        <v>264600</v>
      </c>
      <c r="W329" s="52">
        <f t="shared" si="61"/>
        <v>0</v>
      </c>
      <c r="X329" s="52">
        <f t="shared" si="66"/>
        <v>8211000</v>
      </c>
      <c r="Y329" s="52">
        <f>+VLOOKUP(E329,[2]Sheet1!$B$11:$J$400,9,0)</f>
        <v>7238400</v>
      </c>
      <c r="Z329" s="52"/>
      <c r="AA329" s="53" t="s">
        <v>1710</v>
      </c>
      <c r="AB329" s="99" t="s">
        <v>1303</v>
      </c>
      <c r="AC329" s="45" t="str">
        <f>+VLOOKUP(E329,[3]Sheet1!$B$11:$I$388,8,0)</f>
        <v>56 - 012</v>
      </c>
      <c r="AD329" s="99" t="s">
        <v>1787</v>
      </c>
      <c r="AE329" s="99" t="s">
        <v>2950</v>
      </c>
      <c r="AF329" s="100" t="s">
        <v>1312</v>
      </c>
      <c r="AG329" s="99">
        <f>+VALUE(AF278:AF655)</f>
        <v>225124352</v>
      </c>
      <c r="AH329" s="99" t="s">
        <v>1313</v>
      </c>
      <c r="AI329" s="99" t="s">
        <v>620</v>
      </c>
      <c r="AJ329" s="99" t="s">
        <v>1314</v>
      </c>
      <c r="AK329" s="101" t="s">
        <v>1315</v>
      </c>
      <c r="AL329" s="99"/>
      <c r="AM329" s="99"/>
      <c r="AN329" s="99"/>
      <c r="AO329" s="99" t="s">
        <v>504</v>
      </c>
      <c r="AP329" s="99" t="s">
        <v>511</v>
      </c>
      <c r="AQ329" s="99"/>
      <c r="AR329" s="99"/>
      <c r="AS329" s="99"/>
      <c r="AT329" s="99"/>
      <c r="AU329" s="99"/>
      <c r="AV329" s="99"/>
      <c r="AW329" s="55" t="s">
        <v>2365</v>
      </c>
      <c r="AX329" s="55" t="s">
        <v>1519</v>
      </c>
    </row>
    <row r="330" spans="1:50" x14ac:dyDescent="0.3">
      <c r="A330" s="43">
        <v>329</v>
      </c>
      <c r="B330" s="43">
        <v>64</v>
      </c>
      <c r="C330" s="118" t="s">
        <v>2543</v>
      </c>
      <c r="D330" s="101">
        <v>8</v>
      </c>
      <c r="E330" s="97" t="s">
        <v>2592</v>
      </c>
      <c r="F330" s="100" t="s">
        <v>2593</v>
      </c>
      <c r="G330" s="205">
        <v>35665</v>
      </c>
      <c r="H330" s="47">
        <f t="shared" si="65"/>
        <v>56484</v>
      </c>
      <c r="I330" s="48">
        <f t="shared" si="64"/>
        <v>56493</v>
      </c>
      <c r="J330" s="48">
        <v>56493</v>
      </c>
      <c r="K330" s="97">
        <v>44896</v>
      </c>
      <c r="L330" s="206" t="s">
        <v>728</v>
      </c>
      <c r="M330" s="207" t="s">
        <v>287</v>
      </c>
      <c r="N330" s="118" t="s">
        <v>281</v>
      </c>
      <c r="O330" s="97">
        <v>44927</v>
      </c>
      <c r="P330" s="117"/>
      <c r="Q330" s="118" t="s">
        <v>72</v>
      </c>
      <c r="R330" s="119">
        <v>1.41</v>
      </c>
      <c r="S330" s="119"/>
      <c r="T330" s="99"/>
      <c r="U330" s="52">
        <f t="shared" si="59"/>
        <v>6669300</v>
      </c>
      <c r="V330" s="52">
        <f t="shared" si="63"/>
        <v>0</v>
      </c>
      <c r="W330" s="52">
        <f t="shared" ref="W330:W349" si="67">+T330*2340000</f>
        <v>0</v>
      </c>
      <c r="X330" s="52">
        <f t="shared" si="66"/>
        <v>6669300</v>
      </c>
      <c r="Y330" s="52">
        <f>+VLOOKUP(E330,[2]Sheet1!$B$11:$J$400,9,0)</f>
        <v>5865600</v>
      </c>
      <c r="Z330" s="52"/>
      <c r="AA330" s="53" t="s">
        <v>2718</v>
      </c>
      <c r="AB330" s="99"/>
      <c r="AC330" s="45" t="str">
        <f>+VLOOKUP(E330,[3]Sheet1!$B$11:$I$388,8,0)</f>
        <v>56 - 001</v>
      </c>
      <c r="AD330" s="99" t="s">
        <v>1787</v>
      </c>
      <c r="AE330" s="99" t="s">
        <v>2594</v>
      </c>
      <c r="AF330" s="100" t="s">
        <v>2594</v>
      </c>
      <c r="AG330" s="99">
        <f>+VALUE(AF278:AF656)</f>
        <v>56097007794</v>
      </c>
      <c r="AH330" s="201" t="s">
        <v>2595</v>
      </c>
      <c r="AI330" s="99" t="s">
        <v>2427</v>
      </c>
      <c r="AJ330" s="99" t="s">
        <v>2596</v>
      </c>
      <c r="AK330" s="101" t="s">
        <v>2597</v>
      </c>
      <c r="AL330" s="99"/>
      <c r="AM330" s="99"/>
      <c r="AN330" s="99"/>
      <c r="AO330" s="99"/>
      <c r="AP330" s="99" t="s">
        <v>524</v>
      </c>
      <c r="AQ330" s="97">
        <v>44896</v>
      </c>
      <c r="AR330" s="99"/>
      <c r="AS330" s="99"/>
      <c r="AT330" s="97">
        <v>44927</v>
      </c>
      <c r="AU330" s="99"/>
      <c r="AV330" s="99"/>
      <c r="AW330" s="77" t="s">
        <v>2598</v>
      </c>
      <c r="AX330" s="55" t="s">
        <v>1519</v>
      </c>
    </row>
    <row r="331" spans="1:50" x14ac:dyDescent="0.3">
      <c r="A331" s="43">
        <v>330</v>
      </c>
      <c r="B331" s="43">
        <v>65</v>
      </c>
      <c r="C331" s="118" t="s">
        <v>2543</v>
      </c>
      <c r="D331" s="101">
        <v>9</v>
      </c>
      <c r="E331" s="243" t="s">
        <v>2599</v>
      </c>
      <c r="F331" s="244" t="s">
        <v>2600</v>
      </c>
      <c r="G331" s="245">
        <v>35476</v>
      </c>
      <c r="H331" s="246">
        <f t="shared" si="65"/>
        <v>56295</v>
      </c>
      <c r="I331" s="48">
        <f t="shared" si="64"/>
        <v>56309</v>
      </c>
      <c r="J331" s="48">
        <v>56309</v>
      </c>
      <c r="K331" s="97">
        <v>44896</v>
      </c>
      <c r="L331" s="206" t="s">
        <v>728</v>
      </c>
      <c r="M331" s="207" t="s">
        <v>287</v>
      </c>
      <c r="N331" s="118" t="s">
        <v>281</v>
      </c>
      <c r="O331" s="97">
        <v>44927</v>
      </c>
      <c r="P331" s="117"/>
      <c r="Q331" s="118" t="s">
        <v>72</v>
      </c>
      <c r="R331" s="119">
        <v>1.41</v>
      </c>
      <c r="S331" s="119"/>
      <c r="T331" s="99"/>
      <c r="U331" s="52">
        <f t="shared" si="59"/>
        <v>6669300</v>
      </c>
      <c r="V331" s="52">
        <f t="shared" si="63"/>
        <v>0</v>
      </c>
      <c r="W331" s="52">
        <f t="shared" si="67"/>
        <v>0</v>
      </c>
      <c r="X331" s="52">
        <f t="shared" si="66"/>
        <v>6669300</v>
      </c>
      <c r="Y331" s="52">
        <f>+VLOOKUP(E331,[2]Sheet1!$B$11:$J$400,9,0)</f>
        <v>5865600</v>
      </c>
      <c r="Z331" s="52"/>
      <c r="AA331" s="53" t="s">
        <v>2719</v>
      </c>
      <c r="AB331" s="99"/>
      <c r="AC331" s="45" t="str">
        <f>+VLOOKUP(E331,[3]Sheet1!$B$11:$I$388,8,0)</f>
        <v>56 - 001</v>
      </c>
      <c r="AD331" s="99" t="s">
        <v>1787</v>
      </c>
      <c r="AE331" s="99" t="s">
        <v>2601</v>
      </c>
      <c r="AF331" s="223" t="s">
        <v>2601</v>
      </c>
      <c r="AG331" s="99">
        <f>+VALUE(AF279:AF657)</f>
        <v>56097000474</v>
      </c>
      <c r="AH331" s="205" t="s">
        <v>2602</v>
      </c>
      <c r="AI331" s="99" t="s">
        <v>2427</v>
      </c>
      <c r="AJ331" s="99" t="s">
        <v>2603</v>
      </c>
      <c r="AK331" s="101" t="s">
        <v>2604</v>
      </c>
      <c r="AL331" s="99"/>
      <c r="AM331" s="99"/>
      <c r="AN331" s="99"/>
      <c r="AO331" s="99"/>
      <c r="AP331" s="99" t="s">
        <v>524</v>
      </c>
      <c r="AQ331" s="97">
        <v>44896</v>
      </c>
      <c r="AR331" s="99"/>
      <c r="AS331" s="99"/>
      <c r="AT331" s="97">
        <v>44927</v>
      </c>
      <c r="AU331" s="99"/>
      <c r="AV331" s="99"/>
      <c r="AW331" s="77" t="s">
        <v>2605</v>
      </c>
      <c r="AX331" s="55" t="s">
        <v>1519</v>
      </c>
    </row>
    <row r="332" spans="1:50" x14ac:dyDescent="0.3">
      <c r="A332" s="43">
        <v>331</v>
      </c>
      <c r="B332" s="43">
        <v>66</v>
      </c>
      <c r="C332" s="118" t="s">
        <v>2543</v>
      </c>
      <c r="D332" s="101">
        <v>10</v>
      </c>
      <c r="E332" s="247" t="s">
        <v>2689</v>
      </c>
      <c r="F332" s="248" t="s">
        <v>2690</v>
      </c>
      <c r="G332" s="249">
        <v>36838</v>
      </c>
      <c r="H332" s="250">
        <f t="shared" si="65"/>
        <v>57657</v>
      </c>
      <c r="I332" s="48">
        <f t="shared" si="64"/>
        <v>57680</v>
      </c>
      <c r="J332" s="48">
        <v>57680</v>
      </c>
      <c r="K332" s="97">
        <v>44927</v>
      </c>
      <c r="L332" s="206" t="s">
        <v>728</v>
      </c>
      <c r="M332" s="207" t="s">
        <v>287</v>
      </c>
      <c r="N332" s="118" t="s">
        <v>281</v>
      </c>
      <c r="O332" s="97">
        <v>44958</v>
      </c>
      <c r="P332" s="117"/>
      <c r="Q332" s="118" t="s">
        <v>72</v>
      </c>
      <c r="R332" s="119">
        <v>1.41</v>
      </c>
      <c r="S332" s="119"/>
      <c r="T332" s="99"/>
      <c r="U332" s="52">
        <f t="shared" si="59"/>
        <v>6669300</v>
      </c>
      <c r="V332" s="52">
        <f t="shared" si="63"/>
        <v>0</v>
      </c>
      <c r="W332" s="52">
        <f t="shared" si="67"/>
        <v>0</v>
      </c>
      <c r="X332" s="52">
        <f t="shared" si="66"/>
        <v>6669300</v>
      </c>
      <c r="Y332" s="52">
        <f>+VLOOKUP(E332,[2]Sheet1!$B$11:$J$400,9,0)</f>
        <v>5865600</v>
      </c>
      <c r="Z332" s="52"/>
      <c r="AA332" s="53" t="s">
        <v>2720</v>
      </c>
      <c r="AB332" s="99"/>
      <c r="AC332" s="45" t="str">
        <f>+VLOOKUP(E332,[3]Sheet1!$B$11:$I$388,8,0)</f>
        <v>56 - 001</v>
      </c>
      <c r="AD332" s="99" t="s">
        <v>1787</v>
      </c>
      <c r="AE332" s="99" t="s">
        <v>2691</v>
      </c>
      <c r="AF332" s="223" t="s">
        <v>2691</v>
      </c>
      <c r="AG332" s="99">
        <f>+VALUE(AF280:AF658)</f>
        <v>54200006588</v>
      </c>
      <c r="AH332" s="205" t="s">
        <v>2664</v>
      </c>
      <c r="AI332" s="99" t="s">
        <v>2427</v>
      </c>
      <c r="AJ332" s="99" t="s">
        <v>2692</v>
      </c>
      <c r="AK332" s="101"/>
      <c r="AL332" s="99"/>
      <c r="AM332" s="99"/>
      <c r="AN332" s="99"/>
      <c r="AO332" s="99"/>
      <c r="AP332" s="99" t="s">
        <v>524</v>
      </c>
      <c r="AQ332" s="97">
        <v>44927</v>
      </c>
      <c r="AR332" s="99"/>
      <c r="AS332" s="99"/>
      <c r="AT332" s="97">
        <v>44958</v>
      </c>
      <c r="AU332" s="99"/>
      <c r="AV332" s="99"/>
      <c r="AW332" s="77"/>
      <c r="AX332" s="55" t="s">
        <v>1519</v>
      </c>
    </row>
    <row r="333" spans="1:50" x14ac:dyDescent="0.3">
      <c r="A333" s="43">
        <v>332</v>
      </c>
      <c r="B333" s="43">
        <v>67</v>
      </c>
      <c r="C333" s="118" t="s">
        <v>2543</v>
      </c>
      <c r="D333" s="101">
        <v>11</v>
      </c>
      <c r="E333" s="251" t="s">
        <v>262</v>
      </c>
      <c r="F333" s="248" t="s">
        <v>475</v>
      </c>
      <c r="G333" s="247">
        <v>32404</v>
      </c>
      <c r="H333" s="250">
        <f t="shared" si="65"/>
        <v>53223</v>
      </c>
      <c r="I333" s="48">
        <f t="shared" si="64"/>
        <v>53236</v>
      </c>
      <c r="J333" s="48">
        <v>53236</v>
      </c>
      <c r="K333" s="97">
        <v>43040</v>
      </c>
      <c r="L333" s="206" t="s">
        <v>728</v>
      </c>
      <c r="M333" s="207" t="s">
        <v>287</v>
      </c>
      <c r="N333" s="118" t="s">
        <v>281</v>
      </c>
      <c r="O333" s="117" t="s">
        <v>3238</v>
      </c>
      <c r="P333" s="117"/>
      <c r="Q333" s="200" t="s">
        <v>71</v>
      </c>
      <c r="R333" s="119">
        <v>1.49</v>
      </c>
      <c r="S333" s="119"/>
      <c r="T333" s="99"/>
      <c r="U333" s="52">
        <f t="shared" si="59"/>
        <v>7047700</v>
      </c>
      <c r="V333" s="52">
        <f t="shared" si="63"/>
        <v>0</v>
      </c>
      <c r="W333" s="52">
        <f t="shared" si="67"/>
        <v>0</v>
      </c>
      <c r="X333" s="52">
        <f t="shared" si="66"/>
        <v>7047700</v>
      </c>
      <c r="Y333" s="52">
        <f>+VLOOKUP(E333,[2]Sheet1!$B$11:$J$400,9,0)</f>
        <v>5865600</v>
      </c>
      <c r="Z333" s="52"/>
      <c r="AA333" s="53" t="s">
        <v>1753</v>
      </c>
      <c r="AB333" s="99" t="s">
        <v>1316</v>
      </c>
      <c r="AC333" s="45" t="str">
        <f>+VLOOKUP(E333,[3]Sheet1!$B$11:$I$388,8,0)</f>
        <v>56 - 183</v>
      </c>
      <c r="AD333" s="99" t="s">
        <v>1787</v>
      </c>
      <c r="AE333" s="99" t="s">
        <v>2956</v>
      </c>
      <c r="AF333" s="100">
        <v>221166603</v>
      </c>
      <c r="AG333" s="99">
        <f>+VALUE(AF333:AF715)</f>
        <v>221166603</v>
      </c>
      <c r="AH333" s="99" t="s">
        <v>1436</v>
      </c>
      <c r="AI333" s="99" t="s">
        <v>615</v>
      </c>
      <c r="AJ333" s="99" t="s">
        <v>1437</v>
      </c>
      <c r="AK333" s="101" t="s">
        <v>1438</v>
      </c>
      <c r="AL333" s="99"/>
      <c r="AM333" s="99"/>
      <c r="AN333" s="99"/>
      <c r="AO333" s="99" t="s">
        <v>504</v>
      </c>
      <c r="AP333" s="99" t="s">
        <v>511</v>
      </c>
      <c r="AQ333" s="99"/>
      <c r="AR333" s="99"/>
      <c r="AS333" s="99"/>
      <c r="AT333" s="99"/>
      <c r="AU333" s="99"/>
      <c r="AV333" s="99"/>
      <c r="AW333" s="55" t="s">
        <v>2371</v>
      </c>
      <c r="AX333" s="55" t="s">
        <v>1519</v>
      </c>
    </row>
    <row r="334" spans="1:50" x14ac:dyDescent="0.3">
      <c r="A334" s="43">
        <v>333</v>
      </c>
      <c r="B334" s="43">
        <v>68</v>
      </c>
      <c r="C334" s="118" t="s">
        <v>2543</v>
      </c>
      <c r="D334" s="101">
        <v>12</v>
      </c>
      <c r="E334" s="247" t="s">
        <v>2613</v>
      </c>
      <c r="F334" s="248" t="s">
        <v>2614</v>
      </c>
      <c r="G334" s="247">
        <v>34533</v>
      </c>
      <c r="H334" s="250">
        <f t="shared" si="65"/>
        <v>55352</v>
      </c>
      <c r="I334" s="48">
        <f t="shared" si="64"/>
        <v>55366</v>
      </c>
      <c r="J334" s="48">
        <v>55366</v>
      </c>
      <c r="K334" s="97">
        <v>44896</v>
      </c>
      <c r="L334" s="206" t="s">
        <v>728</v>
      </c>
      <c r="M334" s="207" t="s">
        <v>287</v>
      </c>
      <c r="N334" s="118" t="s">
        <v>281</v>
      </c>
      <c r="O334" s="97">
        <v>44896</v>
      </c>
      <c r="P334" s="117"/>
      <c r="Q334" s="118" t="s">
        <v>72</v>
      </c>
      <c r="R334" s="119">
        <v>1.41</v>
      </c>
      <c r="S334" s="119"/>
      <c r="T334" s="99"/>
      <c r="U334" s="52">
        <f t="shared" si="59"/>
        <v>6669300</v>
      </c>
      <c r="V334" s="52">
        <f t="shared" si="63"/>
        <v>0</v>
      </c>
      <c r="W334" s="52">
        <f t="shared" si="67"/>
        <v>0</v>
      </c>
      <c r="X334" s="52">
        <f t="shared" si="66"/>
        <v>6669300</v>
      </c>
      <c r="Y334" s="52">
        <f>+VLOOKUP(E334,[2]Sheet1!$B$11:$J$400,9,0)</f>
        <v>5865600</v>
      </c>
      <c r="Z334" s="52"/>
      <c r="AA334" s="53" t="s">
        <v>2722</v>
      </c>
      <c r="AB334" s="99"/>
      <c r="AC334" s="45" t="str">
        <f>+VLOOKUP(E334,[3]Sheet1!$B$11:$I$388,8,0)</f>
        <v>56 - 183</v>
      </c>
      <c r="AD334" s="99" t="s">
        <v>1787</v>
      </c>
      <c r="AE334" s="99" t="s">
        <v>2962</v>
      </c>
      <c r="AF334" s="193" t="s">
        <v>2615</v>
      </c>
      <c r="AG334" s="99">
        <f>+VALUE(AF334:AF723)</f>
        <v>212329966</v>
      </c>
      <c r="AH334" s="205" t="s">
        <v>2616</v>
      </c>
      <c r="AI334" s="99" t="s">
        <v>1419</v>
      </c>
      <c r="AJ334" s="55" t="s">
        <v>2617</v>
      </c>
      <c r="AK334" s="99" t="s">
        <v>2618</v>
      </c>
      <c r="AL334" s="99"/>
      <c r="AM334" s="99"/>
      <c r="AN334" s="99"/>
      <c r="AO334" s="99"/>
      <c r="AP334" s="99" t="s">
        <v>524</v>
      </c>
      <c r="AQ334" s="97">
        <v>44896</v>
      </c>
      <c r="AR334" s="99"/>
      <c r="AS334" s="99"/>
      <c r="AT334" s="97">
        <v>44927</v>
      </c>
      <c r="AU334" s="99"/>
      <c r="AV334" s="99"/>
      <c r="AW334" s="77"/>
      <c r="AX334" s="55" t="s">
        <v>1519</v>
      </c>
    </row>
    <row r="335" spans="1:50" x14ac:dyDescent="0.3">
      <c r="A335" s="43">
        <v>334</v>
      </c>
      <c r="B335" s="43">
        <v>69</v>
      </c>
      <c r="C335" s="118" t="s">
        <v>2543</v>
      </c>
      <c r="D335" s="101">
        <v>13</v>
      </c>
      <c r="E335" s="251" t="s">
        <v>3309</v>
      </c>
      <c r="F335" s="252">
        <v>36693</v>
      </c>
      <c r="G335" s="247">
        <v>36693</v>
      </c>
      <c r="H335" s="250">
        <f t="shared" si="65"/>
        <v>57512</v>
      </c>
      <c r="I335" s="48">
        <f t="shared" si="64"/>
        <v>57527</v>
      </c>
      <c r="J335" s="48">
        <v>55367</v>
      </c>
      <c r="K335" s="253">
        <v>45689</v>
      </c>
      <c r="L335" s="206" t="s">
        <v>728</v>
      </c>
      <c r="M335" s="207" t="s">
        <v>287</v>
      </c>
      <c r="N335" s="118" t="s">
        <v>281</v>
      </c>
      <c r="O335" s="253">
        <v>45689</v>
      </c>
      <c r="Q335" s="118" t="s">
        <v>72</v>
      </c>
      <c r="R335" s="254">
        <v>1.41</v>
      </c>
      <c r="U335" s="52">
        <f t="shared" si="59"/>
        <v>6669300</v>
      </c>
      <c r="V335" s="52">
        <f t="shared" si="63"/>
        <v>0</v>
      </c>
      <c r="W335" s="52">
        <f t="shared" si="67"/>
        <v>0</v>
      </c>
      <c r="X335" s="52">
        <f t="shared" si="66"/>
        <v>6669300</v>
      </c>
      <c r="AA335" s="73">
        <v>5628084266</v>
      </c>
      <c r="AB335" s="55" t="s">
        <v>3334</v>
      </c>
      <c r="AD335" s="99" t="s">
        <v>1787</v>
      </c>
      <c r="AE335" s="100" t="s">
        <v>3317</v>
      </c>
      <c r="AI335" s="55" t="s">
        <v>2427</v>
      </c>
      <c r="AJ335" s="55" t="s">
        <v>3329</v>
      </c>
      <c r="AN335" s="55" t="s">
        <v>562</v>
      </c>
      <c r="AQ335" s="253">
        <v>45658</v>
      </c>
      <c r="AS335" s="253">
        <v>45689</v>
      </c>
      <c r="AX335" s="55" t="s">
        <v>1519</v>
      </c>
    </row>
    <row r="336" spans="1:50" x14ac:dyDescent="0.3">
      <c r="A336" s="43">
        <v>335</v>
      </c>
      <c r="B336" s="43">
        <v>70</v>
      </c>
      <c r="C336" s="70" t="s">
        <v>2541</v>
      </c>
      <c r="D336" s="148">
        <v>14</v>
      </c>
      <c r="E336" s="65" t="s">
        <v>2661</v>
      </c>
      <c r="F336" s="66" t="s">
        <v>2662</v>
      </c>
      <c r="G336" s="67">
        <v>34882</v>
      </c>
      <c r="H336" s="47">
        <f>+DATE(YEAR(G336)+57,MONTH(G336),DAY(G336))</f>
        <v>55702</v>
      </c>
      <c r="I336" s="48">
        <f>+EOMONTH(H336,0)+1</f>
        <v>55732</v>
      </c>
      <c r="J336" s="48">
        <v>55732</v>
      </c>
      <c r="K336" s="67">
        <v>45261</v>
      </c>
      <c r="L336" s="206" t="s">
        <v>728</v>
      </c>
      <c r="M336" s="105" t="s">
        <v>287</v>
      </c>
      <c r="N336" s="70" t="s">
        <v>281</v>
      </c>
      <c r="O336" s="67">
        <v>45689</v>
      </c>
      <c r="P336" s="68"/>
      <c r="Q336" s="68" t="s">
        <v>72</v>
      </c>
      <c r="R336" s="70">
        <v>1.41</v>
      </c>
      <c r="S336" s="71"/>
      <c r="T336" s="72"/>
      <c r="U336" s="52">
        <f t="shared" si="59"/>
        <v>6669300</v>
      </c>
      <c r="V336" s="52">
        <f>+S336*4960000</f>
        <v>0</v>
      </c>
      <c r="W336" s="52">
        <f>+T336*2340000</f>
        <v>0</v>
      </c>
      <c r="X336" s="52">
        <f>+U336+V336+W336</f>
        <v>6669300</v>
      </c>
      <c r="Y336" s="52">
        <f>+VLOOKUP(E336,[2]Sheet1!$B$11:$J$400,9,0)</f>
        <v>6598800</v>
      </c>
      <c r="Z336" s="52"/>
      <c r="AA336" s="53" t="s">
        <v>2698</v>
      </c>
      <c r="AB336" s="72"/>
      <c r="AC336" s="45" t="str">
        <f>+VLOOKUP(E336,[3]Sheet1!$B$11:$I$388,8,0)</f>
        <v>75 - 013</v>
      </c>
      <c r="AD336" s="72" t="s">
        <v>1787</v>
      </c>
      <c r="AE336" s="72" t="s">
        <v>2663</v>
      </c>
      <c r="AF336" s="66" t="s">
        <v>2663</v>
      </c>
      <c r="AG336" s="45">
        <f>+VALUE(AF111:AF553)</f>
        <v>56095009285</v>
      </c>
      <c r="AH336" s="80" t="s">
        <v>2664</v>
      </c>
      <c r="AI336" s="72" t="s">
        <v>620</v>
      </c>
      <c r="AJ336" s="72" t="s">
        <v>2665</v>
      </c>
      <c r="AK336" s="76" t="s">
        <v>2666</v>
      </c>
      <c r="AL336" s="72"/>
      <c r="AM336" s="72"/>
      <c r="AN336" s="72"/>
      <c r="AO336" s="72"/>
      <c r="AP336" s="72" t="s">
        <v>524</v>
      </c>
      <c r="AQ336" s="67">
        <v>44896</v>
      </c>
      <c r="AR336" s="72"/>
      <c r="AS336" s="72"/>
      <c r="AT336" s="67">
        <v>44927</v>
      </c>
      <c r="AU336" s="72"/>
      <c r="AV336" s="67"/>
      <c r="AW336" s="77" t="s">
        <v>2667</v>
      </c>
      <c r="AX336" s="55" t="s">
        <v>1517</v>
      </c>
    </row>
    <row r="337" spans="1:50" x14ac:dyDescent="0.3">
      <c r="A337" s="43">
        <v>336</v>
      </c>
      <c r="B337" s="43">
        <v>71</v>
      </c>
      <c r="C337" s="118" t="s">
        <v>2543</v>
      </c>
      <c r="D337" s="255">
        <v>1</v>
      </c>
      <c r="E337" s="247" t="s">
        <v>671</v>
      </c>
      <c r="F337" s="248" t="s">
        <v>469</v>
      </c>
      <c r="G337" s="247">
        <v>28090</v>
      </c>
      <c r="H337" s="250">
        <f t="shared" si="65"/>
        <v>48909</v>
      </c>
      <c r="I337" s="48">
        <f t="shared" si="64"/>
        <v>48914</v>
      </c>
      <c r="J337" s="48">
        <v>48914</v>
      </c>
      <c r="K337" s="97">
        <v>34731</v>
      </c>
      <c r="L337" s="206" t="s">
        <v>2538</v>
      </c>
      <c r="M337" s="207" t="s">
        <v>287</v>
      </c>
      <c r="N337" s="118" t="s">
        <v>284</v>
      </c>
      <c r="O337" s="97">
        <v>45505</v>
      </c>
      <c r="P337" s="117"/>
      <c r="Q337" s="118" t="s">
        <v>74</v>
      </c>
      <c r="R337" s="119">
        <v>1.68</v>
      </c>
      <c r="S337" s="119">
        <v>0.06</v>
      </c>
      <c r="T337" s="99"/>
      <c r="U337" s="52">
        <f t="shared" si="59"/>
        <v>7946400</v>
      </c>
      <c r="V337" s="52">
        <f t="shared" si="63"/>
        <v>264600</v>
      </c>
      <c r="W337" s="52">
        <f t="shared" si="67"/>
        <v>0</v>
      </c>
      <c r="X337" s="52">
        <f t="shared" si="66"/>
        <v>8211000</v>
      </c>
      <c r="Y337" s="52">
        <f>+VLOOKUP(E337,[2]Sheet1!$B$11:$J$400,9,0)</f>
        <v>6822400</v>
      </c>
      <c r="Z337" s="52"/>
      <c r="AA337" s="53" t="s">
        <v>1747</v>
      </c>
      <c r="AB337" s="99" t="s">
        <v>669</v>
      </c>
      <c r="AC337" s="45" t="str">
        <f>+VLOOKUP(E337,[3]Sheet1!$B$11:$I$388,8,0)</f>
        <v>56 - 183</v>
      </c>
      <c r="AD337" s="99" t="s">
        <v>1787</v>
      </c>
      <c r="AE337" s="99" t="s">
        <v>2951</v>
      </c>
      <c r="AF337" s="100" t="s">
        <v>1413</v>
      </c>
      <c r="AG337" s="99">
        <f>+VALUE(AF337:AF709)</f>
        <v>225491854</v>
      </c>
      <c r="AH337" s="99" t="s">
        <v>1414</v>
      </c>
      <c r="AI337" s="99" t="s">
        <v>620</v>
      </c>
      <c r="AJ337" s="99" t="s">
        <v>1415</v>
      </c>
      <c r="AK337" s="101" t="s">
        <v>1416</v>
      </c>
      <c r="AL337" s="99"/>
      <c r="AM337" s="99"/>
      <c r="AN337" s="99"/>
      <c r="AO337" s="99"/>
      <c r="AP337" s="99" t="s">
        <v>511</v>
      </c>
      <c r="AQ337" s="99"/>
      <c r="AR337" s="99"/>
      <c r="AS337" s="99"/>
      <c r="AT337" s="99"/>
      <c r="AU337" s="99"/>
      <c r="AV337" s="99"/>
      <c r="AW337" s="55" t="s">
        <v>2366</v>
      </c>
      <c r="AX337" s="55" t="s">
        <v>1519</v>
      </c>
    </row>
    <row r="338" spans="1:50" x14ac:dyDescent="0.3">
      <c r="A338" s="43">
        <v>337</v>
      </c>
      <c r="B338" s="43">
        <v>72</v>
      </c>
      <c r="C338" s="118" t="s">
        <v>2543</v>
      </c>
      <c r="D338" s="99">
        <v>2</v>
      </c>
      <c r="E338" s="247" t="s">
        <v>258</v>
      </c>
      <c r="F338" s="248" t="s">
        <v>471</v>
      </c>
      <c r="G338" s="247">
        <v>27680</v>
      </c>
      <c r="H338" s="250">
        <f t="shared" si="65"/>
        <v>48500</v>
      </c>
      <c r="I338" s="48">
        <f t="shared" si="64"/>
        <v>48519</v>
      </c>
      <c r="J338" s="48">
        <v>48519</v>
      </c>
      <c r="K338" s="97">
        <v>35735</v>
      </c>
      <c r="L338" s="206" t="s">
        <v>2538</v>
      </c>
      <c r="M338" s="207" t="s">
        <v>287</v>
      </c>
      <c r="N338" s="118" t="s">
        <v>281</v>
      </c>
      <c r="O338" s="97">
        <v>41456</v>
      </c>
      <c r="P338" s="117"/>
      <c r="Q338" s="118" t="s">
        <v>76</v>
      </c>
      <c r="R338" s="119">
        <v>1.58</v>
      </c>
      <c r="S338" s="119"/>
      <c r="T338" s="99"/>
      <c r="U338" s="52">
        <f t="shared" si="59"/>
        <v>7473400</v>
      </c>
      <c r="V338" s="52">
        <f t="shared" si="63"/>
        <v>0</v>
      </c>
      <c r="W338" s="52">
        <f t="shared" si="67"/>
        <v>0</v>
      </c>
      <c r="X338" s="52">
        <f t="shared" si="66"/>
        <v>7473400</v>
      </c>
      <c r="Y338" s="52">
        <f>+VLOOKUP(E338,[2]Sheet1!$B$11:$J$400,9,0)</f>
        <v>6572800</v>
      </c>
      <c r="Z338" s="52"/>
      <c r="AA338" s="53" t="s">
        <v>1749</v>
      </c>
      <c r="AB338" s="99" t="s">
        <v>669</v>
      </c>
      <c r="AC338" s="45" t="str">
        <f>+VLOOKUP(E338,[3]Sheet1!$B$11:$I$388,8,0)</f>
        <v>56 - 183</v>
      </c>
      <c r="AD338" s="99" t="s">
        <v>1787</v>
      </c>
      <c r="AE338" s="99" t="s">
        <v>2952</v>
      </c>
      <c r="AF338" s="100">
        <v>225953902</v>
      </c>
      <c r="AG338" s="99">
        <f>+VALUE(AF338:AF711)</f>
        <v>225953902</v>
      </c>
      <c r="AH338" s="99" t="s">
        <v>1421</v>
      </c>
      <c r="AI338" s="99" t="s">
        <v>950</v>
      </c>
      <c r="AJ338" s="99" t="s">
        <v>1422</v>
      </c>
      <c r="AK338" s="101" t="s">
        <v>1423</v>
      </c>
      <c r="AL338" s="99"/>
      <c r="AM338" s="99"/>
      <c r="AN338" s="99"/>
      <c r="AO338" s="99"/>
      <c r="AP338" s="99" t="s">
        <v>511</v>
      </c>
      <c r="AQ338" s="99"/>
      <c r="AR338" s="99"/>
      <c r="AS338" s="99"/>
      <c r="AT338" s="99"/>
      <c r="AU338" s="99"/>
      <c r="AV338" s="99"/>
      <c r="AW338" s="55" t="s">
        <v>2367</v>
      </c>
      <c r="AX338" s="55" t="s">
        <v>1519</v>
      </c>
    </row>
    <row r="339" spans="1:50" x14ac:dyDescent="0.3">
      <c r="A339" s="43">
        <v>338</v>
      </c>
      <c r="B339" s="43">
        <v>73</v>
      </c>
      <c r="C339" s="118" t="s">
        <v>2543</v>
      </c>
      <c r="D339" s="255">
        <v>3</v>
      </c>
      <c r="E339" s="247" t="s">
        <v>259</v>
      </c>
      <c r="F339" s="248" t="s">
        <v>472</v>
      </c>
      <c r="G339" s="247">
        <v>28541</v>
      </c>
      <c r="H339" s="250">
        <f t="shared" si="65"/>
        <v>49360</v>
      </c>
      <c r="I339" s="48">
        <f t="shared" si="64"/>
        <v>49369</v>
      </c>
      <c r="J339" s="48">
        <v>49369</v>
      </c>
      <c r="K339" s="97">
        <v>36220</v>
      </c>
      <c r="L339" s="206" t="s">
        <v>2538</v>
      </c>
      <c r="M339" s="207" t="s">
        <v>287</v>
      </c>
      <c r="N339" s="118" t="s">
        <v>281</v>
      </c>
      <c r="O339" s="97">
        <v>41640</v>
      </c>
      <c r="P339" s="117"/>
      <c r="Q339" s="210" t="s">
        <v>71</v>
      </c>
      <c r="R339" s="119">
        <v>1.49</v>
      </c>
      <c r="S339" s="119"/>
      <c r="T339" s="99"/>
      <c r="U339" s="52">
        <f t="shared" si="59"/>
        <v>7047700</v>
      </c>
      <c r="V339" s="52">
        <f t="shared" si="63"/>
        <v>0</v>
      </c>
      <c r="W339" s="52">
        <f t="shared" si="67"/>
        <v>0</v>
      </c>
      <c r="X339" s="52">
        <f t="shared" si="66"/>
        <v>7047700</v>
      </c>
      <c r="Y339" s="52">
        <f>+VLOOKUP(E339,[2]Sheet1!$B$11:$J$400,9,0)</f>
        <v>6198400</v>
      </c>
      <c r="Z339" s="52"/>
      <c r="AA339" s="53" t="s">
        <v>1750</v>
      </c>
      <c r="AB339" s="99" t="s">
        <v>1424</v>
      </c>
      <c r="AC339" s="45" t="str">
        <f>+VLOOKUP(E339,[3]Sheet1!$B$11:$I$388,8,0)</f>
        <v>56 - 046</v>
      </c>
      <c r="AD339" s="99" t="s">
        <v>1787</v>
      </c>
      <c r="AE339" s="99" t="s">
        <v>2953</v>
      </c>
      <c r="AF339" s="100" t="s">
        <v>1425</v>
      </c>
      <c r="AG339" s="99">
        <f>+VALUE(AF339:AF712)</f>
        <v>225084223</v>
      </c>
      <c r="AH339" s="99" t="s">
        <v>1426</v>
      </c>
      <c r="AI339" s="99" t="s">
        <v>620</v>
      </c>
      <c r="AJ339" s="99" t="s">
        <v>1427</v>
      </c>
      <c r="AK339" s="101" t="s">
        <v>674</v>
      </c>
      <c r="AL339" s="99"/>
      <c r="AM339" s="99"/>
      <c r="AN339" s="99"/>
      <c r="AO339" s="99"/>
      <c r="AP339" s="99" t="s">
        <v>511</v>
      </c>
      <c r="AQ339" s="99"/>
      <c r="AR339" s="99"/>
      <c r="AS339" s="99"/>
      <c r="AT339" s="99"/>
      <c r="AU339" s="99"/>
      <c r="AV339" s="99"/>
      <c r="AW339" s="55" t="s">
        <v>2368</v>
      </c>
      <c r="AX339" s="55" t="s">
        <v>1519</v>
      </c>
    </row>
    <row r="340" spans="1:50" x14ac:dyDescent="0.3">
      <c r="A340" s="43">
        <v>339</v>
      </c>
      <c r="B340" s="43">
        <v>74</v>
      </c>
      <c r="C340" s="118" t="s">
        <v>2543</v>
      </c>
      <c r="D340" s="99">
        <v>4</v>
      </c>
      <c r="E340" s="256" t="s">
        <v>260</v>
      </c>
      <c r="F340" s="257" t="s">
        <v>473</v>
      </c>
      <c r="G340" s="256">
        <v>26990</v>
      </c>
      <c r="H340" s="258">
        <f t="shared" si="65"/>
        <v>47809</v>
      </c>
      <c r="I340" s="48">
        <f t="shared" si="64"/>
        <v>47818</v>
      </c>
      <c r="J340" s="48">
        <v>47818</v>
      </c>
      <c r="K340" s="97">
        <v>36982</v>
      </c>
      <c r="L340" s="206" t="s">
        <v>2538</v>
      </c>
      <c r="M340" s="207" t="s">
        <v>287</v>
      </c>
      <c r="N340" s="199" t="s">
        <v>281</v>
      </c>
      <c r="O340" s="97">
        <v>45505</v>
      </c>
      <c r="P340" s="117"/>
      <c r="Q340" s="118" t="s">
        <v>74</v>
      </c>
      <c r="R340" s="119">
        <v>1.68</v>
      </c>
      <c r="S340" s="119"/>
      <c r="T340" s="99"/>
      <c r="U340" s="52">
        <f t="shared" si="59"/>
        <v>7946400</v>
      </c>
      <c r="V340" s="52">
        <f t="shared" si="63"/>
        <v>0</v>
      </c>
      <c r="W340" s="52">
        <f t="shared" si="67"/>
        <v>0</v>
      </c>
      <c r="X340" s="52">
        <f t="shared" si="66"/>
        <v>7946400</v>
      </c>
      <c r="Y340" s="52">
        <f>+VLOOKUP(E340,[2]Sheet1!$B$11:$J$400,9,0)</f>
        <v>6572800</v>
      </c>
      <c r="Z340" s="52"/>
      <c r="AA340" s="53" t="s">
        <v>1751</v>
      </c>
      <c r="AB340" s="99" t="s">
        <v>1428</v>
      </c>
      <c r="AC340" s="45" t="str">
        <f>+VLOOKUP(E340,[3]Sheet1!$B$11:$I$388,8,0)</f>
        <v>56 - 051</v>
      </c>
      <c r="AD340" s="99" t="s">
        <v>1787</v>
      </c>
      <c r="AE340" s="99" t="s">
        <v>2954</v>
      </c>
      <c r="AF340" s="100" t="s">
        <v>1429</v>
      </c>
      <c r="AG340" s="99">
        <f>+VALUE(AF340:AF713)</f>
        <v>225813337</v>
      </c>
      <c r="AH340" s="99" t="s">
        <v>1430</v>
      </c>
      <c r="AI340" s="99" t="s">
        <v>620</v>
      </c>
      <c r="AJ340" s="99" t="s">
        <v>1431</v>
      </c>
      <c r="AK340" s="101" t="s">
        <v>1432</v>
      </c>
      <c r="AL340" s="99"/>
      <c r="AM340" s="99"/>
      <c r="AN340" s="99"/>
      <c r="AO340" s="99"/>
      <c r="AP340" s="99" t="s">
        <v>511</v>
      </c>
      <c r="AQ340" s="99"/>
      <c r="AR340" s="99"/>
      <c r="AS340" s="99"/>
      <c r="AT340" s="99"/>
      <c r="AU340" s="99"/>
      <c r="AV340" s="99"/>
      <c r="AW340" s="55" t="s">
        <v>2369</v>
      </c>
      <c r="AX340" s="55" t="s">
        <v>1519</v>
      </c>
    </row>
    <row r="341" spans="1:50" x14ac:dyDescent="0.3">
      <c r="A341" s="43">
        <v>340</v>
      </c>
      <c r="B341" s="43">
        <v>75</v>
      </c>
      <c r="C341" s="118" t="s">
        <v>2543</v>
      </c>
      <c r="D341" s="255">
        <v>5</v>
      </c>
      <c r="E341" s="99" t="s">
        <v>261</v>
      </c>
      <c r="F341" s="100" t="s">
        <v>474</v>
      </c>
      <c r="G341" s="97">
        <v>33531</v>
      </c>
      <c r="H341" s="47">
        <f t="shared" si="65"/>
        <v>54351</v>
      </c>
      <c r="I341" s="48">
        <f t="shared" si="64"/>
        <v>54363</v>
      </c>
      <c r="J341" s="48">
        <v>54363</v>
      </c>
      <c r="K341" s="97">
        <v>42309</v>
      </c>
      <c r="L341" s="206" t="s">
        <v>2538</v>
      </c>
      <c r="M341" s="207" t="s">
        <v>287</v>
      </c>
      <c r="N341" s="199" t="s">
        <v>281</v>
      </c>
      <c r="O341" s="97">
        <v>42370</v>
      </c>
      <c r="P341" s="117"/>
      <c r="Q341" s="200" t="s">
        <v>71</v>
      </c>
      <c r="R341" s="119">
        <v>1.49</v>
      </c>
      <c r="S341" s="119"/>
      <c r="T341" s="99"/>
      <c r="U341" s="52">
        <f t="shared" si="59"/>
        <v>7047700</v>
      </c>
      <c r="V341" s="52">
        <f t="shared" si="63"/>
        <v>0</v>
      </c>
      <c r="W341" s="52">
        <f t="shared" si="67"/>
        <v>0</v>
      </c>
      <c r="X341" s="52">
        <f t="shared" si="66"/>
        <v>7047700</v>
      </c>
      <c r="Y341" s="52">
        <f>+VLOOKUP(E341,[2]Sheet1!$B$11:$J$400,9,0)</f>
        <v>6198400</v>
      </c>
      <c r="Z341" s="52"/>
      <c r="AA341" s="53" t="s">
        <v>1752</v>
      </c>
      <c r="AB341" s="99" t="s">
        <v>669</v>
      </c>
      <c r="AC341" s="45" t="str">
        <f>+VLOOKUP(E341,[3]Sheet1!$B$11:$I$388,8,0)</f>
        <v>54 - 016</v>
      </c>
      <c r="AD341" s="99" t="s">
        <v>1787</v>
      </c>
      <c r="AE341" s="99" t="s">
        <v>2955</v>
      </c>
      <c r="AF341" s="100">
        <v>221293773</v>
      </c>
      <c r="AG341" s="99">
        <f>+VALUE(AF341:AF714)</f>
        <v>221293773</v>
      </c>
      <c r="AH341" s="99" t="s">
        <v>1433</v>
      </c>
      <c r="AI341" s="99" t="s">
        <v>615</v>
      </c>
      <c r="AJ341" s="99" t="s">
        <v>1434</v>
      </c>
      <c r="AK341" s="101" t="s">
        <v>1435</v>
      </c>
      <c r="AL341" s="99"/>
      <c r="AM341" s="99"/>
      <c r="AN341" s="99"/>
      <c r="AO341" s="99" t="s">
        <v>504</v>
      </c>
      <c r="AP341" s="99"/>
      <c r="AQ341" s="99"/>
      <c r="AR341" s="99"/>
      <c r="AS341" s="99"/>
      <c r="AT341" s="99"/>
      <c r="AU341" s="99"/>
      <c r="AV341" s="99"/>
      <c r="AW341" s="55" t="s">
        <v>2370</v>
      </c>
      <c r="AX341" s="55" t="s">
        <v>1519</v>
      </c>
    </row>
    <row r="342" spans="1:50" x14ac:dyDescent="0.3">
      <c r="A342" s="43">
        <v>341</v>
      </c>
      <c r="B342" s="43">
        <v>76</v>
      </c>
      <c r="C342" s="118" t="s">
        <v>2543</v>
      </c>
      <c r="D342" s="99">
        <v>6</v>
      </c>
      <c r="E342" s="99" t="s">
        <v>263</v>
      </c>
      <c r="F342" s="100" t="s">
        <v>638</v>
      </c>
      <c r="G342" s="97">
        <v>34546</v>
      </c>
      <c r="H342" s="47">
        <f t="shared" si="65"/>
        <v>55365</v>
      </c>
      <c r="I342" s="48">
        <f t="shared" si="64"/>
        <v>55366</v>
      </c>
      <c r="J342" s="48">
        <v>55366</v>
      </c>
      <c r="K342" s="97">
        <v>41671</v>
      </c>
      <c r="L342" s="206" t="s">
        <v>2538</v>
      </c>
      <c r="M342" s="207" t="s">
        <v>287</v>
      </c>
      <c r="N342" s="118" t="s">
        <v>281</v>
      </c>
      <c r="O342" s="97">
        <v>43191</v>
      </c>
      <c r="P342" s="117"/>
      <c r="Q342" s="238" t="s">
        <v>71</v>
      </c>
      <c r="R342" s="118">
        <v>1.49</v>
      </c>
      <c r="S342" s="119">
        <v>0.04</v>
      </c>
      <c r="T342" s="99"/>
      <c r="U342" s="52">
        <f t="shared" si="59"/>
        <v>7047700</v>
      </c>
      <c r="V342" s="52">
        <f t="shared" si="63"/>
        <v>176400</v>
      </c>
      <c r="W342" s="52">
        <f t="shared" si="67"/>
        <v>0</v>
      </c>
      <c r="X342" s="52">
        <f t="shared" si="66"/>
        <v>7224100</v>
      </c>
      <c r="Y342" s="52">
        <f>+VLOOKUP(E342,[2]Sheet1!$B$11:$J$400,9,0)</f>
        <v>6198400</v>
      </c>
      <c r="Z342" s="52"/>
      <c r="AA342" s="53" t="s">
        <v>1783</v>
      </c>
      <c r="AB342" s="99" t="s">
        <v>669</v>
      </c>
      <c r="AC342" s="45" t="str">
        <f>+VLOOKUP(E342,[3]Sheet1!$B$11:$I$388,8,0)</f>
        <v>56 - 183</v>
      </c>
      <c r="AD342" s="99" t="s">
        <v>1787</v>
      </c>
      <c r="AE342" s="99" t="s">
        <v>2957</v>
      </c>
      <c r="AF342" s="223" t="s">
        <v>640</v>
      </c>
      <c r="AG342" s="99">
        <f>+VALUE(AF342:AF716)</f>
        <v>225480924</v>
      </c>
      <c r="AH342" s="205" t="s">
        <v>639</v>
      </c>
      <c r="AI342" s="99" t="s">
        <v>620</v>
      </c>
      <c r="AJ342" s="99" t="s">
        <v>641</v>
      </c>
      <c r="AK342" s="101" t="s">
        <v>672</v>
      </c>
      <c r="AL342" s="99"/>
      <c r="AM342" s="99"/>
      <c r="AN342" s="99"/>
      <c r="AO342" s="99"/>
      <c r="AP342" s="99"/>
      <c r="AQ342" s="99"/>
      <c r="AR342" s="99"/>
      <c r="AS342" s="99"/>
      <c r="AT342" s="99"/>
      <c r="AU342" s="99"/>
      <c r="AV342" s="99"/>
      <c r="AW342" s="55" t="s">
        <v>2372</v>
      </c>
      <c r="AX342" s="55" t="s">
        <v>1519</v>
      </c>
    </row>
    <row r="343" spans="1:50" x14ac:dyDescent="0.3">
      <c r="A343" s="43">
        <v>342</v>
      </c>
      <c r="B343" s="43">
        <v>77</v>
      </c>
      <c r="C343" s="118" t="s">
        <v>2543</v>
      </c>
      <c r="D343" s="255">
        <v>7</v>
      </c>
      <c r="E343" s="97" t="s">
        <v>1995</v>
      </c>
      <c r="F343" s="100" t="s">
        <v>1996</v>
      </c>
      <c r="G343" s="205">
        <v>34678</v>
      </c>
      <c r="H343" s="47">
        <f t="shared" si="65"/>
        <v>55497</v>
      </c>
      <c r="I343" s="48">
        <f t="shared" si="64"/>
        <v>55519</v>
      </c>
      <c r="J343" s="48">
        <v>55519</v>
      </c>
      <c r="K343" s="97">
        <v>43739</v>
      </c>
      <c r="L343" s="206" t="s">
        <v>2538</v>
      </c>
      <c r="M343" s="207" t="s">
        <v>287</v>
      </c>
      <c r="N343" s="118" t="s">
        <v>281</v>
      </c>
      <c r="O343" s="97">
        <v>45839</v>
      </c>
      <c r="P343" s="117"/>
      <c r="Q343" s="238" t="s">
        <v>71</v>
      </c>
      <c r="R343" s="119">
        <v>1.49</v>
      </c>
      <c r="S343" s="119"/>
      <c r="T343" s="99"/>
      <c r="U343" s="52">
        <f t="shared" si="59"/>
        <v>7047700</v>
      </c>
      <c r="V343" s="52">
        <f t="shared" si="63"/>
        <v>0</v>
      </c>
      <c r="W343" s="52">
        <f t="shared" si="67"/>
        <v>0</v>
      </c>
      <c r="X343" s="52">
        <f t="shared" si="66"/>
        <v>7047700</v>
      </c>
      <c r="Y343" s="52">
        <f>+VLOOKUP(E343,[2]Sheet1!$B$11:$J$400,9,0)</f>
        <v>5865600</v>
      </c>
      <c r="Z343" s="52"/>
      <c r="AA343" s="53" t="s">
        <v>2001</v>
      </c>
      <c r="AB343" s="99"/>
      <c r="AC343" s="45" t="str">
        <f>+VLOOKUP(E343,[3]Sheet1!$B$11:$I$388,8,0)</f>
        <v>56 - 173</v>
      </c>
      <c r="AD343" s="99" t="s">
        <v>1787</v>
      </c>
      <c r="AE343" s="99" t="s">
        <v>2959</v>
      </c>
      <c r="AF343" s="100" t="s">
        <v>1997</v>
      </c>
      <c r="AG343" s="99">
        <f>+VALUE(AF343:AF719)</f>
        <v>225483953</v>
      </c>
      <c r="AH343" s="201" t="s">
        <v>1998</v>
      </c>
      <c r="AI343" s="99" t="s">
        <v>620</v>
      </c>
      <c r="AJ343" s="99" t="s">
        <v>1999</v>
      </c>
      <c r="AK343" s="99" t="s">
        <v>2000</v>
      </c>
      <c r="AL343" s="99"/>
      <c r="AM343" s="99"/>
      <c r="AN343" s="99"/>
      <c r="AO343" s="99" t="s">
        <v>564</v>
      </c>
      <c r="AP343" s="99"/>
      <c r="AQ343" s="99"/>
      <c r="AR343" s="99"/>
      <c r="AS343" s="99"/>
      <c r="AT343" s="97">
        <v>43570</v>
      </c>
      <c r="AU343" s="99"/>
      <c r="AV343" s="97">
        <v>44301</v>
      </c>
      <c r="AW343" s="55" t="s">
        <v>2374</v>
      </c>
      <c r="AX343" s="55" t="s">
        <v>1519</v>
      </c>
    </row>
    <row r="344" spans="1:50" x14ac:dyDescent="0.3">
      <c r="A344" s="43">
        <v>343</v>
      </c>
      <c r="B344" s="43">
        <v>78</v>
      </c>
      <c r="C344" s="118" t="s">
        <v>2543</v>
      </c>
      <c r="D344" s="99">
        <v>8</v>
      </c>
      <c r="E344" s="97" t="s">
        <v>1905</v>
      </c>
      <c r="F344" s="100" t="s">
        <v>1906</v>
      </c>
      <c r="G344" s="97">
        <v>34427</v>
      </c>
      <c r="H344" s="47">
        <f t="shared" si="65"/>
        <v>55246</v>
      </c>
      <c r="I344" s="48">
        <f t="shared" si="64"/>
        <v>55274</v>
      </c>
      <c r="J344" s="48">
        <v>55274</v>
      </c>
      <c r="K344" s="97">
        <v>43556</v>
      </c>
      <c r="L344" s="206" t="s">
        <v>2538</v>
      </c>
      <c r="M344" s="207" t="s">
        <v>287</v>
      </c>
      <c r="N344" s="118" t="s">
        <v>281</v>
      </c>
      <c r="O344" s="97">
        <v>43570</v>
      </c>
      <c r="P344" s="117"/>
      <c r="Q344" s="118" t="s">
        <v>72</v>
      </c>
      <c r="R344" s="119">
        <v>1.41</v>
      </c>
      <c r="S344" s="119"/>
      <c r="T344" s="99"/>
      <c r="U344" s="52">
        <f t="shared" si="59"/>
        <v>6669300</v>
      </c>
      <c r="V344" s="52">
        <f t="shared" si="63"/>
        <v>0</v>
      </c>
      <c r="W344" s="52">
        <f t="shared" si="67"/>
        <v>0</v>
      </c>
      <c r="X344" s="52">
        <f t="shared" si="66"/>
        <v>6669300</v>
      </c>
      <c r="Y344" s="52">
        <f>+VLOOKUP(E344,[2]Sheet1!$B$11:$J$400,9,0)</f>
        <v>5865600</v>
      </c>
      <c r="Z344" s="52"/>
      <c r="AA344" s="53" t="s">
        <v>1958</v>
      </c>
      <c r="AB344" s="99" t="s">
        <v>669</v>
      </c>
      <c r="AC344" s="45" t="str">
        <f>+VLOOKUP(E344,[3]Sheet1!$B$11:$I$388,8,0)</f>
        <v>56 - 183</v>
      </c>
      <c r="AD344" s="99" t="s">
        <v>1787</v>
      </c>
      <c r="AE344" s="99" t="s">
        <v>2960</v>
      </c>
      <c r="AF344" s="100" t="s">
        <v>1941</v>
      </c>
      <c r="AG344" s="99">
        <f>+VALUE(AF344:AF720)</f>
        <v>225806026</v>
      </c>
      <c r="AH344" s="205" t="s">
        <v>1942</v>
      </c>
      <c r="AI344" s="99" t="s">
        <v>620</v>
      </c>
      <c r="AJ344" s="99" t="s">
        <v>1911</v>
      </c>
      <c r="AK344" s="99" t="s">
        <v>1945</v>
      </c>
      <c r="AL344" s="99"/>
      <c r="AM344" s="99"/>
      <c r="AN344" s="99" t="s">
        <v>1912</v>
      </c>
      <c r="AO344" s="99"/>
      <c r="AP344" s="99"/>
      <c r="AQ344" s="99"/>
      <c r="AR344" s="99"/>
      <c r="AS344" s="99"/>
      <c r="AT344" s="97">
        <v>44165</v>
      </c>
      <c r="AU344" s="99"/>
      <c r="AV344" s="97">
        <v>44896</v>
      </c>
      <c r="AW344" s="55" t="s">
        <v>2375</v>
      </c>
      <c r="AX344" s="55" t="s">
        <v>1519</v>
      </c>
    </row>
    <row r="345" spans="1:50" x14ac:dyDescent="0.3">
      <c r="A345" s="43">
        <v>344</v>
      </c>
      <c r="B345" s="43">
        <v>79</v>
      </c>
      <c r="C345" s="118" t="s">
        <v>2543</v>
      </c>
      <c r="D345" s="255">
        <v>9</v>
      </c>
      <c r="E345" s="97" t="s">
        <v>2606</v>
      </c>
      <c r="F345" s="100" t="s">
        <v>2607</v>
      </c>
      <c r="G345" s="97">
        <v>34051</v>
      </c>
      <c r="H345" s="47">
        <f t="shared" si="65"/>
        <v>54870</v>
      </c>
      <c r="I345" s="48">
        <f t="shared" si="64"/>
        <v>54879</v>
      </c>
      <c r="J345" s="48">
        <v>54879</v>
      </c>
      <c r="K345" s="97">
        <v>44896</v>
      </c>
      <c r="L345" s="206" t="s">
        <v>2538</v>
      </c>
      <c r="M345" s="207" t="s">
        <v>287</v>
      </c>
      <c r="N345" s="118" t="s">
        <v>281</v>
      </c>
      <c r="O345" s="97">
        <v>44927</v>
      </c>
      <c r="P345" s="117"/>
      <c r="Q345" s="118" t="s">
        <v>72</v>
      </c>
      <c r="R345" s="119">
        <v>1.41</v>
      </c>
      <c r="S345" s="119"/>
      <c r="T345" s="99"/>
      <c r="U345" s="52">
        <f t="shared" si="59"/>
        <v>6669300</v>
      </c>
      <c r="V345" s="52">
        <f t="shared" si="63"/>
        <v>0</v>
      </c>
      <c r="W345" s="52">
        <f t="shared" si="67"/>
        <v>0</v>
      </c>
      <c r="X345" s="52">
        <f t="shared" si="66"/>
        <v>6669300</v>
      </c>
      <c r="Y345" s="52">
        <f>+VLOOKUP(E345,[2]Sheet1!$B$11:$J$400,9,0)</f>
        <v>5865600</v>
      </c>
      <c r="Z345" s="52"/>
      <c r="AA345" s="53" t="s">
        <v>2721</v>
      </c>
      <c r="AB345" s="99"/>
      <c r="AC345" s="45" t="str">
        <f>+VLOOKUP(E345,[3]Sheet1!$B$11:$I$388,8,0)</f>
        <v>56 - 183</v>
      </c>
      <c r="AD345" s="99" t="s">
        <v>1787</v>
      </c>
      <c r="AE345" s="99" t="s">
        <v>2608</v>
      </c>
      <c r="AF345" s="193" t="s">
        <v>2608</v>
      </c>
      <c r="AG345" s="99">
        <f>+VALUE(AF345:AF722)</f>
        <v>56093007660</v>
      </c>
      <c r="AH345" s="205" t="s">
        <v>2609</v>
      </c>
      <c r="AI345" s="99" t="s">
        <v>2427</v>
      </c>
      <c r="AJ345" s="55" t="s">
        <v>2610</v>
      </c>
      <c r="AK345" s="99" t="s">
        <v>2611</v>
      </c>
      <c r="AL345" s="99"/>
      <c r="AM345" s="99"/>
      <c r="AN345" s="99"/>
      <c r="AO345" s="99"/>
      <c r="AP345" s="99" t="s">
        <v>524</v>
      </c>
      <c r="AQ345" s="97">
        <v>44896</v>
      </c>
      <c r="AR345" s="99"/>
      <c r="AS345" s="99"/>
      <c r="AT345" s="97">
        <v>44927</v>
      </c>
      <c r="AU345" s="99"/>
      <c r="AV345" s="99"/>
      <c r="AW345" s="77" t="s">
        <v>2612</v>
      </c>
      <c r="AX345" s="55" t="s">
        <v>1519</v>
      </c>
    </row>
    <row r="346" spans="1:50" s="170" customFormat="1" x14ac:dyDescent="0.3">
      <c r="A346" s="43">
        <v>345</v>
      </c>
      <c r="B346" s="43">
        <v>80</v>
      </c>
      <c r="C346" s="118" t="s">
        <v>2543</v>
      </c>
      <c r="D346" s="99">
        <v>10</v>
      </c>
      <c r="E346" s="213" t="s">
        <v>1824</v>
      </c>
      <c r="F346" s="214" t="s">
        <v>419</v>
      </c>
      <c r="G346" s="211">
        <v>32046</v>
      </c>
      <c r="H346" s="47">
        <f t="shared" si="65"/>
        <v>52866</v>
      </c>
      <c r="I346" s="48">
        <f t="shared" si="64"/>
        <v>52871</v>
      </c>
      <c r="J346" s="48">
        <v>52871</v>
      </c>
      <c r="K346" s="211">
        <v>40848</v>
      </c>
      <c r="L346" s="206" t="s">
        <v>2538</v>
      </c>
      <c r="M346" s="207" t="s">
        <v>287</v>
      </c>
      <c r="N346" s="207" t="s">
        <v>281</v>
      </c>
      <c r="O346" s="211">
        <v>43405</v>
      </c>
      <c r="P346" s="217"/>
      <c r="Q346" s="200" t="s">
        <v>71</v>
      </c>
      <c r="R346" s="119">
        <v>1.49</v>
      </c>
      <c r="S346" s="218"/>
      <c r="T346" s="213"/>
      <c r="U346" s="52">
        <f t="shared" si="59"/>
        <v>7047700</v>
      </c>
      <c r="V346" s="52">
        <f t="shared" si="63"/>
        <v>0</v>
      </c>
      <c r="W346" s="52">
        <f t="shared" si="67"/>
        <v>0</v>
      </c>
      <c r="X346" s="52">
        <f t="shared" si="66"/>
        <v>7047700</v>
      </c>
      <c r="Y346" s="52">
        <f>+VLOOKUP(E346,[2]Sheet1!$B$11:$J$400,9,0)</f>
        <v>6198400</v>
      </c>
      <c r="Z346" s="52"/>
      <c r="AA346" s="53" t="s">
        <v>1883</v>
      </c>
      <c r="AB346" s="99" t="s">
        <v>618</v>
      </c>
      <c r="AC346" s="45" t="str">
        <f>+VLOOKUP(E346,[3]Sheet1!$B$11:$I$388,8,0)</f>
        <v>56 - 158</v>
      </c>
      <c r="AD346" s="99" t="s">
        <v>1787</v>
      </c>
      <c r="AE346" s="99" t="s">
        <v>2932</v>
      </c>
      <c r="AF346" s="214" t="s">
        <v>1825</v>
      </c>
      <c r="AG346" s="99">
        <f>+VALUE(AF301:AF685)</f>
        <v>225264579</v>
      </c>
      <c r="AH346" s="259" t="s">
        <v>1826</v>
      </c>
      <c r="AI346" s="213" t="s">
        <v>620</v>
      </c>
      <c r="AJ346" s="213" t="s">
        <v>1827</v>
      </c>
      <c r="AK346" s="222" t="s">
        <v>672</v>
      </c>
      <c r="AL346" s="213"/>
      <c r="AM346" s="213"/>
      <c r="AN346" s="213" t="s">
        <v>588</v>
      </c>
      <c r="AO346" s="213"/>
      <c r="AP346" s="213"/>
      <c r="AQ346" s="213"/>
      <c r="AR346" s="213"/>
      <c r="AS346" s="213"/>
      <c r="AT346" s="211">
        <v>44012</v>
      </c>
      <c r="AU346" s="213"/>
      <c r="AV346" s="211">
        <v>44743</v>
      </c>
      <c r="AW346" s="55" t="s">
        <v>2345</v>
      </c>
      <c r="AX346" s="55" t="s">
        <v>1519</v>
      </c>
    </row>
    <row r="347" spans="1:50" x14ac:dyDescent="0.3">
      <c r="A347" s="43">
        <v>346</v>
      </c>
      <c r="B347" s="43">
        <v>81</v>
      </c>
      <c r="C347" s="118" t="s">
        <v>2543</v>
      </c>
      <c r="D347" s="255">
        <v>11</v>
      </c>
      <c r="E347" s="99" t="s">
        <v>3119</v>
      </c>
      <c r="F347" s="100" t="s">
        <v>3120</v>
      </c>
      <c r="G347" s="97">
        <v>33467</v>
      </c>
      <c r="H347" s="47">
        <f t="shared" si="65"/>
        <v>54287</v>
      </c>
      <c r="I347" s="48">
        <f t="shared" ref="I347:I378" si="68">+EOMONTH(H347,0)+1</f>
        <v>54302</v>
      </c>
      <c r="J347" s="48">
        <v>54302</v>
      </c>
      <c r="K347" s="97">
        <v>45383</v>
      </c>
      <c r="L347" s="206" t="s">
        <v>2538</v>
      </c>
      <c r="M347" s="207" t="s">
        <v>287</v>
      </c>
      <c r="N347" s="118" t="s">
        <v>281</v>
      </c>
      <c r="O347" s="97">
        <v>45383</v>
      </c>
      <c r="P347" s="117"/>
      <c r="Q347" s="118" t="s">
        <v>72</v>
      </c>
      <c r="R347" s="119">
        <v>1.41</v>
      </c>
      <c r="S347" s="119"/>
      <c r="T347" s="99"/>
      <c r="U347" s="52">
        <f t="shared" si="59"/>
        <v>6669300</v>
      </c>
      <c r="V347" s="52">
        <f t="shared" si="63"/>
        <v>0</v>
      </c>
      <c r="W347" s="52">
        <f t="shared" si="67"/>
        <v>0</v>
      </c>
      <c r="X347" s="52">
        <f t="shared" si="66"/>
        <v>6669300</v>
      </c>
      <c r="Y347" s="52">
        <f>+VLOOKUP(E347,[2]Sheet1!$B$11:$J$400,9,0)</f>
        <v>5865600</v>
      </c>
      <c r="Z347" s="52"/>
      <c r="AA347" s="53" t="s">
        <v>3235</v>
      </c>
      <c r="AB347" s="99"/>
      <c r="AC347" s="45" t="e">
        <f>+VLOOKUP(E347,[3]Sheet1!$B$11:$I$388,8,0)</f>
        <v>#N/A</v>
      </c>
      <c r="AD347" s="99" t="s">
        <v>1787</v>
      </c>
      <c r="AE347" s="201" t="s">
        <v>3121</v>
      </c>
      <c r="AF347" s="100"/>
      <c r="AG347" s="99"/>
      <c r="AH347" s="205" t="s">
        <v>2517</v>
      </c>
      <c r="AI347" s="99" t="s">
        <v>615</v>
      </c>
      <c r="AJ347" s="99" t="s">
        <v>3122</v>
      </c>
      <c r="AK347" s="101"/>
      <c r="AL347" s="99"/>
      <c r="AM347" s="99"/>
      <c r="AN347" s="99"/>
      <c r="AO347" s="99"/>
      <c r="AP347" s="201" t="s">
        <v>3025</v>
      </c>
      <c r="AQ347" s="97">
        <v>45383</v>
      </c>
      <c r="AR347" s="99"/>
      <c r="AS347" s="99"/>
      <c r="AT347" s="99"/>
      <c r="AU347" s="99"/>
      <c r="AV347" s="99"/>
      <c r="AW347" s="77" t="s">
        <v>3123</v>
      </c>
      <c r="AX347" s="55" t="s">
        <v>1519</v>
      </c>
    </row>
    <row r="348" spans="1:50" x14ac:dyDescent="0.3">
      <c r="A348" s="43">
        <v>347</v>
      </c>
      <c r="B348" s="43">
        <v>82</v>
      </c>
      <c r="C348" s="118" t="s">
        <v>2543</v>
      </c>
      <c r="D348" s="99">
        <v>12</v>
      </c>
      <c r="E348" s="99" t="s">
        <v>3300</v>
      </c>
      <c r="F348" s="100" t="s">
        <v>3301</v>
      </c>
      <c r="G348" s="97">
        <v>37478</v>
      </c>
      <c r="H348" s="47">
        <f t="shared" si="65"/>
        <v>58297</v>
      </c>
      <c r="I348" s="48">
        <f t="shared" si="68"/>
        <v>58319</v>
      </c>
      <c r="J348" s="48">
        <v>54303</v>
      </c>
      <c r="K348" s="97">
        <v>45689</v>
      </c>
      <c r="L348" s="206" t="s">
        <v>2538</v>
      </c>
      <c r="M348" s="207" t="s">
        <v>287</v>
      </c>
      <c r="N348" s="118" t="s">
        <v>281</v>
      </c>
      <c r="O348" s="97">
        <v>45689</v>
      </c>
      <c r="P348" s="117"/>
      <c r="Q348" s="118" t="s">
        <v>72</v>
      </c>
      <c r="R348" s="119">
        <v>1.41</v>
      </c>
      <c r="S348" s="119"/>
      <c r="T348" s="99"/>
      <c r="U348" s="52">
        <f t="shared" si="59"/>
        <v>6669300</v>
      </c>
      <c r="V348" s="52">
        <f t="shared" si="63"/>
        <v>0</v>
      </c>
      <c r="W348" s="52">
        <f t="shared" si="67"/>
        <v>0</v>
      </c>
      <c r="X348" s="52">
        <f t="shared" si="66"/>
        <v>6669300</v>
      </c>
      <c r="Y348" s="52"/>
      <c r="Z348" s="52"/>
      <c r="AA348" s="73">
        <v>5620821918</v>
      </c>
      <c r="AB348" s="99" t="s">
        <v>3335</v>
      </c>
      <c r="AC348" s="45"/>
      <c r="AD348" s="99" t="s">
        <v>1787</v>
      </c>
      <c r="AE348" s="223" t="s">
        <v>3318</v>
      </c>
      <c r="AF348" s="100"/>
      <c r="AG348" s="99"/>
      <c r="AH348" s="205"/>
      <c r="AI348" s="99" t="s">
        <v>2427</v>
      </c>
      <c r="AJ348" s="99" t="s">
        <v>1395</v>
      </c>
      <c r="AK348" s="101"/>
      <c r="AL348" s="99"/>
      <c r="AM348" s="99" t="s">
        <v>3319</v>
      </c>
      <c r="AN348" s="99"/>
      <c r="AO348" s="99"/>
      <c r="AP348" s="201"/>
      <c r="AQ348" s="97">
        <v>45658</v>
      </c>
      <c r="AR348" s="99"/>
      <c r="AS348" s="99"/>
      <c r="AT348" s="99"/>
      <c r="AU348" s="99"/>
      <c r="AV348" s="99"/>
      <c r="AW348" s="77"/>
      <c r="AX348" s="55" t="s">
        <v>1519</v>
      </c>
    </row>
    <row r="349" spans="1:50" x14ac:dyDescent="0.3">
      <c r="A349" s="43">
        <v>348</v>
      </c>
      <c r="B349" s="43">
        <v>83</v>
      </c>
      <c r="C349" s="118" t="s">
        <v>2543</v>
      </c>
      <c r="D349" s="99">
        <v>13</v>
      </c>
      <c r="E349" s="99" t="s">
        <v>3424</v>
      </c>
      <c r="F349" s="100" t="s">
        <v>3434</v>
      </c>
      <c r="G349" s="97">
        <v>38886</v>
      </c>
      <c r="H349" s="47">
        <f t="shared" si="65"/>
        <v>59705</v>
      </c>
      <c r="I349" s="48">
        <f t="shared" si="68"/>
        <v>59718</v>
      </c>
      <c r="J349" s="48">
        <v>59718</v>
      </c>
      <c r="K349" s="97">
        <v>45839</v>
      </c>
      <c r="L349" s="206" t="s">
        <v>2538</v>
      </c>
      <c r="M349" s="207" t="s">
        <v>287</v>
      </c>
      <c r="N349" s="118" t="s">
        <v>281</v>
      </c>
      <c r="O349" s="97">
        <v>45839</v>
      </c>
      <c r="P349" s="117"/>
      <c r="Q349" s="118" t="s">
        <v>73</v>
      </c>
      <c r="R349" s="119">
        <v>1.33</v>
      </c>
      <c r="S349" s="119"/>
      <c r="T349" s="99"/>
      <c r="U349" s="52">
        <f t="shared" si="59"/>
        <v>6290900</v>
      </c>
      <c r="V349" s="52">
        <f t="shared" si="63"/>
        <v>0</v>
      </c>
      <c r="W349" s="52">
        <f t="shared" si="67"/>
        <v>0</v>
      </c>
      <c r="X349" s="52">
        <f t="shared" si="66"/>
        <v>6290900</v>
      </c>
      <c r="Y349" s="52"/>
      <c r="Z349" s="52"/>
      <c r="AA349" s="73">
        <v>5621427883</v>
      </c>
      <c r="AB349" s="99" t="s">
        <v>3335</v>
      </c>
      <c r="AC349" s="45"/>
      <c r="AD349" s="99" t="s">
        <v>1787</v>
      </c>
      <c r="AE349" s="223" t="s">
        <v>3425</v>
      </c>
      <c r="AF349" s="100"/>
      <c r="AG349" s="99"/>
      <c r="AH349" s="205"/>
      <c r="AI349" s="99" t="s">
        <v>2427</v>
      </c>
      <c r="AJ349" s="99" t="s">
        <v>3426</v>
      </c>
      <c r="AK349" s="101"/>
      <c r="AL349" s="99"/>
      <c r="AM349" s="99"/>
      <c r="AN349" s="99"/>
      <c r="AO349" s="99"/>
      <c r="AP349" s="201" t="s">
        <v>3025</v>
      </c>
      <c r="AQ349" s="97"/>
      <c r="AR349" s="99"/>
      <c r="AS349" s="97">
        <v>45839</v>
      </c>
      <c r="AT349" s="99"/>
      <c r="AU349" s="99"/>
      <c r="AV349" s="99"/>
      <c r="AW349" s="77"/>
      <c r="AX349" s="55" t="s">
        <v>1519</v>
      </c>
    </row>
    <row r="350" spans="1:50" x14ac:dyDescent="0.3">
      <c r="A350" s="43">
        <v>349</v>
      </c>
      <c r="B350" s="43">
        <v>84</v>
      </c>
      <c r="C350" s="118" t="s">
        <v>2543</v>
      </c>
      <c r="D350" s="101">
        <v>1</v>
      </c>
      <c r="E350" s="213" t="s">
        <v>681</v>
      </c>
      <c r="F350" s="100" t="s">
        <v>477</v>
      </c>
      <c r="G350" s="97">
        <v>27391</v>
      </c>
      <c r="H350" s="47">
        <f t="shared" ref="H350:H364" si="69">+DATE(YEAR(G350)+57,MONTH(G350),DAY(G350))</f>
        <v>48210</v>
      </c>
      <c r="I350" s="48">
        <f t="shared" si="68"/>
        <v>48214</v>
      </c>
      <c r="J350" s="48">
        <v>48214</v>
      </c>
      <c r="K350" s="97">
        <v>35370</v>
      </c>
      <c r="L350" s="197" t="s">
        <v>1860</v>
      </c>
      <c r="M350" s="207" t="s">
        <v>287</v>
      </c>
      <c r="N350" s="118" t="s">
        <v>281</v>
      </c>
      <c r="O350" s="97">
        <v>42309</v>
      </c>
      <c r="P350" s="117"/>
      <c r="Q350" s="238" t="s">
        <v>74</v>
      </c>
      <c r="R350" s="118">
        <v>1.68</v>
      </c>
      <c r="S350" s="119"/>
      <c r="T350" s="99">
        <v>0.2</v>
      </c>
      <c r="U350" s="52">
        <f t="shared" si="59"/>
        <v>7946400</v>
      </c>
      <c r="V350" s="52">
        <f t="shared" ref="V350:V362" si="70">+S350*4410000</f>
        <v>0</v>
      </c>
      <c r="W350" s="52">
        <f t="shared" ref="W350:W385" si="71">+T350*2340000</f>
        <v>468000</v>
      </c>
      <c r="X350" s="52">
        <f t="shared" si="66"/>
        <v>8414400</v>
      </c>
      <c r="Y350" s="52">
        <f>+VLOOKUP(E350,[2]Sheet1!$B$11:$J$400,9,0)</f>
        <v>7348800</v>
      </c>
      <c r="Z350" s="52"/>
      <c r="AA350" s="53" t="s">
        <v>1757</v>
      </c>
      <c r="AB350" s="99" t="s">
        <v>1443</v>
      </c>
      <c r="AC350" s="45" t="str">
        <f>+VLOOKUP(E350,[3]Sheet1!$B$11:$I$388,8,0)</f>
        <v>52 - 008</v>
      </c>
      <c r="AD350" s="99" t="s">
        <v>1787</v>
      </c>
      <c r="AE350" s="99" t="s">
        <v>2963</v>
      </c>
      <c r="AF350" s="100">
        <v>220915699</v>
      </c>
      <c r="AG350" s="99">
        <f t="shared" ref="AG350:AG357" si="72">+VALUE(AF350:AF724)</f>
        <v>220915699</v>
      </c>
      <c r="AH350" s="99" t="s">
        <v>1446</v>
      </c>
      <c r="AI350" s="99" t="s">
        <v>1283</v>
      </c>
      <c r="AJ350" s="99" t="s">
        <v>1447</v>
      </c>
      <c r="AK350" s="101" t="s">
        <v>1299</v>
      </c>
      <c r="AL350" s="99"/>
      <c r="AM350" s="99"/>
      <c r="AN350" s="99"/>
      <c r="AO350" s="99" t="s">
        <v>504</v>
      </c>
      <c r="AP350" s="99"/>
      <c r="AQ350" s="99"/>
      <c r="AR350" s="99"/>
      <c r="AS350" s="99"/>
      <c r="AT350" s="99"/>
      <c r="AU350" s="99"/>
      <c r="AV350" s="99"/>
      <c r="AW350" s="55" t="s">
        <v>2376</v>
      </c>
      <c r="AX350" s="55" t="s">
        <v>1519</v>
      </c>
    </row>
    <row r="351" spans="1:50" x14ac:dyDescent="0.3">
      <c r="A351" s="43">
        <v>350</v>
      </c>
      <c r="B351" s="43">
        <v>85</v>
      </c>
      <c r="C351" s="118" t="s">
        <v>2543</v>
      </c>
      <c r="D351" s="101">
        <v>2</v>
      </c>
      <c r="E351" s="202" t="s">
        <v>265</v>
      </c>
      <c r="F351" s="100" t="s">
        <v>478</v>
      </c>
      <c r="G351" s="97">
        <v>31948</v>
      </c>
      <c r="H351" s="47">
        <f t="shared" si="69"/>
        <v>52768</v>
      </c>
      <c r="I351" s="48">
        <f t="shared" si="68"/>
        <v>52779</v>
      </c>
      <c r="J351" s="48">
        <v>52779</v>
      </c>
      <c r="K351" s="97">
        <v>40330</v>
      </c>
      <c r="L351" s="197" t="s">
        <v>1860</v>
      </c>
      <c r="M351" s="207" t="s">
        <v>287</v>
      </c>
      <c r="N351" s="118" t="s">
        <v>281</v>
      </c>
      <c r="O351" s="97">
        <v>42370</v>
      </c>
      <c r="P351" s="204"/>
      <c r="Q351" s="200" t="s">
        <v>71</v>
      </c>
      <c r="R351" s="119">
        <v>1.49</v>
      </c>
      <c r="S351" s="119"/>
      <c r="T351" s="99">
        <v>0.2</v>
      </c>
      <c r="U351" s="52">
        <f t="shared" si="59"/>
        <v>7047700</v>
      </c>
      <c r="V351" s="52">
        <f t="shared" si="70"/>
        <v>0</v>
      </c>
      <c r="W351" s="52">
        <f t="shared" si="71"/>
        <v>468000</v>
      </c>
      <c r="X351" s="52">
        <f t="shared" si="66"/>
        <v>7515700</v>
      </c>
      <c r="Y351" s="52">
        <f>+VLOOKUP(E351,[2]Sheet1!$B$11:$J$400,9,0)</f>
        <v>6558400</v>
      </c>
      <c r="Z351" s="52"/>
      <c r="AA351" s="53" t="s">
        <v>1758</v>
      </c>
      <c r="AB351" s="99" t="s">
        <v>1443</v>
      </c>
      <c r="AC351" s="45" t="str">
        <f>+VLOOKUP(E351,[3]Sheet1!$B$11:$I$388,8,0)</f>
        <v>52 - 008</v>
      </c>
      <c r="AD351" s="99" t="s">
        <v>1787</v>
      </c>
      <c r="AE351" s="99" t="s">
        <v>2964</v>
      </c>
      <c r="AF351" s="100">
        <v>215043243</v>
      </c>
      <c r="AG351" s="99">
        <f t="shared" si="72"/>
        <v>215043243</v>
      </c>
      <c r="AH351" s="99" t="s">
        <v>1448</v>
      </c>
      <c r="AI351" s="99" t="s">
        <v>610</v>
      </c>
      <c r="AJ351" s="99" t="s">
        <v>1449</v>
      </c>
      <c r="AK351" s="101" t="s">
        <v>1449</v>
      </c>
      <c r="AL351" s="99"/>
      <c r="AM351" s="99"/>
      <c r="AN351" s="99"/>
      <c r="AO351" s="99" t="s">
        <v>504</v>
      </c>
      <c r="AP351" s="99" t="s">
        <v>511</v>
      </c>
      <c r="AQ351" s="99"/>
      <c r="AR351" s="99"/>
      <c r="AS351" s="99"/>
      <c r="AT351" s="99"/>
      <c r="AU351" s="99"/>
      <c r="AV351" s="99"/>
      <c r="AW351" s="55" t="s">
        <v>2377</v>
      </c>
      <c r="AX351" s="55" t="s">
        <v>1519</v>
      </c>
    </row>
    <row r="352" spans="1:50" x14ac:dyDescent="0.3">
      <c r="A352" s="43">
        <v>351</v>
      </c>
      <c r="B352" s="43">
        <v>86</v>
      </c>
      <c r="C352" s="118" t="s">
        <v>2543</v>
      </c>
      <c r="D352" s="101">
        <v>3</v>
      </c>
      <c r="E352" s="202" t="s">
        <v>266</v>
      </c>
      <c r="F352" s="100" t="s">
        <v>479</v>
      </c>
      <c r="G352" s="97">
        <v>33289</v>
      </c>
      <c r="H352" s="47">
        <f t="shared" si="69"/>
        <v>54108</v>
      </c>
      <c r="I352" s="48">
        <f t="shared" si="68"/>
        <v>54118</v>
      </c>
      <c r="J352" s="48">
        <v>54118</v>
      </c>
      <c r="K352" s="97">
        <v>41671</v>
      </c>
      <c r="L352" s="197" t="s">
        <v>1860</v>
      </c>
      <c r="M352" s="207" t="s">
        <v>287</v>
      </c>
      <c r="N352" s="118" t="s">
        <v>286</v>
      </c>
      <c r="O352" s="204" t="s">
        <v>3238</v>
      </c>
      <c r="P352" s="204"/>
      <c r="Q352" s="238" t="s">
        <v>76</v>
      </c>
      <c r="R352" s="119">
        <v>1.58</v>
      </c>
      <c r="S352" s="119">
        <v>0.06</v>
      </c>
      <c r="T352" s="99">
        <v>0.2</v>
      </c>
      <c r="U352" s="52">
        <f t="shared" si="59"/>
        <v>7473400</v>
      </c>
      <c r="V352" s="52">
        <f t="shared" si="70"/>
        <v>264600</v>
      </c>
      <c r="W352" s="52">
        <f t="shared" si="71"/>
        <v>468000</v>
      </c>
      <c r="X352" s="52">
        <f>+U352+V352+W352</f>
        <v>8206000</v>
      </c>
      <c r="Y352" s="52">
        <f>+VLOOKUP(E352,[2]Sheet1!$B$11:$J$400,9,0)</f>
        <v>6724800</v>
      </c>
      <c r="Z352" s="52"/>
      <c r="AA352" s="53" t="s">
        <v>2723</v>
      </c>
      <c r="AB352" s="99" t="s">
        <v>1450</v>
      </c>
      <c r="AC352" s="45" t="str">
        <f>+VLOOKUP(E352,[3]Sheet1!$B$11:$I$388,8,0)</f>
        <v>52 - 006</v>
      </c>
      <c r="AD352" s="99" t="s">
        <v>1787</v>
      </c>
      <c r="AE352" s="209" t="s">
        <v>3365</v>
      </c>
      <c r="AF352" s="100" t="s">
        <v>2146</v>
      </c>
      <c r="AG352" s="99">
        <f t="shared" si="72"/>
        <v>215136105</v>
      </c>
      <c r="AH352" s="99" t="s">
        <v>1451</v>
      </c>
      <c r="AI352" s="99" t="s">
        <v>610</v>
      </c>
      <c r="AJ352" s="99" t="s">
        <v>1452</v>
      </c>
      <c r="AK352" s="101" t="s">
        <v>1453</v>
      </c>
      <c r="AL352" s="99"/>
      <c r="AM352" s="99"/>
      <c r="AN352" s="99"/>
      <c r="AO352" s="99"/>
      <c r="AP352" s="99"/>
      <c r="AQ352" s="99"/>
      <c r="AR352" s="99"/>
      <c r="AS352" s="99"/>
      <c r="AT352" s="99"/>
      <c r="AU352" s="99"/>
      <c r="AV352" s="99"/>
      <c r="AW352" s="55" t="s">
        <v>2378</v>
      </c>
      <c r="AX352" s="55" t="s">
        <v>1519</v>
      </c>
    </row>
    <row r="353" spans="1:50" x14ac:dyDescent="0.3">
      <c r="A353" s="43">
        <v>352</v>
      </c>
      <c r="B353" s="43">
        <v>87</v>
      </c>
      <c r="C353" s="118" t="s">
        <v>2543</v>
      </c>
      <c r="D353" s="101">
        <v>4</v>
      </c>
      <c r="E353" s="213" t="s">
        <v>268</v>
      </c>
      <c r="F353" s="100" t="s">
        <v>389</v>
      </c>
      <c r="G353" s="97">
        <v>34335</v>
      </c>
      <c r="H353" s="47">
        <f t="shared" si="69"/>
        <v>55154</v>
      </c>
      <c r="I353" s="48">
        <f t="shared" si="68"/>
        <v>55185</v>
      </c>
      <c r="J353" s="48">
        <v>55185</v>
      </c>
      <c r="K353" s="97">
        <v>42767</v>
      </c>
      <c r="L353" s="197" t="s">
        <v>1860</v>
      </c>
      <c r="M353" s="207" t="s">
        <v>287</v>
      </c>
      <c r="N353" s="118" t="s">
        <v>3466</v>
      </c>
      <c r="O353" s="97">
        <v>42767</v>
      </c>
      <c r="P353" s="117"/>
      <c r="Q353" s="118" t="s">
        <v>71</v>
      </c>
      <c r="R353" s="119">
        <v>1.49</v>
      </c>
      <c r="S353" s="119">
        <v>0.04</v>
      </c>
      <c r="T353" s="99">
        <v>0.2</v>
      </c>
      <c r="U353" s="52">
        <f t="shared" si="59"/>
        <v>7047700</v>
      </c>
      <c r="V353" s="52">
        <f t="shared" si="70"/>
        <v>176400</v>
      </c>
      <c r="W353" s="52">
        <f t="shared" si="71"/>
        <v>468000</v>
      </c>
      <c r="X353" s="52">
        <f t="shared" si="66"/>
        <v>7692100</v>
      </c>
      <c r="Y353" s="52">
        <f>+VLOOKUP(E353,[2]Sheet1!$B$11:$J$400,9,0)</f>
        <v>6558400</v>
      </c>
      <c r="Z353" s="52"/>
      <c r="AA353" s="53" t="s">
        <v>1760</v>
      </c>
      <c r="AB353" s="99" t="s">
        <v>618</v>
      </c>
      <c r="AC353" s="45" t="str">
        <f>+VLOOKUP(E353,[3]Sheet1!$B$11:$I$388,8,0)</f>
        <v>52 - 008</v>
      </c>
      <c r="AD353" s="99" t="s">
        <v>1787</v>
      </c>
      <c r="AE353" s="99" t="s">
        <v>2965</v>
      </c>
      <c r="AF353" s="100">
        <v>215248534</v>
      </c>
      <c r="AG353" s="99">
        <f t="shared" si="72"/>
        <v>215248534</v>
      </c>
      <c r="AH353" s="99" t="s">
        <v>1458</v>
      </c>
      <c r="AI353" s="99" t="s">
        <v>610</v>
      </c>
      <c r="AJ353" s="99" t="s">
        <v>1459</v>
      </c>
      <c r="AK353" s="101" t="s">
        <v>1460</v>
      </c>
      <c r="AL353" s="99"/>
      <c r="AM353" s="99"/>
      <c r="AN353" s="99"/>
      <c r="AO353" s="99" t="s">
        <v>504</v>
      </c>
      <c r="AP353" s="99"/>
      <c r="AQ353" s="99"/>
      <c r="AR353" s="99"/>
      <c r="AS353" s="99"/>
      <c r="AT353" s="99"/>
      <c r="AU353" s="99"/>
      <c r="AV353" s="99"/>
      <c r="AW353" s="55" t="s">
        <v>2379</v>
      </c>
      <c r="AX353" s="55" t="s">
        <v>1519</v>
      </c>
    </row>
    <row r="354" spans="1:50" x14ac:dyDescent="0.3">
      <c r="A354" s="43">
        <v>353</v>
      </c>
      <c r="B354" s="43">
        <v>88</v>
      </c>
      <c r="C354" s="118" t="s">
        <v>2543</v>
      </c>
      <c r="D354" s="101">
        <v>5</v>
      </c>
      <c r="E354" s="213" t="s">
        <v>643</v>
      </c>
      <c r="F354" s="100" t="s">
        <v>642</v>
      </c>
      <c r="G354" s="97">
        <v>34920</v>
      </c>
      <c r="H354" s="47">
        <f t="shared" si="69"/>
        <v>55740</v>
      </c>
      <c r="I354" s="48">
        <f t="shared" si="68"/>
        <v>55763</v>
      </c>
      <c r="J354" s="48">
        <v>55763</v>
      </c>
      <c r="K354" s="97">
        <v>43191</v>
      </c>
      <c r="L354" s="197" t="s">
        <v>1860</v>
      </c>
      <c r="M354" s="207" t="s">
        <v>287</v>
      </c>
      <c r="N354" s="118" t="s">
        <v>281</v>
      </c>
      <c r="O354" s="97">
        <v>43191</v>
      </c>
      <c r="P354" s="117"/>
      <c r="Q354" s="238" t="s">
        <v>71</v>
      </c>
      <c r="R354" s="118">
        <v>1.49</v>
      </c>
      <c r="S354" s="119"/>
      <c r="T354" s="99">
        <v>0.2</v>
      </c>
      <c r="U354" s="52">
        <f t="shared" ref="U354:U398" si="73">+R354*4730000</f>
        <v>7047700</v>
      </c>
      <c r="V354" s="52">
        <f t="shared" si="70"/>
        <v>0</v>
      </c>
      <c r="W354" s="52">
        <f t="shared" si="71"/>
        <v>468000</v>
      </c>
      <c r="X354" s="52">
        <f t="shared" si="66"/>
        <v>7515700</v>
      </c>
      <c r="Y354" s="52">
        <f>+VLOOKUP(E354,[2]Sheet1!$B$11:$J$400,9,0)</f>
        <v>6558400</v>
      </c>
      <c r="Z354" s="52"/>
      <c r="AA354" s="53" t="s">
        <v>1761</v>
      </c>
      <c r="AB354" s="99" t="e">
        <v>#N/A</v>
      </c>
      <c r="AC354" s="45" t="str">
        <f>+VLOOKUP(E354,[3]Sheet1!$B$11:$I$388,8,0)</f>
        <v>52 - 008</v>
      </c>
      <c r="AD354" s="99" t="s">
        <v>1787</v>
      </c>
      <c r="AE354" s="99" t="s">
        <v>2966</v>
      </c>
      <c r="AF354" s="100" t="s">
        <v>644</v>
      </c>
      <c r="AG354" s="99">
        <f t="shared" si="72"/>
        <v>221350313</v>
      </c>
      <c r="AH354" s="205" t="s">
        <v>645</v>
      </c>
      <c r="AI354" s="99" t="s">
        <v>615</v>
      </c>
      <c r="AJ354" s="99" t="s">
        <v>1861</v>
      </c>
      <c r="AK354" s="101" t="e">
        <v>#N/A</v>
      </c>
      <c r="AL354" s="99"/>
      <c r="AM354" s="99"/>
      <c r="AN354" s="99"/>
      <c r="AO354" s="99" t="s">
        <v>576</v>
      </c>
      <c r="AP354" s="99"/>
      <c r="AQ354" s="99"/>
      <c r="AR354" s="99"/>
      <c r="AS354" s="99"/>
      <c r="AT354" s="99"/>
      <c r="AU354" s="99"/>
      <c r="AV354" s="99"/>
      <c r="AW354" s="55" t="s">
        <v>2380</v>
      </c>
      <c r="AX354" s="55" t="s">
        <v>1519</v>
      </c>
    </row>
    <row r="355" spans="1:50" x14ac:dyDescent="0.3">
      <c r="A355" s="43">
        <v>354</v>
      </c>
      <c r="B355" s="43">
        <v>89</v>
      </c>
      <c r="C355" s="118" t="s">
        <v>2543</v>
      </c>
      <c r="D355" s="101">
        <v>6</v>
      </c>
      <c r="E355" s="99" t="s">
        <v>243</v>
      </c>
      <c r="F355" s="100" t="s">
        <v>621</v>
      </c>
      <c r="G355" s="97">
        <v>34408</v>
      </c>
      <c r="H355" s="47">
        <f t="shared" si="69"/>
        <v>55227</v>
      </c>
      <c r="I355" s="48">
        <f t="shared" si="68"/>
        <v>55244</v>
      </c>
      <c r="J355" s="48">
        <v>55244</v>
      </c>
      <c r="K355" s="97">
        <v>43191</v>
      </c>
      <c r="L355" s="197" t="s">
        <v>1860</v>
      </c>
      <c r="M355" s="207" t="s">
        <v>287</v>
      </c>
      <c r="N355" s="118" t="s">
        <v>281</v>
      </c>
      <c r="O355" s="117" t="s">
        <v>3238</v>
      </c>
      <c r="P355" s="117"/>
      <c r="Q355" s="238" t="s">
        <v>71</v>
      </c>
      <c r="R355" s="119">
        <v>1.49</v>
      </c>
      <c r="S355" s="119"/>
      <c r="T355" s="99">
        <v>0.2</v>
      </c>
      <c r="U355" s="52">
        <f t="shared" si="73"/>
        <v>7047700</v>
      </c>
      <c r="V355" s="52">
        <f t="shared" si="70"/>
        <v>0</v>
      </c>
      <c r="W355" s="52">
        <f t="shared" si="71"/>
        <v>468000</v>
      </c>
      <c r="X355" s="52">
        <f t="shared" si="66"/>
        <v>7515700</v>
      </c>
      <c r="Y355" s="52">
        <f>+VLOOKUP(E355,[2]Sheet1!$B$11:$J$400,9,0)</f>
        <v>6225600</v>
      </c>
      <c r="Z355" s="52"/>
      <c r="AA355" s="53" t="s">
        <v>1734</v>
      </c>
      <c r="AB355" s="99" t="s">
        <v>618</v>
      </c>
      <c r="AC355" s="45" t="str">
        <f>+VLOOKUP(E355,[3]Sheet1!$B$11:$I$388,8,0)</f>
        <v>52 - 187</v>
      </c>
      <c r="AD355" s="99" t="s">
        <v>1787</v>
      </c>
      <c r="AE355" s="99" t="s">
        <v>2967</v>
      </c>
      <c r="AF355" s="100" t="s">
        <v>622</v>
      </c>
      <c r="AG355" s="99">
        <f t="shared" si="72"/>
        <v>215248603</v>
      </c>
      <c r="AH355" s="205" t="s">
        <v>623</v>
      </c>
      <c r="AI355" s="99" t="s">
        <v>610</v>
      </c>
      <c r="AJ355" s="99" t="s">
        <v>624</v>
      </c>
      <c r="AK355" s="101" t="e">
        <v>#N/A</v>
      </c>
      <c r="AL355" s="99"/>
      <c r="AM355" s="99"/>
      <c r="AN355" s="99"/>
      <c r="AO355" s="99" t="s">
        <v>504</v>
      </c>
      <c r="AP355" s="99"/>
      <c r="AQ355" s="99"/>
      <c r="AR355" s="99"/>
      <c r="AS355" s="99"/>
      <c r="AT355" s="97">
        <v>43570</v>
      </c>
      <c r="AU355" s="99"/>
      <c r="AV355" s="97">
        <v>44301</v>
      </c>
      <c r="AW355" s="55" t="s">
        <v>2381</v>
      </c>
      <c r="AX355" s="55" t="s">
        <v>1519</v>
      </c>
    </row>
    <row r="356" spans="1:50" x14ac:dyDescent="0.3">
      <c r="A356" s="43">
        <v>355</v>
      </c>
      <c r="B356" s="43">
        <v>90</v>
      </c>
      <c r="C356" s="118" t="s">
        <v>2543</v>
      </c>
      <c r="D356" s="101">
        <v>7</v>
      </c>
      <c r="E356" s="99" t="s">
        <v>1914</v>
      </c>
      <c r="F356" s="100" t="s">
        <v>1915</v>
      </c>
      <c r="G356" s="97">
        <v>34294</v>
      </c>
      <c r="H356" s="47">
        <f t="shared" si="69"/>
        <v>55113</v>
      </c>
      <c r="I356" s="48">
        <f t="shared" si="68"/>
        <v>55123</v>
      </c>
      <c r="J356" s="48">
        <v>55123</v>
      </c>
      <c r="K356" s="97">
        <v>43556</v>
      </c>
      <c r="L356" s="197" t="s">
        <v>1860</v>
      </c>
      <c r="M356" s="207" t="s">
        <v>287</v>
      </c>
      <c r="N356" s="118" t="s">
        <v>281</v>
      </c>
      <c r="O356" s="97">
        <v>45139</v>
      </c>
      <c r="P356" s="117"/>
      <c r="Q356" s="238" t="s">
        <v>71</v>
      </c>
      <c r="R356" s="118">
        <v>1.49</v>
      </c>
      <c r="S356" s="119"/>
      <c r="T356" s="99">
        <v>0.2</v>
      </c>
      <c r="U356" s="52">
        <f t="shared" si="73"/>
        <v>7047700</v>
      </c>
      <c r="V356" s="52">
        <f t="shared" si="70"/>
        <v>0</v>
      </c>
      <c r="W356" s="52">
        <f t="shared" si="71"/>
        <v>468000</v>
      </c>
      <c r="X356" s="52">
        <f t="shared" si="66"/>
        <v>7515700</v>
      </c>
      <c r="Y356" s="52">
        <f>+VLOOKUP(E356,[2]Sheet1!$B$11:$J$400,9,0)</f>
        <v>6558400</v>
      </c>
      <c r="Z356" s="52"/>
      <c r="AA356" s="53" t="s">
        <v>1954</v>
      </c>
      <c r="AB356" s="99" t="s">
        <v>682</v>
      </c>
      <c r="AC356" s="45" t="str">
        <f>+VLOOKUP(E356,[3]Sheet1!$B$11:$I$388,8,0)</f>
        <v>52 - 008</v>
      </c>
      <c r="AD356" s="99" t="s">
        <v>1787</v>
      </c>
      <c r="AE356" s="99" t="s">
        <v>2968</v>
      </c>
      <c r="AF356" s="100" t="s">
        <v>1916</v>
      </c>
      <c r="AG356" s="99">
        <f t="shared" si="72"/>
        <v>221285472</v>
      </c>
      <c r="AH356" s="205" t="s">
        <v>1917</v>
      </c>
      <c r="AI356" s="99" t="s">
        <v>1283</v>
      </c>
      <c r="AJ356" s="99" t="s">
        <v>1918</v>
      </c>
      <c r="AK356" s="101" t="s">
        <v>1471</v>
      </c>
      <c r="AL356" s="99"/>
      <c r="AM356" s="99"/>
      <c r="AN356" s="99" t="s">
        <v>1919</v>
      </c>
      <c r="AO356" s="99"/>
      <c r="AP356" s="99"/>
      <c r="AQ356" s="99"/>
      <c r="AR356" s="99"/>
      <c r="AS356" s="99"/>
      <c r="AT356" s="97">
        <v>43570</v>
      </c>
      <c r="AU356" s="99"/>
      <c r="AV356" s="97">
        <v>44301</v>
      </c>
      <c r="AW356" s="55" t="s">
        <v>2382</v>
      </c>
      <c r="AX356" s="55" t="s">
        <v>1519</v>
      </c>
    </row>
    <row r="357" spans="1:50" x14ac:dyDescent="0.3">
      <c r="A357" s="43">
        <v>356</v>
      </c>
      <c r="B357" s="43">
        <v>91</v>
      </c>
      <c r="C357" s="118" t="s">
        <v>2543</v>
      </c>
      <c r="D357" s="101">
        <v>8</v>
      </c>
      <c r="E357" s="99" t="s">
        <v>1926</v>
      </c>
      <c r="F357" s="100" t="s">
        <v>1927</v>
      </c>
      <c r="G357" s="97">
        <v>34069</v>
      </c>
      <c r="H357" s="47">
        <f t="shared" si="69"/>
        <v>54888</v>
      </c>
      <c r="I357" s="48">
        <f t="shared" si="68"/>
        <v>54909</v>
      </c>
      <c r="J357" s="48">
        <v>54909</v>
      </c>
      <c r="K357" s="97">
        <v>43556</v>
      </c>
      <c r="L357" s="197" t="s">
        <v>1860</v>
      </c>
      <c r="M357" s="207" t="s">
        <v>287</v>
      </c>
      <c r="N357" s="118" t="s">
        <v>281</v>
      </c>
      <c r="O357" s="97">
        <v>43570</v>
      </c>
      <c r="P357" s="117"/>
      <c r="Q357" s="118" t="s">
        <v>72</v>
      </c>
      <c r="R357" s="119">
        <v>1.41</v>
      </c>
      <c r="S357" s="119"/>
      <c r="T357" s="99">
        <v>0.2</v>
      </c>
      <c r="U357" s="52">
        <f t="shared" si="73"/>
        <v>6669300</v>
      </c>
      <c r="V357" s="52">
        <f t="shared" si="70"/>
        <v>0</v>
      </c>
      <c r="W357" s="52">
        <f t="shared" si="71"/>
        <v>468000</v>
      </c>
      <c r="X357" s="52">
        <f t="shared" si="66"/>
        <v>7137300</v>
      </c>
      <c r="Y357" s="52">
        <f>+VLOOKUP(E357,[2]Sheet1!$B$11:$J$400,9,0)</f>
        <v>6225600</v>
      </c>
      <c r="Z357" s="52"/>
      <c r="AA357" s="53" t="s">
        <v>1956</v>
      </c>
      <c r="AB357" s="99" t="s">
        <v>682</v>
      </c>
      <c r="AC357" s="45" t="str">
        <f>+VLOOKUP(E357,[3]Sheet1!$B$11:$I$388,8,0)</f>
        <v>52 - 008</v>
      </c>
      <c r="AD357" s="99" t="s">
        <v>1787</v>
      </c>
      <c r="AE357" s="99" t="s">
        <v>2969</v>
      </c>
      <c r="AF357" s="223" t="s">
        <v>1928</v>
      </c>
      <c r="AG357" s="99">
        <f t="shared" si="72"/>
        <v>215253500</v>
      </c>
      <c r="AH357" s="205" t="s">
        <v>1929</v>
      </c>
      <c r="AI357" s="99" t="s">
        <v>610</v>
      </c>
      <c r="AJ357" s="99" t="s">
        <v>1930</v>
      </c>
      <c r="AK357" s="101" t="s">
        <v>1453</v>
      </c>
      <c r="AL357" s="99"/>
      <c r="AM357" s="99"/>
      <c r="AN357" s="99" t="s">
        <v>1931</v>
      </c>
      <c r="AO357" s="99"/>
      <c r="AP357" s="99"/>
      <c r="AQ357" s="99"/>
      <c r="AR357" s="99"/>
      <c r="AS357" s="99"/>
      <c r="AT357" s="97">
        <v>43617</v>
      </c>
      <c r="AU357" s="99"/>
      <c r="AV357" s="97">
        <v>44348</v>
      </c>
      <c r="AW357" s="55" t="s">
        <v>2383</v>
      </c>
      <c r="AX357" s="55" t="s">
        <v>1519</v>
      </c>
    </row>
    <row r="358" spans="1:50" x14ac:dyDescent="0.3">
      <c r="A358" s="43">
        <v>357</v>
      </c>
      <c r="B358" s="43">
        <v>92</v>
      </c>
      <c r="C358" s="118" t="s">
        <v>2543</v>
      </c>
      <c r="D358" s="101">
        <v>9</v>
      </c>
      <c r="E358" s="99" t="s">
        <v>2567</v>
      </c>
      <c r="F358" s="100" t="s">
        <v>2568</v>
      </c>
      <c r="G358" s="205">
        <v>35043</v>
      </c>
      <c r="H358" s="47">
        <f t="shared" si="69"/>
        <v>55863</v>
      </c>
      <c r="I358" s="48">
        <f t="shared" si="68"/>
        <v>55885</v>
      </c>
      <c r="J358" s="48">
        <v>55885</v>
      </c>
      <c r="K358" s="97">
        <v>44896</v>
      </c>
      <c r="L358" s="197" t="s">
        <v>1860</v>
      </c>
      <c r="M358" s="207" t="s">
        <v>287</v>
      </c>
      <c r="N358" s="118" t="s">
        <v>281</v>
      </c>
      <c r="O358" s="97">
        <v>44927</v>
      </c>
      <c r="P358" s="117"/>
      <c r="Q358" s="118" t="s">
        <v>72</v>
      </c>
      <c r="R358" s="119">
        <v>1.41</v>
      </c>
      <c r="S358" s="119"/>
      <c r="T358" s="99">
        <v>0.2</v>
      </c>
      <c r="U358" s="52">
        <f t="shared" si="73"/>
        <v>6669300</v>
      </c>
      <c r="V358" s="52">
        <f t="shared" si="70"/>
        <v>0</v>
      </c>
      <c r="W358" s="52">
        <f t="shared" si="71"/>
        <v>468000</v>
      </c>
      <c r="X358" s="52">
        <f t="shared" si="66"/>
        <v>7137300</v>
      </c>
      <c r="Y358" s="52">
        <f>+VLOOKUP(E358,[2]Sheet1!$B$11:$J$400,9,0)</f>
        <v>6225600</v>
      </c>
      <c r="Z358" s="52"/>
      <c r="AA358" s="53" t="s">
        <v>2724</v>
      </c>
      <c r="AB358" s="99"/>
      <c r="AC358" s="45" t="str">
        <f>+VLOOKUP(E358,[3]Sheet1!$B$11:$I$388,8,0)</f>
        <v>54 - 015</v>
      </c>
      <c r="AD358" s="99" t="s">
        <v>1787</v>
      </c>
      <c r="AE358" s="99" t="s">
        <v>2972</v>
      </c>
      <c r="AF358" s="223" t="s">
        <v>2569</v>
      </c>
      <c r="AG358" s="99">
        <f>+VALUE(AF358:AF734)</f>
        <v>221326894</v>
      </c>
      <c r="AH358" s="205" t="s">
        <v>2570</v>
      </c>
      <c r="AI358" s="99" t="s">
        <v>1283</v>
      </c>
      <c r="AJ358" s="99" t="s">
        <v>2571</v>
      </c>
      <c r="AK358" s="101" t="s">
        <v>2573</v>
      </c>
      <c r="AL358" s="99"/>
      <c r="AM358" s="99"/>
      <c r="AN358" s="99"/>
      <c r="AO358" s="99"/>
      <c r="AP358" s="99" t="s">
        <v>524</v>
      </c>
      <c r="AQ358" s="97">
        <v>44896</v>
      </c>
      <c r="AR358" s="99"/>
      <c r="AS358" s="99"/>
      <c r="AT358" s="97">
        <v>44927</v>
      </c>
      <c r="AU358" s="99"/>
      <c r="AV358" s="99"/>
      <c r="AW358" s="77" t="s">
        <v>2572</v>
      </c>
      <c r="AX358" s="55" t="s">
        <v>1519</v>
      </c>
    </row>
    <row r="359" spans="1:50" x14ac:dyDescent="0.3">
      <c r="A359" s="43">
        <v>358</v>
      </c>
      <c r="B359" s="43">
        <v>93</v>
      </c>
      <c r="C359" s="118" t="s">
        <v>2543</v>
      </c>
      <c r="D359" s="101">
        <v>10</v>
      </c>
      <c r="E359" s="99" t="s">
        <v>2574</v>
      </c>
      <c r="F359" s="100" t="s">
        <v>2575</v>
      </c>
      <c r="G359" s="205">
        <v>35928</v>
      </c>
      <c r="H359" s="47">
        <f t="shared" si="69"/>
        <v>56747</v>
      </c>
      <c r="I359" s="48">
        <f t="shared" si="68"/>
        <v>56766</v>
      </c>
      <c r="J359" s="48">
        <v>56766</v>
      </c>
      <c r="K359" s="97">
        <v>44896</v>
      </c>
      <c r="L359" s="197" t="s">
        <v>1860</v>
      </c>
      <c r="M359" s="207" t="s">
        <v>287</v>
      </c>
      <c r="N359" s="118" t="s">
        <v>281</v>
      </c>
      <c r="O359" s="97">
        <v>44927</v>
      </c>
      <c r="P359" s="117"/>
      <c r="Q359" s="118" t="s">
        <v>72</v>
      </c>
      <c r="R359" s="119">
        <v>1.41</v>
      </c>
      <c r="S359" s="119"/>
      <c r="T359" s="99">
        <v>0.2</v>
      </c>
      <c r="U359" s="52">
        <f t="shared" si="73"/>
        <v>6669300</v>
      </c>
      <c r="V359" s="52">
        <f t="shared" si="70"/>
        <v>0</v>
      </c>
      <c r="W359" s="52">
        <f t="shared" si="71"/>
        <v>468000</v>
      </c>
      <c r="X359" s="52">
        <f t="shared" si="66"/>
        <v>7137300</v>
      </c>
      <c r="Y359" s="52">
        <f>+VLOOKUP(E359,[2]Sheet1!$B$11:$J$400,9,0)</f>
        <v>6225600</v>
      </c>
      <c r="Z359" s="52"/>
      <c r="AA359" s="53" t="s">
        <v>2725</v>
      </c>
      <c r="AB359" s="99"/>
      <c r="AC359" s="45" t="str">
        <f>+VLOOKUP(E359,[3]Sheet1!$B$11:$I$388,8,0)</f>
        <v>52 - 008</v>
      </c>
      <c r="AD359" s="99" t="s">
        <v>1787</v>
      </c>
      <c r="AE359" s="99" t="s">
        <v>2973</v>
      </c>
      <c r="AF359" s="223" t="s">
        <v>2576</v>
      </c>
      <c r="AG359" s="99">
        <f>+VALUE(AF359:AF735)</f>
        <v>221460041</v>
      </c>
      <c r="AH359" s="205" t="s">
        <v>2577</v>
      </c>
      <c r="AI359" s="99" t="s">
        <v>1283</v>
      </c>
      <c r="AJ359" s="99" t="s">
        <v>1480</v>
      </c>
      <c r="AK359" s="101" t="s">
        <v>2060</v>
      </c>
      <c r="AL359" s="99"/>
      <c r="AM359" s="99"/>
      <c r="AN359" s="99"/>
      <c r="AO359" s="99"/>
      <c r="AP359" s="99" t="s">
        <v>524</v>
      </c>
      <c r="AQ359" s="97">
        <v>44896</v>
      </c>
      <c r="AR359" s="99"/>
      <c r="AS359" s="99"/>
      <c r="AT359" s="97">
        <v>44927</v>
      </c>
      <c r="AU359" s="99"/>
      <c r="AV359" s="99"/>
      <c r="AW359" s="77" t="s">
        <v>2578</v>
      </c>
      <c r="AX359" s="55" t="s">
        <v>1519</v>
      </c>
    </row>
    <row r="360" spans="1:50" x14ac:dyDescent="0.3">
      <c r="A360" s="43">
        <v>359</v>
      </c>
      <c r="B360" s="43">
        <v>94</v>
      </c>
      <c r="C360" s="118" t="s">
        <v>2543</v>
      </c>
      <c r="D360" s="101">
        <v>11</v>
      </c>
      <c r="E360" s="99" t="s">
        <v>3145</v>
      </c>
      <c r="F360" s="100" t="s">
        <v>3146</v>
      </c>
      <c r="G360" s="205">
        <v>36911</v>
      </c>
      <c r="H360" s="47">
        <f t="shared" si="69"/>
        <v>57730</v>
      </c>
      <c r="I360" s="48">
        <f t="shared" si="68"/>
        <v>57742</v>
      </c>
      <c r="J360" s="48">
        <v>57742</v>
      </c>
      <c r="K360" s="97">
        <v>45383</v>
      </c>
      <c r="L360" s="197" t="s">
        <v>1860</v>
      </c>
      <c r="M360" s="207" t="s">
        <v>287</v>
      </c>
      <c r="N360" s="118" t="s">
        <v>281</v>
      </c>
      <c r="O360" s="97">
        <v>45413</v>
      </c>
      <c r="P360" s="117"/>
      <c r="Q360" s="118" t="s">
        <v>72</v>
      </c>
      <c r="R360" s="119">
        <v>1.41</v>
      </c>
      <c r="S360" s="119"/>
      <c r="T360" s="99">
        <v>0.2</v>
      </c>
      <c r="U360" s="52">
        <f t="shared" si="73"/>
        <v>6669300</v>
      </c>
      <c r="V360" s="52">
        <f t="shared" si="70"/>
        <v>0</v>
      </c>
      <c r="W360" s="52">
        <f t="shared" si="71"/>
        <v>468000</v>
      </c>
      <c r="X360" s="52">
        <f t="shared" si="66"/>
        <v>7137300</v>
      </c>
      <c r="Y360" s="52">
        <f>+VLOOKUP(E360,[2]Sheet1!$B$11:$J$400,9,0)</f>
        <v>6225600</v>
      </c>
      <c r="Z360" s="52"/>
      <c r="AA360" s="53" t="s">
        <v>3236</v>
      </c>
      <c r="AB360" s="99"/>
      <c r="AC360" s="45" t="e">
        <f>+VLOOKUP(E360,[3]Sheet1!$B$11:$I$388,8,0)</f>
        <v>#N/A</v>
      </c>
      <c r="AD360" s="99" t="s">
        <v>1787</v>
      </c>
      <c r="AE360" s="201" t="s">
        <v>3147</v>
      </c>
      <c r="AF360" s="223"/>
      <c r="AG360" s="99"/>
      <c r="AH360" s="205" t="s">
        <v>2664</v>
      </c>
      <c r="AI360" s="99" t="s">
        <v>1283</v>
      </c>
      <c r="AJ360" s="99" t="s">
        <v>3148</v>
      </c>
      <c r="AK360" s="101">
        <v>21994</v>
      </c>
      <c r="AL360" s="99"/>
      <c r="AM360" s="99"/>
      <c r="AN360" s="99"/>
      <c r="AO360" s="99"/>
      <c r="AP360" s="201" t="s">
        <v>3025</v>
      </c>
      <c r="AQ360" s="205">
        <v>45383</v>
      </c>
      <c r="AR360" s="99"/>
      <c r="AS360" s="99"/>
      <c r="AT360" s="97"/>
      <c r="AU360" s="99"/>
      <c r="AV360" s="99"/>
      <c r="AW360" s="77" t="s">
        <v>3149</v>
      </c>
      <c r="AX360" s="55" t="s">
        <v>1519</v>
      </c>
    </row>
    <row r="361" spans="1:50" x14ac:dyDescent="0.3">
      <c r="A361" s="43">
        <v>360</v>
      </c>
      <c r="B361" s="43">
        <v>95</v>
      </c>
      <c r="C361" s="118" t="s">
        <v>2543</v>
      </c>
      <c r="D361" s="101">
        <v>12</v>
      </c>
      <c r="E361" s="202" t="s">
        <v>3130</v>
      </c>
      <c r="F361" s="100" t="s">
        <v>3131</v>
      </c>
      <c r="G361" s="205">
        <v>37562</v>
      </c>
      <c r="H361" s="47">
        <f>+DATE(YEAR(G361)+57,MONTH(G361),DAY(G361))</f>
        <v>58381</v>
      </c>
      <c r="I361" s="48">
        <f>+EOMONTH(H361,0)+1</f>
        <v>58410</v>
      </c>
      <c r="J361" s="48">
        <v>58410</v>
      </c>
      <c r="K361" s="97">
        <v>45383</v>
      </c>
      <c r="L361" s="197" t="s">
        <v>1860</v>
      </c>
      <c r="M361" s="207" t="s">
        <v>287</v>
      </c>
      <c r="N361" s="118" t="s">
        <v>281</v>
      </c>
      <c r="O361" s="97">
        <v>45383</v>
      </c>
      <c r="P361" s="204"/>
      <c r="Q361" s="118" t="s">
        <v>72</v>
      </c>
      <c r="R361" s="119">
        <v>1.41</v>
      </c>
      <c r="S361" s="119"/>
      <c r="T361" s="99">
        <v>0.2</v>
      </c>
      <c r="U361" s="52">
        <f t="shared" si="73"/>
        <v>6669300</v>
      </c>
      <c r="V361" s="52">
        <f t="shared" si="70"/>
        <v>0</v>
      </c>
      <c r="W361" s="52">
        <f>+T361*2340000</f>
        <v>468000</v>
      </c>
      <c r="X361" s="52">
        <f>+U361+V361+W361</f>
        <v>7137300</v>
      </c>
      <c r="Y361" s="52">
        <f>+VLOOKUP(E361,[2]Sheet1!$B$11:$J$400,9,0)</f>
        <v>5865600</v>
      </c>
      <c r="Z361" s="52"/>
      <c r="AA361" s="53" t="s">
        <v>3237</v>
      </c>
      <c r="AB361" s="99"/>
      <c r="AC361" s="45" t="e">
        <f>+VLOOKUP(E361,[3]Sheet1!$B$11:$I$388,8,0)</f>
        <v>#N/A</v>
      </c>
      <c r="AD361" s="99" t="s">
        <v>1787</v>
      </c>
      <c r="AE361" s="201" t="s">
        <v>3132</v>
      </c>
      <c r="AF361" s="100"/>
      <c r="AG361" s="99"/>
      <c r="AH361" s="205" t="s">
        <v>2551</v>
      </c>
      <c r="AI361" s="99" t="s">
        <v>2427</v>
      </c>
      <c r="AJ361" s="99" t="s">
        <v>3133</v>
      </c>
      <c r="AK361" s="101">
        <v>22090</v>
      </c>
      <c r="AL361" s="99"/>
      <c r="AM361" s="99"/>
      <c r="AN361" s="99" t="s">
        <v>1912</v>
      </c>
      <c r="AO361" s="99"/>
      <c r="AP361" s="99"/>
      <c r="AQ361" s="97">
        <v>45383</v>
      </c>
      <c r="AR361" s="99"/>
      <c r="AS361" s="99"/>
      <c r="AT361" s="99"/>
      <c r="AU361" s="99"/>
      <c r="AV361" s="99"/>
      <c r="AW361" s="77" t="s">
        <v>3134</v>
      </c>
      <c r="AX361" s="55" t="s">
        <v>1519</v>
      </c>
    </row>
    <row r="362" spans="1:50" x14ac:dyDescent="0.3">
      <c r="A362" s="43">
        <v>361</v>
      </c>
      <c r="B362" s="43">
        <v>96</v>
      </c>
      <c r="C362" s="118" t="s">
        <v>2543</v>
      </c>
      <c r="D362" s="101">
        <v>13</v>
      </c>
      <c r="E362" s="202" t="s">
        <v>3454</v>
      </c>
      <c r="F362" s="100" t="s">
        <v>3455</v>
      </c>
      <c r="G362" s="205">
        <v>37150</v>
      </c>
      <c r="H362" s="47">
        <f>+DATE(YEAR(G362)+57,MONTH(G362),DAY(G362))</f>
        <v>57969</v>
      </c>
      <c r="I362" s="48">
        <f>+EOMONTH(H362,0)+1</f>
        <v>57984</v>
      </c>
      <c r="J362" s="48">
        <v>57984</v>
      </c>
      <c r="K362" s="97">
        <v>45901</v>
      </c>
      <c r="L362" s="197" t="s">
        <v>1860</v>
      </c>
      <c r="M362" s="207" t="s">
        <v>287</v>
      </c>
      <c r="N362" s="118" t="s">
        <v>281</v>
      </c>
      <c r="O362" s="97">
        <v>45901</v>
      </c>
      <c r="P362" s="260"/>
      <c r="Q362" s="118" t="s">
        <v>72</v>
      </c>
      <c r="R362" s="119">
        <v>1.41</v>
      </c>
      <c r="S362" s="119"/>
      <c r="T362" s="99">
        <v>0.2</v>
      </c>
      <c r="U362" s="52">
        <f t="shared" si="73"/>
        <v>6669300</v>
      </c>
      <c r="V362" s="52">
        <f t="shared" si="70"/>
        <v>0</v>
      </c>
      <c r="W362" s="52">
        <f>+T362*2340000</f>
        <v>468000</v>
      </c>
      <c r="X362" s="52">
        <f>+U362+V362+W362</f>
        <v>7137300</v>
      </c>
      <c r="Y362" s="52"/>
      <c r="Z362" s="52"/>
      <c r="AA362" s="73">
        <v>5221515268</v>
      </c>
      <c r="AB362" s="99" t="s">
        <v>3459</v>
      </c>
      <c r="AC362" s="45"/>
      <c r="AD362" s="99" t="s">
        <v>1787</v>
      </c>
      <c r="AE362" s="223" t="s">
        <v>3456</v>
      </c>
      <c r="AF362" s="100"/>
      <c r="AG362" s="99"/>
      <c r="AH362" s="261">
        <v>44375</v>
      </c>
      <c r="AI362" s="99" t="s">
        <v>2427</v>
      </c>
      <c r="AJ362" s="99" t="s">
        <v>3453</v>
      </c>
      <c r="AK362" s="101"/>
      <c r="AL362" s="99"/>
      <c r="AM362" s="99"/>
      <c r="AN362" s="99" t="s">
        <v>3457</v>
      </c>
      <c r="AO362" s="99"/>
      <c r="AP362" s="99"/>
      <c r="AQ362" s="97"/>
      <c r="AR362" s="99"/>
      <c r="AS362" s="97">
        <v>45901</v>
      </c>
      <c r="AT362" s="99"/>
      <c r="AU362" s="99"/>
      <c r="AV362" s="99"/>
      <c r="AW362" s="193" t="s">
        <v>3458</v>
      </c>
      <c r="AX362" s="55" t="s">
        <v>1519</v>
      </c>
    </row>
    <row r="363" spans="1:50" x14ac:dyDescent="0.3">
      <c r="A363" s="43">
        <v>362</v>
      </c>
      <c r="B363" s="43">
        <v>97</v>
      </c>
      <c r="C363" s="118" t="s">
        <v>2543</v>
      </c>
      <c r="D363" s="255">
        <v>1</v>
      </c>
      <c r="E363" s="99" t="s">
        <v>1959</v>
      </c>
      <c r="F363" s="100" t="s">
        <v>1960</v>
      </c>
      <c r="G363" s="205">
        <v>32930</v>
      </c>
      <c r="H363" s="47">
        <f t="shared" si="69"/>
        <v>53749</v>
      </c>
      <c r="I363" s="48">
        <f t="shared" si="68"/>
        <v>53752</v>
      </c>
      <c r="J363" s="48">
        <v>53752</v>
      </c>
      <c r="K363" s="97">
        <v>43617</v>
      </c>
      <c r="L363" s="206" t="s">
        <v>2103</v>
      </c>
      <c r="M363" s="207" t="s">
        <v>287</v>
      </c>
      <c r="N363" s="118" t="s">
        <v>286</v>
      </c>
      <c r="O363" s="262" t="s">
        <v>3238</v>
      </c>
      <c r="Q363" s="238" t="s">
        <v>71</v>
      </c>
      <c r="R363" s="119">
        <v>1.49</v>
      </c>
      <c r="S363" s="119">
        <v>0.06</v>
      </c>
      <c r="T363" s="99"/>
      <c r="U363" s="52">
        <f t="shared" si="73"/>
        <v>7047700</v>
      </c>
      <c r="V363" s="52">
        <f t="shared" ref="V363:V385" si="74">+S363*4410000</f>
        <v>264600</v>
      </c>
      <c r="W363" s="52">
        <f t="shared" si="71"/>
        <v>0</v>
      </c>
      <c r="X363" s="52">
        <f t="shared" si="66"/>
        <v>7312300</v>
      </c>
      <c r="Y363" s="52">
        <f>+VLOOKUP(E363,[2]Sheet1!$B$11:$J$400,9,0)</f>
        <v>6115200</v>
      </c>
      <c r="Z363" s="52"/>
      <c r="AA363" s="53" t="s">
        <v>1962</v>
      </c>
      <c r="AB363" s="99"/>
      <c r="AC363" s="45" t="str">
        <f>+VLOOKUP(E363,[3]Sheet1!$B$11:$I$388,8,0)</f>
        <v>52 - 008</v>
      </c>
      <c r="AD363" s="99" t="s">
        <v>1787</v>
      </c>
      <c r="AE363" s="99" t="s">
        <v>2970</v>
      </c>
      <c r="AF363" s="223" t="s">
        <v>1961</v>
      </c>
      <c r="AG363" s="99">
        <f>+VALUE(AF358:AF732)</f>
        <v>221270683</v>
      </c>
      <c r="AH363" s="205" t="s">
        <v>1115</v>
      </c>
      <c r="AI363" s="99" t="s">
        <v>1283</v>
      </c>
      <c r="AJ363" s="99" t="s">
        <v>1474</v>
      </c>
      <c r="AK363" s="101" t="s">
        <v>1299</v>
      </c>
      <c r="AL363" s="99"/>
      <c r="AM363" s="99"/>
      <c r="AN363" s="99" t="s">
        <v>562</v>
      </c>
      <c r="AO363" s="99"/>
      <c r="AP363" s="99"/>
      <c r="AQ363" s="99"/>
      <c r="AR363" s="99"/>
      <c r="AS363" s="99"/>
      <c r="AT363" s="97">
        <v>43985</v>
      </c>
      <c r="AU363" s="99"/>
      <c r="AV363" s="97">
        <v>44716</v>
      </c>
      <c r="AW363" s="55" t="s">
        <v>2384</v>
      </c>
      <c r="AX363" s="55" t="s">
        <v>1519</v>
      </c>
    </row>
    <row r="364" spans="1:50" x14ac:dyDescent="0.3">
      <c r="A364" s="43">
        <v>363</v>
      </c>
      <c r="B364" s="43">
        <v>98</v>
      </c>
      <c r="C364" s="118" t="s">
        <v>2543</v>
      </c>
      <c r="D364" s="99">
        <v>2</v>
      </c>
      <c r="E364" s="99" t="s">
        <v>685</v>
      </c>
      <c r="F364" s="100" t="s">
        <v>481</v>
      </c>
      <c r="G364" s="97">
        <v>26656</v>
      </c>
      <c r="H364" s="47">
        <f t="shared" si="69"/>
        <v>47475</v>
      </c>
      <c r="I364" s="48">
        <f t="shared" si="68"/>
        <v>47484</v>
      </c>
      <c r="J364" s="48">
        <v>47484</v>
      </c>
      <c r="K364" s="97">
        <v>34851</v>
      </c>
      <c r="L364" s="206" t="s">
        <v>2103</v>
      </c>
      <c r="M364" s="207" t="s">
        <v>287</v>
      </c>
      <c r="N364" s="118" t="s">
        <v>281</v>
      </c>
      <c r="O364" s="97">
        <v>42979</v>
      </c>
      <c r="P364" s="117"/>
      <c r="Q364" s="118" t="s">
        <v>74</v>
      </c>
      <c r="R364" s="119">
        <v>1.68</v>
      </c>
      <c r="S364" s="119"/>
      <c r="T364" s="99"/>
      <c r="U364" s="52">
        <f t="shared" si="73"/>
        <v>7946400</v>
      </c>
      <c r="V364" s="52">
        <f t="shared" si="74"/>
        <v>0</v>
      </c>
      <c r="W364" s="52">
        <f t="shared" si="71"/>
        <v>0</v>
      </c>
      <c r="X364" s="52">
        <f t="shared" si="66"/>
        <v>7946400</v>
      </c>
      <c r="Y364" s="52">
        <f>+VLOOKUP(E364,[2]Sheet1!$B$11:$J$400,9,0)</f>
        <v>6988800</v>
      </c>
      <c r="Z364" s="52"/>
      <c r="AA364" s="53" t="s">
        <v>1763</v>
      </c>
      <c r="AB364" s="99" t="s">
        <v>1461</v>
      </c>
      <c r="AC364" s="45" t="str">
        <f>+VLOOKUP(E364,[3]Sheet1!$B$11:$I$388,8,0)</f>
        <v>54 - 003</v>
      </c>
      <c r="AD364" s="99" t="s">
        <v>1787</v>
      </c>
      <c r="AE364" s="99" t="s">
        <v>2974</v>
      </c>
      <c r="AF364" s="100" t="s">
        <v>1462</v>
      </c>
      <c r="AG364" s="99">
        <f>+VALUE(AF364:AF735)</f>
        <v>220980327</v>
      </c>
      <c r="AH364" s="99" t="s">
        <v>645</v>
      </c>
      <c r="AI364" s="99" t="s">
        <v>1283</v>
      </c>
      <c r="AJ364" s="99" t="s">
        <v>1861</v>
      </c>
      <c r="AK364" s="101" t="s">
        <v>1463</v>
      </c>
      <c r="AL364" s="99"/>
      <c r="AM364" s="99"/>
      <c r="AN364" s="99"/>
      <c r="AO364" s="99" t="s">
        <v>504</v>
      </c>
      <c r="AP364" s="99"/>
      <c r="AQ364" s="99"/>
      <c r="AR364" s="99"/>
      <c r="AS364" s="99"/>
      <c r="AT364" s="99"/>
      <c r="AU364" s="99"/>
      <c r="AV364" s="99"/>
      <c r="AW364" s="55" t="s">
        <v>2385</v>
      </c>
      <c r="AX364" s="55" t="s">
        <v>1519</v>
      </c>
    </row>
    <row r="365" spans="1:50" x14ac:dyDescent="0.3">
      <c r="A365" s="43">
        <v>364</v>
      </c>
      <c r="B365" s="43">
        <v>99</v>
      </c>
      <c r="C365" s="118" t="s">
        <v>2543</v>
      </c>
      <c r="D365" s="255">
        <v>3</v>
      </c>
      <c r="E365" s="99" t="s">
        <v>1882</v>
      </c>
      <c r="F365" s="100" t="s">
        <v>483</v>
      </c>
      <c r="G365" s="97">
        <v>25637</v>
      </c>
      <c r="H365" s="47">
        <v>46275</v>
      </c>
      <c r="I365" s="48">
        <f t="shared" si="68"/>
        <v>46296</v>
      </c>
      <c r="J365" s="48">
        <v>46296</v>
      </c>
      <c r="K365" s="97">
        <v>34851</v>
      </c>
      <c r="L365" s="206" t="s">
        <v>2103</v>
      </c>
      <c r="M365" s="207" t="s">
        <v>287</v>
      </c>
      <c r="N365" s="118" t="s">
        <v>281</v>
      </c>
      <c r="O365" s="97">
        <v>41456</v>
      </c>
      <c r="P365" s="117"/>
      <c r="Q365" s="238" t="s">
        <v>76</v>
      </c>
      <c r="R365" s="118">
        <v>1.58</v>
      </c>
      <c r="S365" s="119"/>
      <c r="T365" s="99"/>
      <c r="U365" s="52">
        <f t="shared" si="73"/>
        <v>7473400</v>
      </c>
      <c r="V365" s="52">
        <f t="shared" si="74"/>
        <v>0</v>
      </c>
      <c r="W365" s="52">
        <f t="shared" si="71"/>
        <v>0</v>
      </c>
      <c r="X365" s="52">
        <f t="shared" si="66"/>
        <v>7473400</v>
      </c>
      <c r="Y365" s="52">
        <f>+VLOOKUP(E365,[2]Sheet1!$B$11:$J$400,9,0)</f>
        <v>6572800</v>
      </c>
      <c r="Z365" s="52"/>
      <c r="AA365" s="53" t="s">
        <v>1765</v>
      </c>
      <c r="AB365" s="99" t="s">
        <v>612</v>
      </c>
      <c r="AC365" s="45" t="str">
        <f>+VLOOKUP(E365,[3]Sheet1!$B$11:$I$388,8,0)</f>
        <v>54 - 003</v>
      </c>
      <c r="AD365" s="99" t="s">
        <v>1787</v>
      </c>
      <c r="AE365" s="99" t="s">
        <v>2976</v>
      </c>
      <c r="AF365" s="100" t="s">
        <v>1469</v>
      </c>
      <c r="AG365" s="99">
        <f>+VALUE(AF365:AF739)</f>
        <v>220848294</v>
      </c>
      <c r="AH365" s="99" t="s">
        <v>1470</v>
      </c>
      <c r="AI365" s="99" t="s">
        <v>1283</v>
      </c>
      <c r="AJ365" s="99" t="s">
        <v>1862</v>
      </c>
      <c r="AK365" s="101" t="s">
        <v>1471</v>
      </c>
      <c r="AL365" s="99"/>
      <c r="AM365" s="99"/>
      <c r="AN365" s="99"/>
      <c r="AO365" s="99"/>
      <c r="AP365" s="99"/>
      <c r="AQ365" s="99"/>
      <c r="AR365" s="99"/>
      <c r="AS365" s="99"/>
      <c r="AT365" s="99"/>
      <c r="AU365" s="99"/>
      <c r="AV365" s="99"/>
      <c r="AW365" s="55" t="s">
        <v>2387</v>
      </c>
      <c r="AX365" s="55" t="s">
        <v>1519</v>
      </c>
    </row>
    <row r="366" spans="1:50" x14ac:dyDescent="0.3">
      <c r="A366" s="43">
        <v>365</v>
      </c>
      <c r="B366" s="43">
        <v>100</v>
      </c>
      <c r="C366" s="118" t="s">
        <v>2543</v>
      </c>
      <c r="D366" s="99">
        <v>4</v>
      </c>
      <c r="E366" s="97" t="s">
        <v>270</v>
      </c>
      <c r="F366" s="100" t="s">
        <v>484</v>
      </c>
      <c r="G366" s="97">
        <v>32396</v>
      </c>
      <c r="H366" s="47">
        <f t="shared" ref="H366:H376" si="75">+DATE(YEAR(G366)+57,MONTH(G366),DAY(G366))</f>
        <v>53215</v>
      </c>
      <c r="I366" s="48">
        <f t="shared" si="68"/>
        <v>53236</v>
      </c>
      <c r="J366" s="48">
        <v>53236</v>
      </c>
      <c r="K366" s="97">
        <v>40513</v>
      </c>
      <c r="L366" s="206" t="s">
        <v>2103</v>
      </c>
      <c r="M366" s="207" t="s">
        <v>287</v>
      </c>
      <c r="N366" s="118" t="s">
        <v>285</v>
      </c>
      <c r="O366" s="117" t="s">
        <v>3238</v>
      </c>
      <c r="P366" s="117"/>
      <c r="Q366" s="238" t="s">
        <v>76</v>
      </c>
      <c r="R366" s="119">
        <v>1.58</v>
      </c>
      <c r="S366" s="119">
        <v>0.04</v>
      </c>
      <c r="T366" s="99"/>
      <c r="U366" s="52">
        <f t="shared" si="73"/>
        <v>7473400</v>
      </c>
      <c r="V366" s="52">
        <f t="shared" si="74"/>
        <v>176400</v>
      </c>
      <c r="W366" s="52">
        <f t="shared" si="71"/>
        <v>0</v>
      </c>
      <c r="X366" s="52">
        <f t="shared" si="66"/>
        <v>7649800</v>
      </c>
      <c r="Y366" s="52">
        <f>+VLOOKUP(E366,[2]Sheet1!$B$11:$J$400,9,0)</f>
        <v>6364800</v>
      </c>
      <c r="Z366" s="52"/>
      <c r="AA366" s="53" t="s">
        <v>1766</v>
      </c>
      <c r="AB366" s="99" t="s">
        <v>1472</v>
      </c>
      <c r="AC366" s="45" t="str">
        <f>+VLOOKUP(E366,[3]Sheet1!$B$11:$I$388,8,0)</f>
        <v>54 - 003</v>
      </c>
      <c r="AD366" s="99" t="s">
        <v>1787</v>
      </c>
      <c r="AE366" s="99" t="s">
        <v>2977</v>
      </c>
      <c r="AF366" s="100" t="s">
        <v>1473</v>
      </c>
      <c r="AG366" s="99">
        <f>+VALUE(AF366:AF740)</f>
        <v>221166627</v>
      </c>
      <c r="AH366" s="99" t="s">
        <v>629</v>
      </c>
      <c r="AI366" s="99" t="s">
        <v>1283</v>
      </c>
      <c r="AJ366" s="99" t="s">
        <v>1474</v>
      </c>
      <c r="AK366" s="101" t="s">
        <v>1299</v>
      </c>
      <c r="AL366" s="99"/>
      <c r="AM366" s="99"/>
      <c r="AN366" s="99"/>
      <c r="AO366" s="99" t="s">
        <v>504</v>
      </c>
      <c r="AP366" s="99" t="s">
        <v>511</v>
      </c>
      <c r="AQ366" s="99"/>
      <c r="AR366" s="99"/>
      <c r="AS366" s="99"/>
      <c r="AT366" s="99"/>
      <c r="AU366" s="99"/>
      <c r="AV366" s="99"/>
      <c r="AW366" s="55" t="s">
        <v>2388</v>
      </c>
      <c r="AX366" s="55" t="s">
        <v>1519</v>
      </c>
    </row>
    <row r="367" spans="1:50" x14ac:dyDescent="0.3">
      <c r="A367" s="43">
        <v>366</v>
      </c>
      <c r="B367" s="43">
        <v>101</v>
      </c>
      <c r="C367" s="118" t="s">
        <v>2543</v>
      </c>
      <c r="D367" s="255">
        <v>5</v>
      </c>
      <c r="E367" s="97" t="s">
        <v>296</v>
      </c>
      <c r="F367" s="100" t="s">
        <v>485</v>
      </c>
      <c r="G367" s="97">
        <v>34663</v>
      </c>
      <c r="H367" s="47">
        <f t="shared" si="75"/>
        <v>55482</v>
      </c>
      <c r="I367" s="48">
        <f t="shared" si="68"/>
        <v>55488</v>
      </c>
      <c r="J367" s="48">
        <v>55488</v>
      </c>
      <c r="K367" s="97">
        <v>41671</v>
      </c>
      <c r="L367" s="206" t="s">
        <v>2103</v>
      </c>
      <c r="M367" s="207" t="s">
        <v>287</v>
      </c>
      <c r="N367" s="118" t="s">
        <v>281</v>
      </c>
      <c r="O367" s="97">
        <v>42370</v>
      </c>
      <c r="P367" s="204"/>
      <c r="Q367" s="118" t="s">
        <v>71</v>
      </c>
      <c r="R367" s="119">
        <v>1.49</v>
      </c>
      <c r="S367" s="119"/>
      <c r="T367" s="99"/>
      <c r="U367" s="52">
        <f t="shared" si="73"/>
        <v>7047700</v>
      </c>
      <c r="V367" s="52">
        <f t="shared" si="74"/>
        <v>0</v>
      </c>
      <c r="W367" s="52">
        <f t="shared" si="71"/>
        <v>0</v>
      </c>
      <c r="X367" s="52">
        <f t="shared" si="66"/>
        <v>7047700</v>
      </c>
      <c r="Y367" s="52">
        <f>+VLOOKUP(E367,[2]Sheet1!$B$11:$J$400,9,0)</f>
        <v>6198400</v>
      </c>
      <c r="Z367" s="52"/>
      <c r="AA367" s="53" t="s">
        <v>1767</v>
      </c>
      <c r="AB367" s="99" t="s">
        <v>1464</v>
      </c>
      <c r="AC367" s="45" t="str">
        <f>+VLOOKUP(E367,[3]Sheet1!$B$11:$I$388,8,0)</f>
        <v>54 - 007</v>
      </c>
      <c r="AD367" s="99" t="s">
        <v>1787</v>
      </c>
      <c r="AE367" s="99" t="s">
        <v>2978</v>
      </c>
      <c r="AF367" s="100" t="s">
        <v>1475</v>
      </c>
      <c r="AG367" s="99">
        <f>+VALUE(AF367:AF741)</f>
        <v>221361749</v>
      </c>
      <c r="AH367" s="99" t="s">
        <v>1476</v>
      </c>
      <c r="AI367" s="99" t="s">
        <v>1283</v>
      </c>
      <c r="AJ367" s="99" t="s">
        <v>1477</v>
      </c>
      <c r="AK367" s="101" t="s">
        <v>1478</v>
      </c>
      <c r="AL367" s="99"/>
      <c r="AM367" s="99"/>
      <c r="AN367" s="99"/>
      <c r="AO367" s="99"/>
      <c r="AP367" s="99"/>
      <c r="AQ367" s="99"/>
      <c r="AR367" s="99"/>
      <c r="AS367" s="99"/>
      <c r="AT367" s="99"/>
      <c r="AU367" s="99"/>
      <c r="AV367" s="99"/>
      <c r="AW367" s="55" t="s">
        <v>2390</v>
      </c>
      <c r="AX367" s="55" t="s">
        <v>1519</v>
      </c>
    </row>
    <row r="368" spans="1:50" x14ac:dyDescent="0.3">
      <c r="A368" s="43">
        <v>367</v>
      </c>
      <c r="B368" s="43">
        <v>102</v>
      </c>
      <c r="C368" s="118" t="s">
        <v>2543</v>
      </c>
      <c r="D368" s="99">
        <v>6</v>
      </c>
      <c r="E368" s="99" t="s">
        <v>272</v>
      </c>
      <c r="F368" s="100" t="s">
        <v>487</v>
      </c>
      <c r="G368" s="97">
        <v>31792</v>
      </c>
      <c r="H368" s="47">
        <f t="shared" si="75"/>
        <v>52611</v>
      </c>
      <c r="I368" s="48">
        <f t="shared" si="68"/>
        <v>52628</v>
      </c>
      <c r="J368" s="48">
        <v>52628</v>
      </c>
      <c r="K368" s="97">
        <v>42309</v>
      </c>
      <c r="L368" s="206" t="s">
        <v>2103</v>
      </c>
      <c r="M368" s="207" t="s">
        <v>287</v>
      </c>
      <c r="N368" s="118" t="s">
        <v>281</v>
      </c>
      <c r="O368" s="97">
        <v>42370</v>
      </c>
      <c r="P368" s="117"/>
      <c r="Q368" s="118" t="s">
        <v>71</v>
      </c>
      <c r="R368" s="119">
        <v>1.49</v>
      </c>
      <c r="S368" s="119"/>
      <c r="T368" s="99"/>
      <c r="U368" s="52">
        <f t="shared" si="73"/>
        <v>7047700</v>
      </c>
      <c r="V368" s="52">
        <f t="shared" si="74"/>
        <v>0</v>
      </c>
      <c r="W368" s="52">
        <f t="shared" si="71"/>
        <v>0</v>
      </c>
      <c r="X368" s="52">
        <f t="shared" si="66"/>
        <v>7047700</v>
      </c>
      <c r="Y368" s="52">
        <f>+VLOOKUP(E368,[2]Sheet1!$B$11:$J$400,9,0)</f>
        <v>6198400</v>
      </c>
      <c r="Z368" s="52"/>
      <c r="AA368" s="53" t="s">
        <v>1769</v>
      </c>
      <c r="AB368" s="99" t="s">
        <v>1454</v>
      </c>
      <c r="AC368" s="45" t="str">
        <f>+VLOOKUP(E368,[3]Sheet1!$B$11:$I$388,8,0)</f>
        <v>54 - 016</v>
      </c>
      <c r="AD368" s="99" t="s">
        <v>1787</v>
      </c>
      <c r="AE368" s="99" t="s">
        <v>2979</v>
      </c>
      <c r="AF368" s="100">
        <v>221140289</v>
      </c>
      <c r="AG368" s="99">
        <f>+VALUE(AF368:AF744)</f>
        <v>221140289</v>
      </c>
      <c r="AH368" s="99" t="s">
        <v>1479</v>
      </c>
      <c r="AI368" s="99" t="s">
        <v>615</v>
      </c>
      <c r="AJ368" s="99" t="s">
        <v>1480</v>
      </c>
      <c r="AK368" s="101" t="s">
        <v>1299</v>
      </c>
      <c r="AL368" s="99"/>
      <c r="AM368" s="99"/>
      <c r="AN368" s="99"/>
      <c r="AO368" s="99" t="s">
        <v>504</v>
      </c>
      <c r="AP368" s="99"/>
      <c r="AQ368" s="99"/>
      <c r="AR368" s="99"/>
      <c r="AS368" s="99"/>
      <c r="AT368" s="99"/>
      <c r="AU368" s="99"/>
      <c r="AV368" s="99"/>
      <c r="AW368" s="55" t="s">
        <v>2391</v>
      </c>
      <c r="AX368" s="55" t="s">
        <v>1519</v>
      </c>
    </row>
    <row r="369" spans="1:50" x14ac:dyDescent="0.3">
      <c r="A369" s="43">
        <v>368</v>
      </c>
      <c r="B369" s="43">
        <v>103</v>
      </c>
      <c r="C369" s="118" t="s">
        <v>2543</v>
      </c>
      <c r="D369" s="255">
        <v>7</v>
      </c>
      <c r="E369" s="202" t="s">
        <v>269</v>
      </c>
      <c r="F369" s="100" t="s">
        <v>646</v>
      </c>
      <c r="G369" s="97">
        <v>33683</v>
      </c>
      <c r="H369" s="47">
        <f t="shared" si="75"/>
        <v>54502</v>
      </c>
      <c r="I369" s="48">
        <f t="shared" si="68"/>
        <v>54514</v>
      </c>
      <c r="J369" s="48">
        <v>54514</v>
      </c>
      <c r="K369" s="97">
        <v>43191</v>
      </c>
      <c r="L369" s="206" t="s">
        <v>2103</v>
      </c>
      <c r="M369" s="207" t="s">
        <v>287</v>
      </c>
      <c r="N369" s="118" t="s">
        <v>281</v>
      </c>
      <c r="O369" s="97">
        <v>43191</v>
      </c>
      <c r="P369" s="204"/>
      <c r="Q369" s="118" t="s">
        <v>71</v>
      </c>
      <c r="R369" s="119">
        <v>1.49</v>
      </c>
      <c r="S369" s="119"/>
      <c r="T369" s="99"/>
      <c r="U369" s="52">
        <f t="shared" si="73"/>
        <v>7047700</v>
      </c>
      <c r="V369" s="52">
        <f t="shared" si="74"/>
        <v>0</v>
      </c>
      <c r="W369" s="52">
        <f t="shared" si="71"/>
        <v>0</v>
      </c>
      <c r="X369" s="52">
        <f t="shared" si="66"/>
        <v>7047700</v>
      </c>
      <c r="Y369" s="52">
        <f>+VLOOKUP(E369,[2]Sheet1!$B$11:$J$400,9,0)</f>
        <v>6198400</v>
      </c>
      <c r="Z369" s="52"/>
      <c r="AA369" s="53" t="s">
        <v>1762</v>
      </c>
      <c r="AB369" s="99" t="s">
        <v>682</v>
      </c>
      <c r="AC369" s="45" t="str">
        <f>+VLOOKUP(E369,[3]Sheet1!$B$11:$I$388,8,0)</f>
        <v>54 - 003</v>
      </c>
      <c r="AD369" s="99" t="s">
        <v>1787</v>
      </c>
      <c r="AE369" s="99" t="s">
        <v>2980</v>
      </c>
      <c r="AF369" s="100" t="s">
        <v>647</v>
      </c>
      <c r="AG369" s="99">
        <f>+VALUE(AF369:AF745)</f>
        <v>221329464</v>
      </c>
      <c r="AH369" s="205" t="s">
        <v>648</v>
      </c>
      <c r="AI369" s="99" t="s">
        <v>615</v>
      </c>
      <c r="AJ369" s="99" t="s">
        <v>684</v>
      </c>
      <c r="AK369" s="101" t="s">
        <v>683</v>
      </c>
      <c r="AL369" s="99"/>
      <c r="AM369" s="99" t="s">
        <v>577</v>
      </c>
      <c r="AN369" s="99"/>
      <c r="AO369" s="99"/>
      <c r="AP369" s="99"/>
      <c r="AQ369" s="99"/>
      <c r="AR369" s="99"/>
      <c r="AS369" s="99"/>
      <c r="AT369" s="97">
        <v>43570</v>
      </c>
      <c r="AU369" s="99"/>
      <c r="AV369" s="97">
        <v>44301</v>
      </c>
      <c r="AW369" s="55" t="s">
        <v>2357</v>
      </c>
      <c r="AX369" s="55" t="s">
        <v>1519</v>
      </c>
    </row>
    <row r="370" spans="1:50" x14ac:dyDescent="0.3">
      <c r="A370" s="43">
        <v>369</v>
      </c>
      <c r="B370" s="43">
        <v>104</v>
      </c>
      <c r="C370" s="118" t="s">
        <v>2543</v>
      </c>
      <c r="D370" s="99">
        <v>8</v>
      </c>
      <c r="E370" s="99" t="s">
        <v>2490</v>
      </c>
      <c r="F370" s="100" t="s">
        <v>486</v>
      </c>
      <c r="G370" s="205">
        <v>34409</v>
      </c>
      <c r="H370" s="47">
        <f t="shared" si="75"/>
        <v>55228</v>
      </c>
      <c r="I370" s="48">
        <f t="shared" si="68"/>
        <v>55244</v>
      </c>
      <c r="J370" s="48">
        <v>55244</v>
      </c>
      <c r="K370" s="97">
        <v>44562</v>
      </c>
      <c r="L370" s="206" t="s">
        <v>2103</v>
      </c>
      <c r="M370" s="207" t="s">
        <v>287</v>
      </c>
      <c r="N370" s="118" t="s">
        <v>281</v>
      </c>
      <c r="O370" s="97">
        <v>44562</v>
      </c>
      <c r="P370" s="117"/>
      <c r="Q370" s="118" t="s">
        <v>72</v>
      </c>
      <c r="R370" s="119">
        <v>1.41</v>
      </c>
      <c r="S370" s="119"/>
      <c r="T370" s="99"/>
      <c r="U370" s="52">
        <f t="shared" si="73"/>
        <v>6669300</v>
      </c>
      <c r="V370" s="52">
        <f t="shared" si="74"/>
        <v>0</v>
      </c>
      <c r="W370" s="52">
        <f t="shared" si="71"/>
        <v>0</v>
      </c>
      <c r="X370" s="52">
        <f t="shared" si="66"/>
        <v>6669300</v>
      </c>
      <c r="Y370" s="52">
        <f>+VLOOKUP(E370,[2]Sheet1!$B$11:$J$400,9,0)</f>
        <v>5865600</v>
      </c>
      <c r="Z370" s="52"/>
      <c r="AA370" s="53" t="s">
        <v>2726</v>
      </c>
      <c r="AB370" s="99"/>
      <c r="AC370" s="45" t="str">
        <f>+VLOOKUP(E370,[3]Sheet1!$B$11:$I$388,8,0)</f>
        <v>54 - 003</v>
      </c>
      <c r="AD370" s="99" t="s">
        <v>1787</v>
      </c>
      <c r="AE370" s="99" t="s">
        <v>2982</v>
      </c>
      <c r="AF370" s="100" t="s">
        <v>2491</v>
      </c>
      <c r="AG370" s="201">
        <v>221361280</v>
      </c>
      <c r="AH370" s="205" t="s">
        <v>2492</v>
      </c>
      <c r="AI370" s="99" t="s">
        <v>615</v>
      </c>
      <c r="AJ370" s="99" t="s">
        <v>2493</v>
      </c>
      <c r="AK370" s="99" t="s">
        <v>2494</v>
      </c>
      <c r="AL370" s="99"/>
      <c r="AM370" s="99"/>
      <c r="AN370" s="99"/>
      <c r="AO370" s="99"/>
      <c r="AP370" s="99"/>
      <c r="AQ370" s="99"/>
      <c r="AR370" s="99"/>
      <c r="AS370" s="99"/>
      <c r="AT370" s="99"/>
      <c r="AU370" s="99"/>
      <c r="AV370" s="99"/>
      <c r="AW370" s="55" t="s">
        <v>2392</v>
      </c>
      <c r="AX370" s="55" t="s">
        <v>1519</v>
      </c>
    </row>
    <row r="371" spans="1:50" x14ac:dyDescent="0.3">
      <c r="A371" s="43">
        <v>370</v>
      </c>
      <c r="B371" s="43">
        <v>105</v>
      </c>
      <c r="C371" s="118" t="s">
        <v>2543</v>
      </c>
      <c r="D371" s="255">
        <v>9</v>
      </c>
      <c r="E371" s="99" t="s">
        <v>2548</v>
      </c>
      <c r="F371" s="100" t="s">
        <v>2549</v>
      </c>
      <c r="G371" s="205">
        <v>37413</v>
      </c>
      <c r="H371" s="47">
        <f t="shared" si="75"/>
        <v>58232</v>
      </c>
      <c r="I371" s="48">
        <f t="shared" si="68"/>
        <v>58257</v>
      </c>
      <c r="J371" s="48">
        <v>58257</v>
      </c>
      <c r="K371" s="97">
        <v>44896</v>
      </c>
      <c r="L371" s="206" t="s">
        <v>2103</v>
      </c>
      <c r="M371" s="207" t="s">
        <v>287</v>
      </c>
      <c r="N371" s="118" t="s">
        <v>281</v>
      </c>
      <c r="O371" s="97">
        <v>44927</v>
      </c>
      <c r="P371" s="117"/>
      <c r="Q371" s="118" t="s">
        <v>72</v>
      </c>
      <c r="R371" s="119">
        <v>1.41</v>
      </c>
      <c r="S371" s="119"/>
      <c r="T371" s="99"/>
      <c r="U371" s="52">
        <f t="shared" si="73"/>
        <v>6669300</v>
      </c>
      <c r="V371" s="52">
        <f t="shared" si="74"/>
        <v>0</v>
      </c>
      <c r="W371" s="52">
        <f t="shared" si="71"/>
        <v>0</v>
      </c>
      <c r="X371" s="52">
        <f t="shared" si="66"/>
        <v>6669300</v>
      </c>
      <c r="Y371" s="52">
        <f>+VLOOKUP(E371,[2]Sheet1!$B$11:$J$400,9,0)</f>
        <v>5865600</v>
      </c>
      <c r="Z371" s="52"/>
      <c r="AA371" s="53" t="s">
        <v>2727</v>
      </c>
      <c r="AB371" s="99"/>
      <c r="AC371" s="45" t="str">
        <f>+VLOOKUP(E371,[3]Sheet1!$B$11:$I$388,8,0)</f>
        <v>54 - 003</v>
      </c>
      <c r="AD371" s="99" t="s">
        <v>1787</v>
      </c>
      <c r="AE371" s="99" t="s">
        <v>2550</v>
      </c>
      <c r="AF371" s="223" t="s">
        <v>2550</v>
      </c>
      <c r="AG371" s="201">
        <v>54202005845</v>
      </c>
      <c r="AH371" s="205" t="s">
        <v>2551</v>
      </c>
      <c r="AI371" s="99" t="s">
        <v>2427</v>
      </c>
      <c r="AJ371" s="99" t="s">
        <v>2552</v>
      </c>
      <c r="AK371" s="99" t="s">
        <v>2060</v>
      </c>
      <c r="AL371" s="99"/>
      <c r="AM371" s="99"/>
      <c r="AN371" s="99"/>
      <c r="AO371" s="99"/>
      <c r="AP371" s="99" t="s">
        <v>524</v>
      </c>
      <c r="AQ371" s="97">
        <v>44896</v>
      </c>
      <c r="AR371" s="99"/>
      <c r="AS371" s="99"/>
      <c r="AT371" s="97">
        <v>44927</v>
      </c>
      <c r="AU371" s="99"/>
      <c r="AV371" s="99"/>
      <c r="AW371" s="77" t="s">
        <v>2553</v>
      </c>
      <c r="AX371" s="55" t="s">
        <v>1519</v>
      </c>
    </row>
    <row r="372" spans="1:50" x14ac:dyDescent="0.3">
      <c r="A372" s="43">
        <v>371</v>
      </c>
      <c r="B372" s="43">
        <v>106</v>
      </c>
      <c r="C372" s="118" t="s">
        <v>2543</v>
      </c>
      <c r="D372" s="99">
        <v>10</v>
      </c>
      <c r="E372" s="99" t="s">
        <v>242</v>
      </c>
      <c r="F372" s="100" t="s">
        <v>458</v>
      </c>
      <c r="G372" s="97">
        <v>33817</v>
      </c>
      <c r="H372" s="47">
        <f t="shared" si="75"/>
        <v>54636</v>
      </c>
      <c r="I372" s="48">
        <f t="shared" si="68"/>
        <v>54667</v>
      </c>
      <c r="J372" s="48">
        <v>54667</v>
      </c>
      <c r="K372" s="97">
        <v>43040</v>
      </c>
      <c r="L372" s="206" t="s">
        <v>2103</v>
      </c>
      <c r="M372" s="207" t="s">
        <v>287</v>
      </c>
      <c r="N372" s="118" t="s">
        <v>281</v>
      </c>
      <c r="O372" s="97">
        <v>43040</v>
      </c>
      <c r="P372" s="117"/>
      <c r="Q372" s="200" t="s">
        <v>71</v>
      </c>
      <c r="R372" s="119">
        <v>1.49</v>
      </c>
      <c r="S372" s="119"/>
      <c r="T372" s="99"/>
      <c r="U372" s="52">
        <f t="shared" si="73"/>
        <v>7047700</v>
      </c>
      <c r="V372" s="52">
        <f t="shared" si="74"/>
        <v>0</v>
      </c>
      <c r="W372" s="52">
        <f t="shared" si="71"/>
        <v>0</v>
      </c>
      <c r="X372" s="52">
        <f t="shared" si="66"/>
        <v>7047700</v>
      </c>
      <c r="Y372" s="52">
        <f>+VLOOKUP(E372,[2]Sheet1!$B$11:$J$400,9,0)</f>
        <v>6198400</v>
      </c>
      <c r="Z372" s="52"/>
      <c r="AA372" s="53" t="s">
        <v>1733</v>
      </c>
      <c r="AB372" s="99" t="s">
        <v>1377</v>
      </c>
      <c r="AC372" s="45" t="str">
        <f>+VLOOKUP(E372,[3]Sheet1!$B$11:$I$388,8,0)</f>
        <v>54 - 016</v>
      </c>
      <c r="AD372" s="99" t="s">
        <v>1787</v>
      </c>
      <c r="AE372" s="99" t="s">
        <v>2930</v>
      </c>
      <c r="AF372" s="100">
        <v>221287634</v>
      </c>
      <c r="AG372" s="99">
        <f>+VALUE(AF300:AF682)</f>
        <v>221287634</v>
      </c>
      <c r="AH372" s="99" t="s">
        <v>1387</v>
      </c>
      <c r="AI372" s="99" t="s">
        <v>615</v>
      </c>
      <c r="AJ372" s="99" t="s">
        <v>1388</v>
      </c>
      <c r="AK372" s="101" t="s">
        <v>1389</v>
      </c>
      <c r="AL372" s="99"/>
      <c r="AM372" s="99"/>
      <c r="AN372" s="99"/>
      <c r="AO372" s="99" t="s">
        <v>504</v>
      </c>
      <c r="AP372" s="99"/>
      <c r="AQ372" s="99"/>
      <c r="AR372" s="99"/>
      <c r="AS372" s="99"/>
      <c r="AT372" s="99"/>
      <c r="AU372" s="99"/>
      <c r="AV372" s="99"/>
      <c r="AW372" s="55" t="s">
        <v>2343</v>
      </c>
      <c r="AX372" s="55" t="s">
        <v>1519</v>
      </c>
    </row>
    <row r="373" spans="1:50" x14ac:dyDescent="0.3">
      <c r="A373" s="43">
        <v>372</v>
      </c>
      <c r="B373" s="43">
        <v>107</v>
      </c>
      <c r="C373" s="118" t="s">
        <v>2543</v>
      </c>
      <c r="D373" s="255">
        <v>11</v>
      </c>
      <c r="E373" s="99" t="s">
        <v>1920</v>
      </c>
      <c r="F373" s="100" t="s">
        <v>1921</v>
      </c>
      <c r="G373" s="205">
        <v>32872</v>
      </c>
      <c r="H373" s="47">
        <f t="shared" si="75"/>
        <v>53691</v>
      </c>
      <c r="I373" s="48">
        <f t="shared" si="68"/>
        <v>53693</v>
      </c>
      <c r="J373" s="48">
        <v>53693</v>
      </c>
      <c r="K373" s="97">
        <v>43556</v>
      </c>
      <c r="L373" s="206" t="s">
        <v>2103</v>
      </c>
      <c r="M373" s="207" t="s">
        <v>287</v>
      </c>
      <c r="N373" s="118" t="s">
        <v>281</v>
      </c>
      <c r="O373" s="97">
        <v>43570</v>
      </c>
      <c r="P373" s="117"/>
      <c r="Q373" s="118" t="s">
        <v>72</v>
      </c>
      <c r="R373" s="119">
        <v>1.41</v>
      </c>
      <c r="S373" s="119"/>
      <c r="T373" s="99"/>
      <c r="U373" s="52">
        <f t="shared" si="73"/>
        <v>6669300</v>
      </c>
      <c r="V373" s="52">
        <f t="shared" si="74"/>
        <v>0</v>
      </c>
      <c r="W373" s="52">
        <f t="shared" si="71"/>
        <v>0</v>
      </c>
      <c r="X373" s="52">
        <f t="shared" si="66"/>
        <v>6669300</v>
      </c>
      <c r="Y373" s="52">
        <f>+VLOOKUP(E373,[2]Sheet1!$B$11:$J$400,9,0)</f>
        <v>5865600</v>
      </c>
      <c r="Z373" s="52"/>
      <c r="AA373" s="53" t="s">
        <v>1922</v>
      </c>
      <c r="AB373" s="99" t="s">
        <v>1955</v>
      </c>
      <c r="AC373" s="45" t="str">
        <f>+VLOOKUP(E373,[3]Sheet1!$B$11:$I$388,8,0)</f>
        <v>56 - 002</v>
      </c>
      <c r="AD373" s="99" t="s">
        <v>1787</v>
      </c>
      <c r="AE373" s="99" t="s">
        <v>2935</v>
      </c>
      <c r="AF373" s="223" t="s">
        <v>1923</v>
      </c>
      <c r="AG373" s="99">
        <f>+VALUE(AF305:AF700)</f>
        <v>221215324</v>
      </c>
      <c r="AH373" s="205" t="s">
        <v>1924</v>
      </c>
      <c r="AI373" s="99" t="s">
        <v>615</v>
      </c>
      <c r="AJ373" s="99" t="s">
        <v>1862</v>
      </c>
      <c r="AK373" s="99" t="s">
        <v>1471</v>
      </c>
      <c r="AL373" s="99"/>
      <c r="AM373" s="99"/>
      <c r="AN373" s="99"/>
      <c r="AO373" s="99" t="s">
        <v>1925</v>
      </c>
      <c r="AP373" s="99"/>
      <c r="AQ373" s="99"/>
      <c r="AR373" s="99"/>
      <c r="AS373" s="99"/>
      <c r="AT373" s="99"/>
      <c r="AU373" s="99"/>
      <c r="AV373" s="99"/>
      <c r="AW373" s="55" t="s">
        <v>2349</v>
      </c>
      <c r="AX373" s="55" t="s">
        <v>1519</v>
      </c>
    </row>
    <row r="374" spans="1:50" x14ac:dyDescent="0.3">
      <c r="A374" s="43">
        <v>373</v>
      </c>
      <c r="B374" s="43">
        <v>108</v>
      </c>
      <c r="C374" s="118" t="s">
        <v>2543</v>
      </c>
      <c r="D374" s="99">
        <v>12</v>
      </c>
      <c r="E374" s="99" t="s">
        <v>2049</v>
      </c>
      <c r="F374" s="100" t="s">
        <v>2048</v>
      </c>
      <c r="G374" s="205">
        <v>34257</v>
      </c>
      <c r="H374" s="47">
        <f t="shared" si="75"/>
        <v>55076</v>
      </c>
      <c r="I374" s="48">
        <f t="shared" si="68"/>
        <v>55093</v>
      </c>
      <c r="J374" s="48">
        <v>55093</v>
      </c>
      <c r="K374" s="97">
        <v>43983</v>
      </c>
      <c r="L374" s="206" t="s">
        <v>2103</v>
      </c>
      <c r="M374" s="207" t="s">
        <v>287</v>
      </c>
      <c r="N374" s="118" t="s">
        <v>281</v>
      </c>
      <c r="O374" s="117" t="s">
        <v>3238</v>
      </c>
      <c r="P374" s="117"/>
      <c r="Q374" s="238" t="s">
        <v>71</v>
      </c>
      <c r="R374" s="119">
        <v>1.49</v>
      </c>
      <c r="S374" s="119"/>
      <c r="T374" s="99"/>
      <c r="U374" s="52">
        <f t="shared" si="73"/>
        <v>7047700</v>
      </c>
      <c r="V374" s="52">
        <f t="shared" si="74"/>
        <v>0</v>
      </c>
      <c r="W374" s="52">
        <f t="shared" si="71"/>
        <v>0</v>
      </c>
      <c r="X374" s="52">
        <f t="shared" si="66"/>
        <v>7047700</v>
      </c>
      <c r="Y374" s="52">
        <f>+VLOOKUP(E374,[2]Sheet1!$B$11:$J$400,9,0)</f>
        <v>6225600</v>
      </c>
      <c r="Z374" s="52"/>
      <c r="AA374" s="53" t="s">
        <v>2064</v>
      </c>
      <c r="AB374" s="99" t="s">
        <v>2065</v>
      </c>
      <c r="AC374" s="45" t="str">
        <f>+VLOOKUP(E374,[3]Sheet1!$B$11:$I$388,8,0)</f>
        <v>54 - 003</v>
      </c>
      <c r="AD374" s="99" t="s">
        <v>1787</v>
      </c>
      <c r="AE374" s="99" t="s">
        <v>2971</v>
      </c>
      <c r="AF374" s="223" t="s">
        <v>2050</v>
      </c>
      <c r="AG374" s="99">
        <f>+VALUE(AF358:AF733)</f>
        <v>221278588</v>
      </c>
      <c r="AH374" s="205" t="s">
        <v>840</v>
      </c>
      <c r="AI374" s="99" t="s">
        <v>1283</v>
      </c>
      <c r="AJ374" s="99" t="s">
        <v>2051</v>
      </c>
      <c r="AK374" s="101" t="s">
        <v>2060</v>
      </c>
      <c r="AL374" s="99"/>
      <c r="AM374" s="99"/>
      <c r="AN374" s="99" t="s">
        <v>2052</v>
      </c>
      <c r="AO374" s="99"/>
      <c r="AP374" s="99"/>
      <c r="AQ374" s="99"/>
      <c r="AR374" s="99"/>
      <c r="AS374" s="99"/>
      <c r="AT374" s="99"/>
      <c r="AU374" s="99"/>
      <c r="AV374" s="99"/>
      <c r="AW374" s="55">
        <v>963208861</v>
      </c>
      <c r="AX374" s="55" t="s">
        <v>1519</v>
      </c>
    </row>
    <row r="375" spans="1:50" x14ac:dyDescent="0.3">
      <c r="A375" s="43">
        <v>374</v>
      </c>
      <c r="B375" s="43">
        <v>109</v>
      </c>
      <c r="C375" s="118" t="s">
        <v>2543</v>
      </c>
      <c r="D375" s="101">
        <v>1</v>
      </c>
      <c r="E375" s="213" t="s">
        <v>680</v>
      </c>
      <c r="F375" s="100" t="s">
        <v>476</v>
      </c>
      <c r="G375" s="97">
        <v>27617</v>
      </c>
      <c r="H375" s="47">
        <f t="shared" si="75"/>
        <v>48437</v>
      </c>
      <c r="I375" s="48">
        <f t="shared" si="68"/>
        <v>48458</v>
      </c>
      <c r="J375" s="48">
        <v>48458</v>
      </c>
      <c r="K375" s="97">
        <v>36220</v>
      </c>
      <c r="L375" s="206" t="s">
        <v>729</v>
      </c>
      <c r="M375" s="207" t="s">
        <v>287</v>
      </c>
      <c r="N375" s="118" t="s">
        <v>286</v>
      </c>
      <c r="O375" s="97">
        <v>42309</v>
      </c>
      <c r="P375" s="117"/>
      <c r="Q375" s="118" t="s">
        <v>74</v>
      </c>
      <c r="R375" s="119">
        <v>1.68</v>
      </c>
      <c r="S375" s="119">
        <v>0.06</v>
      </c>
      <c r="T375" s="99"/>
      <c r="U375" s="52">
        <f t="shared" si="73"/>
        <v>7946400</v>
      </c>
      <c r="V375" s="52">
        <f t="shared" si="74"/>
        <v>264600</v>
      </c>
      <c r="W375" s="52">
        <f t="shared" si="71"/>
        <v>0</v>
      </c>
      <c r="X375" s="52">
        <f t="shared" si="66"/>
        <v>8211000</v>
      </c>
      <c r="Y375" s="52">
        <f>+VLOOKUP(E375,[2]Sheet1!$B$11:$J$400,9,0)</f>
        <v>7238400</v>
      </c>
      <c r="Z375" s="52"/>
      <c r="AA375" s="53" t="s">
        <v>1756</v>
      </c>
      <c r="AB375" s="99" t="s">
        <v>1443</v>
      </c>
      <c r="AC375" s="45" t="str">
        <f>+VLOOKUP(E375,[3]Sheet1!$B$11:$I$388,8,0)</f>
        <v>54 - 016</v>
      </c>
      <c r="AD375" s="99" t="s">
        <v>1787</v>
      </c>
      <c r="AE375" s="99" t="s">
        <v>2983</v>
      </c>
      <c r="AF375" s="100" t="s">
        <v>2145</v>
      </c>
      <c r="AG375" s="99">
        <f>+VALUE(AF350:AF723)</f>
        <v>211987926</v>
      </c>
      <c r="AH375" s="99" t="s">
        <v>1444</v>
      </c>
      <c r="AI375" s="99" t="s">
        <v>1419</v>
      </c>
      <c r="AJ375" s="99" t="s">
        <v>1445</v>
      </c>
      <c r="AK375" s="101" t="s">
        <v>1445</v>
      </c>
      <c r="AL375" s="99"/>
      <c r="AM375" s="99"/>
      <c r="AN375" s="99"/>
      <c r="AO375" s="99" t="s">
        <v>504</v>
      </c>
      <c r="AP375" s="99"/>
      <c r="AQ375" s="99"/>
      <c r="AR375" s="99"/>
      <c r="AS375" s="99"/>
      <c r="AT375" s="99"/>
      <c r="AU375" s="99"/>
      <c r="AV375" s="99"/>
      <c r="AW375" s="55" t="s">
        <v>2393</v>
      </c>
      <c r="AX375" s="55" t="s">
        <v>1519</v>
      </c>
    </row>
    <row r="376" spans="1:50" x14ac:dyDescent="0.3">
      <c r="A376" s="43">
        <v>375</v>
      </c>
      <c r="B376" s="43">
        <v>110</v>
      </c>
      <c r="C376" s="118" t="s">
        <v>2543</v>
      </c>
      <c r="D376" s="101">
        <v>2</v>
      </c>
      <c r="E376" s="99" t="s">
        <v>690</v>
      </c>
      <c r="F376" s="100" t="s">
        <v>490</v>
      </c>
      <c r="G376" s="97">
        <v>28441</v>
      </c>
      <c r="H376" s="47">
        <f t="shared" si="75"/>
        <v>49260</v>
      </c>
      <c r="I376" s="48">
        <f t="shared" si="68"/>
        <v>49279</v>
      </c>
      <c r="J376" s="48">
        <v>49279</v>
      </c>
      <c r="K376" s="97">
        <v>36220</v>
      </c>
      <c r="L376" s="206" t="s">
        <v>729</v>
      </c>
      <c r="M376" s="207" t="s">
        <v>287</v>
      </c>
      <c r="N376" s="118" t="s">
        <v>285</v>
      </c>
      <c r="O376" s="97">
        <v>42979</v>
      </c>
      <c r="P376" s="117"/>
      <c r="Q376" s="118" t="s">
        <v>74</v>
      </c>
      <c r="R376" s="119">
        <v>1.68</v>
      </c>
      <c r="S376" s="119">
        <v>0.04</v>
      </c>
      <c r="T376" s="99"/>
      <c r="U376" s="52">
        <f t="shared" si="73"/>
        <v>7946400</v>
      </c>
      <c r="V376" s="52">
        <f t="shared" si="74"/>
        <v>176400</v>
      </c>
      <c r="W376" s="52">
        <f t="shared" si="71"/>
        <v>0</v>
      </c>
      <c r="X376" s="52">
        <f t="shared" si="66"/>
        <v>8122800</v>
      </c>
      <c r="Y376" s="52">
        <f>+VLOOKUP(E376,[2]Sheet1!$B$11:$J$400,9,0)</f>
        <v>7155200</v>
      </c>
      <c r="Z376" s="52"/>
      <c r="AA376" s="53" t="s">
        <v>1772</v>
      </c>
      <c r="AB376" s="99" t="s">
        <v>1282</v>
      </c>
      <c r="AC376" s="45" t="str">
        <f>+VLOOKUP(E376,[3]Sheet1!$B$11:$I$388,8,0)</f>
        <v>54 - 016</v>
      </c>
      <c r="AD376" s="99" t="s">
        <v>1787</v>
      </c>
      <c r="AE376" s="99" t="s">
        <v>2985</v>
      </c>
      <c r="AF376" s="100">
        <v>220984397</v>
      </c>
      <c r="AG376" s="99">
        <f>+VALUE(AF376:AF748)</f>
        <v>220984397</v>
      </c>
      <c r="AH376" s="99" t="s">
        <v>1485</v>
      </c>
      <c r="AI376" s="99" t="s">
        <v>1297</v>
      </c>
      <c r="AJ376" s="99" t="s">
        <v>1346</v>
      </c>
      <c r="AK376" s="101" t="s">
        <v>1486</v>
      </c>
      <c r="AL376" s="99"/>
      <c r="AM376" s="99" t="s">
        <v>502</v>
      </c>
      <c r="AN376" s="99"/>
      <c r="AO376" s="99"/>
      <c r="AP376" s="99"/>
      <c r="AQ376" s="99"/>
      <c r="AR376" s="99"/>
      <c r="AS376" s="99"/>
      <c r="AT376" s="99"/>
      <c r="AU376" s="99"/>
      <c r="AV376" s="99"/>
      <c r="AW376" s="55" t="s">
        <v>2395</v>
      </c>
      <c r="AX376" s="55" t="s">
        <v>1519</v>
      </c>
    </row>
    <row r="377" spans="1:50" x14ac:dyDescent="0.3">
      <c r="A377" s="43">
        <v>376</v>
      </c>
      <c r="B377" s="43">
        <v>111</v>
      </c>
      <c r="C377" s="118" t="s">
        <v>2543</v>
      </c>
      <c r="D377" s="101">
        <v>4</v>
      </c>
      <c r="E377" s="97" t="s">
        <v>691</v>
      </c>
      <c r="F377" s="100" t="s">
        <v>491</v>
      </c>
      <c r="G377" s="97">
        <v>25802</v>
      </c>
      <c r="H377" s="47">
        <v>46529</v>
      </c>
      <c r="I377" s="48">
        <f t="shared" si="68"/>
        <v>46539</v>
      </c>
      <c r="J377" s="48">
        <v>46539</v>
      </c>
      <c r="K377" s="97">
        <v>33086</v>
      </c>
      <c r="L377" s="206" t="s">
        <v>729</v>
      </c>
      <c r="M377" s="207" t="s">
        <v>287</v>
      </c>
      <c r="N377" s="118" t="s">
        <v>281</v>
      </c>
      <c r="O377" s="97">
        <v>38899</v>
      </c>
      <c r="P377" s="117"/>
      <c r="Q377" s="118" t="s">
        <v>76</v>
      </c>
      <c r="R377" s="119">
        <v>1.58</v>
      </c>
      <c r="S377" s="119"/>
      <c r="T377" s="99"/>
      <c r="U377" s="52">
        <f t="shared" si="73"/>
        <v>7473400</v>
      </c>
      <c r="V377" s="52">
        <f t="shared" si="74"/>
        <v>0</v>
      </c>
      <c r="W377" s="52">
        <f t="shared" si="71"/>
        <v>0</v>
      </c>
      <c r="X377" s="52">
        <f t="shared" si="66"/>
        <v>7473400</v>
      </c>
      <c r="Y377" s="52">
        <f>+VLOOKUP(E377,[2]Sheet1!$B$11:$J$400,9,0)</f>
        <v>6572800</v>
      </c>
      <c r="Z377" s="52"/>
      <c r="AA377" s="53" t="s">
        <v>1773</v>
      </c>
      <c r="AB377" s="99" t="s">
        <v>1282</v>
      </c>
      <c r="AC377" s="45" t="str">
        <f>+VLOOKUP(E377,[3]Sheet1!$B$11:$I$388,8,0)</f>
        <v>54 - 033</v>
      </c>
      <c r="AD377" s="99" t="s">
        <v>1787</v>
      </c>
      <c r="AE377" s="99" t="s">
        <v>2986</v>
      </c>
      <c r="AF377" s="100">
        <v>220752810</v>
      </c>
      <c r="AG377" s="99">
        <f>+VALUE(AF377:AF751)</f>
        <v>220752810</v>
      </c>
      <c r="AH377" s="99" t="s">
        <v>1488</v>
      </c>
      <c r="AI377" s="99" t="s">
        <v>615</v>
      </c>
      <c r="AJ377" s="99" t="s">
        <v>1298</v>
      </c>
      <c r="AK377" s="101" t="s">
        <v>1489</v>
      </c>
      <c r="AL377" s="99"/>
      <c r="AM377" s="99"/>
      <c r="AN377" s="99"/>
      <c r="AO377" s="99"/>
      <c r="AP377" s="99" t="s">
        <v>511</v>
      </c>
      <c r="AQ377" s="99"/>
      <c r="AR377" s="99"/>
      <c r="AS377" s="99"/>
      <c r="AT377" s="99"/>
      <c r="AU377" s="99"/>
      <c r="AV377" s="99"/>
      <c r="AW377" s="55" t="s">
        <v>2396</v>
      </c>
      <c r="AX377" s="55" t="s">
        <v>1519</v>
      </c>
    </row>
    <row r="378" spans="1:50" x14ac:dyDescent="0.3">
      <c r="A378" s="43">
        <v>377</v>
      </c>
      <c r="B378" s="43">
        <v>112</v>
      </c>
      <c r="C378" s="118" t="s">
        <v>2543</v>
      </c>
      <c r="D378" s="101">
        <v>5</v>
      </c>
      <c r="E378" s="99" t="s">
        <v>273</v>
      </c>
      <c r="F378" s="100" t="s">
        <v>492</v>
      </c>
      <c r="G378" s="97">
        <v>32409</v>
      </c>
      <c r="H378" s="47">
        <f t="shared" ref="H378:H387" si="76">+DATE(YEAR(G378)+57,MONTH(G378),DAY(G378))</f>
        <v>53228</v>
      </c>
      <c r="I378" s="48">
        <f t="shared" si="68"/>
        <v>53236</v>
      </c>
      <c r="J378" s="48">
        <v>53236</v>
      </c>
      <c r="K378" s="97">
        <v>41671</v>
      </c>
      <c r="L378" s="206" t="s">
        <v>729</v>
      </c>
      <c r="M378" s="207" t="s">
        <v>287</v>
      </c>
      <c r="N378" s="118" t="s">
        <v>281</v>
      </c>
      <c r="O378" s="97">
        <v>42370</v>
      </c>
      <c r="P378" s="117"/>
      <c r="Q378" s="118" t="s">
        <v>71</v>
      </c>
      <c r="R378" s="119">
        <v>1.49</v>
      </c>
      <c r="S378" s="119"/>
      <c r="T378" s="99"/>
      <c r="U378" s="52">
        <f t="shared" si="73"/>
        <v>7047700</v>
      </c>
      <c r="V378" s="52">
        <f t="shared" si="74"/>
        <v>0</v>
      </c>
      <c r="W378" s="52">
        <f t="shared" si="71"/>
        <v>0</v>
      </c>
      <c r="X378" s="52">
        <f t="shared" si="66"/>
        <v>7047700</v>
      </c>
      <c r="Y378" s="52">
        <f>+VLOOKUP(E378,[2]Sheet1!$B$11:$J$400,9,0)</f>
        <v>6198400</v>
      </c>
      <c r="Z378" s="52"/>
      <c r="AA378" s="53" t="s">
        <v>1774</v>
      </c>
      <c r="AB378" s="99" t="s">
        <v>1454</v>
      </c>
      <c r="AC378" s="45" t="str">
        <f>+VLOOKUP(E378,[3]Sheet1!$B$11:$I$388,8,0)</f>
        <v>54 - 016</v>
      </c>
      <c r="AD378" s="99" t="s">
        <v>1787</v>
      </c>
      <c r="AE378" s="99" t="s">
        <v>2987</v>
      </c>
      <c r="AF378" s="100">
        <v>221181337</v>
      </c>
      <c r="AG378" s="263" t="s">
        <v>2987</v>
      </c>
      <c r="AH378" s="99" t="s">
        <v>797</v>
      </c>
      <c r="AI378" s="99" t="s">
        <v>1297</v>
      </c>
      <c r="AJ378" s="99" t="s">
        <v>1490</v>
      </c>
      <c r="AK378" s="101" t="s">
        <v>1284</v>
      </c>
      <c r="AL378" s="99"/>
      <c r="AM378" s="99"/>
      <c r="AN378" s="99"/>
      <c r="AO378" s="99"/>
      <c r="AP378" s="99"/>
      <c r="AQ378" s="99"/>
      <c r="AR378" s="99"/>
      <c r="AS378" s="99"/>
      <c r="AT378" s="99"/>
      <c r="AU378" s="99"/>
      <c r="AV378" s="99"/>
      <c r="AW378" s="55" t="s">
        <v>2397</v>
      </c>
      <c r="AX378" s="55" t="s">
        <v>1519</v>
      </c>
    </row>
    <row r="379" spans="1:50" x14ac:dyDescent="0.3">
      <c r="A379" s="43">
        <v>378</v>
      </c>
      <c r="B379" s="43">
        <v>113</v>
      </c>
      <c r="C379" s="118" t="s">
        <v>2543</v>
      </c>
      <c r="D379" s="101">
        <v>6</v>
      </c>
      <c r="E379" s="99" t="s">
        <v>274</v>
      </c>
      <c r="F379" s="100" t="s">
        <v>493</v>
      </c>
      <c r="G379" s="97">
        <v>32295</v>
      </c>
      <c r="H379" s="47">
        <f t="shared" si="76"/>
        <v>53114</v>
      </c>
      <c r="I379" s="48">
        <f t="shared" ref="I379:I398" si="77">+EOMONTH(H379,0)+1</f>
        <v>53144</v>
      </c>
      <c r="J379" s="48">
        <v>53144</v>
      </c>
      <c r="K379" s="97">
        <v>40513</v>
      </c>
      <c r="L379" s="206" t="s">
        <v>729</v>
      </c>
      <c r="M379" s="207" t="s">
        <v>287</v>
      </c>
      <c r="N379" s="118" t="s">
        <v>281</v>
      </c>
      <c r="O379" s="97">
        <v>43405</v>
      </c>
      <c r="P379" s="117"/>
      <c r="Q379" s="238" t="s">
        <v>76</v>
      </c>
      <c r="R379" s="118">
        <v>1.58</v>
      </c>
      <c r="S379" s="119"/>
      <c r="T379" s="99"/>
      <c r="U379" s="52">
        <f t="shared" si="73"/>
        <v>7473400</v>
      </c>
      <c r="V379" s="52">
        <f t="shared" si="74"/>
        <v>0</v>
      </c>
      <c r="W379" s="52">
        <f t="shared" si="71"/>
        <v>0</v>
      </c>
      <c r="X379" s="52">
        <f t="shared" si="66"/>
        <v>7473400</v>
      </c>
      <c r="Y379" s="52">
        <f>+VLOOKUP(E379,[2]Sheet1!$B$11:$J$400,9,0)</f>
        <v>6572800</v>
      </c>
      <c r="Z379" s="52"/>
      <c r="AA379" s="53" t="s">
        <v>1775</v>
      </c>
      <c r="AB379" s="99" t="s">
        <v>1491</v>
      </c>
      <c r="AC379" s="45" t="str">
        <f>+VLOOKUP(E379,[3]Sheet1!$B$11:$I$388,8,0)</f>
        <v>54 - 032</v>
      </c>
      <c r="AD379" s="99" t="s">
        <v>1787</v>
      </c>
      <c r="AE379" s="99" t="s">
        <v>2988</v>
      </c>
      <c r="AF379" s="100">
        <v>221217019</v>
      </c>
      <c r="AG379" s="99">
        <f>+VALUE(AF379:AF754)</f>
        <v>221217019</v>
      </c>
      <c r="AH379" s="99" t="s">
        <v>1492</v>
      </c>
      <c r="AI379" s="99" t="s">
        <v>1283</v>
      </c>
      <c r="AJ379" s="99" t="s">
        <v>1493</v>
      </c>
      <c r="AK379" s="101" t="s">
        <v>1494</v>
      </c>
      <c r="AL379" s="99"/>
      <c r="AM379" s="99"/>
      <c r="AN379" s="99"/>
      <c r="AO379" s="99" t="s">
        <v>504</v>
      </c>
      <c r="AP379" s="99" t="s">
        <v>511</v>
      </c>
      <c r="AQ379" s="99"/>
      <c r="AR379" s="99"/>
      <c r="AS379" s="99"/>
      <c r="AT379" s="99"/>
      <c r="AU379" s="99"/>
      <c r="AV379" s="99"/>
      <c r="AW379" s="55" t="s">
        <v>2398</v>
      </c>
      <c r="AX379" s="55" t="s">
        <v>1519</v>
      </c>
    </row>
    <row r="380" spans="1:50" x14ac:dyDescent="0.3">
      <c r="A380" s="43">
        <v>379</v>
      </c>
      <c r="B380" s="43">
        <v>114</v>
      </c>
      <c r="C380" s="118" t="s">
        <v>2543</v>
      </c>
      <c r="D380" s="101">
        <v>7</v>
      </c>
      <c r="E380" s="202" t="s">
        <v>267</v>
      </c>
      <c r="F380" s="100" t="s">
        <v>480</v>
      </c>
      <c r="G380" s="97">
        <v>34683</v>
      </c>
      <c r="H380" s="47">
        <f t="shared" si="76"/>
        <v>55502</v>
      </c>
      <c r="I380" s="48">
        <f t="shared" si="77"/>
        <v>55519</v>
      </c>
      <c r="J380" s="48">
        <v>55519</v>
      </c>
      <c r="K380" s="97">
        <v>41671</v>
      </c>
      <c r="L380" s="206" t="s">
        <v>729</v>
      </c>
      <c r="M380" s="207" t="s">
        <v>287</v>
      </c>
      <c r="N380" s="118" t="s">
        <v>281</v>
      </c>
      <c r="O380" s="97">
        <v>42370</v>
      </c>
      <c r="P380" s="204"/>
      <c r="Q380" s="118" t="s">
        <v>71</v>
      </c>
      <c r="R380" s="119">
        <v>1.49</v>
      </c>
      <c r="S380" s="119"/>
      <c r="T380" s="99"/>
      <c r="U380" s="52">
        <f t="shared" si="73"/>
        <v>7047700</v>
      </c>
      <c r="V380" s="52">
        <f t="shared" si="74"/>
        <v>0</v>
      </c>
      <c r="W380" s="52">
        <f t="shared" si="71"/>
        <v>0</v>
      </c>
      <c r="X380" s="52">
        <f t="shared" si="66"/>
        <v>7047700</v>
      </c>
      <c r="Y380" s="52">
        <f>+VLOOKUP(E380,[2]Sheet1!$B$11:$J$400,9,0)</f>
        <v>6198400</v>
      </c>
      <c r="Z380" s="52"/>
      <c r="AA380" s="53" t="s">
        <v>1759</v>
      </c>
      <c r="AB380" s="99" t="s">
        <v>1454</v>
      </c>
      <c r="AC380" s="45" t="str">
        <f>+VLOOKUP(E380,[3]Sheet1!$B$11:$I$388,8,0)</f>
        <v>54 - 124</v>
      </c>
      <c r="AD380" s="99" t="s">
        <v>1787</v>
      </c>
      <c r="AE380" s="99" t="s">
        <v>2989</v>
      </c>
      <c r="AF380" s="100">
        <v>221353541</v>
      </c>
      <c r="AG380" s="99">
        <f>+VALUE(AF380:AF755)</f>
        <v>221353541</v>
      </c>
      <c r="AH380" s="99" t="s">
        <v>1455</v>
      </c>
      <c r="AI380" s="99" t="s">
        <v>1283</v>
      </c>
      <c r="AJ380" s="99" t="s">
        <v>1456</v>
      </c>
      <c r="AK380" s="101" t="s">
        <v>1457</v>
      </c>
      <c r="AL380" s="99"/>
      <c r="AM380" s="99"/>
      <c r="AN380" s="99"/>
      <c r="AO380" s="99"/>
      <c r="AP380" s="99"/>
      <c r="AQ380" s="99"/>
      <c r="AR380" s="99"/>
      <c r="AS380" s="99"/>
      <c r="AT380" s="99"/>
      <c r="AU380" s="99"/>
      <c r="AV380" s="99"/>
      <c r="AW380" s="55" t="s">
        <v>2399</v>
      </c>
      <c r="AX380" s="55" t="s">
        <v>1519</v>
      </c>
    </row>
    <row r="381" spans="1:50" x14ac:dyDescent="0.3">
      <c r="A381" s="43">
        <v>380</v>
      </c>
      <c r="B381" s="43">
        <v>115</v>
      </c>
      <c r="C381" s="118" t="s">
        <v>2543</v>
      </c>
      <c r="D381" s="101">
        <v>8</v>
      </c>
      <c r="E381" s="99" t="s">
        <v>693</v>
      </c>
      <c r="F381" s="100" t="s">
        <v>495</v>
      </c>
      <c r="G381" s="97">
        <v>26333</v>
      </c>
      <c r="H381" s="47">
        <f t="shared" si="76"/>
        <v>47153</v>
      </c>
      <c r="I381" s="48">
        <f t="shared" si="77"/>
        <v>47178</v>
      </c>
      <c r="J381" s="48">
        <v>47178</v>
      </c>
      <c r="K381" s="97">
        <v>34851</v>
      </c>
      <c r="L381" s="206" t="s">
        <v>729</v>
      </c>
      <c r="M381" s="207" t="s">
        <v>287</v>
      </c>
      <c r="N381" s="118" t="s">
        <v>281</v>
      </c>
      <c r="O381" s="97">
        <v>41091</v>
      </c>
      <c r="P381" s="117"/>
      <c r="Q381" s="118" t="s">
        <v>74</v>
      </c>
      <c r="R381" s="119">
        <v>1.68</v>
      </c>
      <c r="S381" s="119"/>
      <c r="T381" s="99"/>
      <c r="U381" s="52">
        <f t="shared" si="73"/>
        <v>7946400</v>
      </c>
      <c r="V381" s="52">
        <f t="shared" si="74"/>
        <v>0</v>
      </c>
      <c r="W381" s="52">
        <f t="shared" si="71"/>
        <v>0</v>
      </c>
      <c r="X381" s="52">
        <f t="shared" si="66"/>
        <v>7946400</v>
      </c>
      <c r="Y381" s="52">
        <f>+VLOOKUP(E381,[2]Sheet1!$B$11:$J$400,9,0)</f>
        <v>6988800</v>
      </c>
      <c r="Z381" s="52"/>
      <c r="AA381" s="53" t="s">
        <v>1777</v>
      </c>
      <c r="AB381" s="99" t="s">
        <v>1498</v>
      </c>
      <c r="AC381" s="45" t="str">
        <f>+VLOOKUP(E381,[3]Sheet1!$B$11:$I$388,8,0)</f>
        <v>54 - 031</v>
      </c>
      <c r="AD381" s="99" t="s">
        <v>1787</v>
      </c>
      <c r="AE381" s="99" t="s">
        <v>2992</v>
      </c>
      <c r="AF381" s="100">
        <v>220868537</v>
      </c>
      <c r="AG381" s="99">
        <f>+VALUE(AF381:AF756)</f>
        <v>220868537</v>
      </c>
      <c r="AH381" s="99" t="s">
        <v>1348</v>
      </c>
      <c r="AI381" s="99" t="s">
        <v>615</v>
      </c>
      <c r="AJ381" s="99" t="s">
        <v>1499</v>
      </c>
      <c r="AK381" s="101" t="s">
        <v>1500</v>
      </c>
      <c r="AL381" s="99"/>
      <c r="AM381" s="99"/>
      <c r="AN381" s="99"/>
      <c r="AO381" s="99" t="s">
        <v>504</v>
      </c>
      <c r="AP381" s="99"/>
      <c r="AQ381" s="99"/>
      <c r="AR381" s="99"/>
      <c r="AS381" s="99"/>
      <c r="AT381" s="99"/>
      <c r="AU381" s="99"/>
      <c r="AV381" s="99"/>
      <c r="AW381" s="55" t="s">
        <v>2389</v>
      </c>
      <c r="AX381" s="55" t="s">
        <v>1519</v>
      </c>
    </row>
    <row r="382" spans="1:50" x14ac:dyDescent="0.3">
      <c r="A382" s="43">
        <v>381</v>
      </c>
      <c r="B382" s="43">
        <v>116</v>
      </c>
      <c r="C382" s="118" t="s">
        <v>2543</v>
      </c>
      <c r="D382" s="101">
        <v>9</v>
      </c>
      <c r="E382" s="264" t="s">
        <v>271</v>
      </c>
      <c r="F382" s="100" t="s">
        <v>611</v>
      </c>
      <c r="G382" s="97">
        <v>34532</v>
      </c>
      <c r="H382" s="47">
        <f t="shared" si="76"/>
        <v>55351</v>
      </c>
      <c r="I382" s="48">
        <f t="shared" si="77"/>
        <v>55366</v>
      </c>
      <c r="J382" s="48">
        <v>55366</v>
      </c>
      <c r="K382" s="97">
        <v>43191</v>
      </c>
      <c r="L382" s="206" t="s">
        <v>729</v>
      </c>
      <c r="M382" s="207" t="s">
        <v>287</v>
      </c>
      <c r="N382" s="118" t="s">
        <v>281</v>
      </c>
      <c r="O382" s="204" t="s">
        <v>3238</v>
      </c>
      <c r="P382" s="204"/>
      <c r="Q382" s="118" t="s">
        <v>71</v>
      </c>
      <c r="R382" s="119">
        <v>1.49</v>
      </c>
      <c r="S382" s="119"/>
      <c r="T382" s="99"/>
      <c r="U382" s="52">
        <f t="shared" si="73"/>
        <v>7047700</v>
      </c>
      <c r="V382" s="52">
        <f t="shared" si="74"/>
        <v>0</v>
      </c>
      <c r="W382" s="52">
        <f t="shared" si="71"/>
        <v>0</v>
      </c>
      <c r="X382" s="52">
        <f t="shared" si="66"/>
        <v>7047700</v>
      </c>
      <c r="Y382" s="52">
        <f>+VLOOKUP(E382,[2]Sheet1!$B$11:$J$400,9,0)</f>
        <v>5865600</v>
      </c>
      <c r="Z382" s="52"/>
      <c r="AA382" s="53" t="s">
        <v>1768</v>
      </c>
      <c r="AB382" s="99" t="s">
        <v>612</v>
      </c>
      <c r="AC382" s="45" t="str">
        <f>+VLOOKUP(E382,[3]Sheet1!$B$11:$I$388,8,0)</f>
        <v>54 - 039</v>
      </c>
      <c r="AD382" s="99" t="s">
        <v>1787</v>
      </c>
      <c r="AE382" s="99" t="s">
        <v>2994</v>
      </c>
      <c r="AF382" s="100" t="s">
        <v>613</v>
      </c>
      <c r="AG382" s="99">
        <f>+VALUE(AF382:AF759)</f>
        <v>221366738</v>
      </c>
      <c r="AH382" s="205" t="s">
        <v>614</v>
      </c>
      <c r="AI382" s="99" t="s">
        <v>615</v>
      </c>
      <c r="AJ382" s="99" t="s">
        <v>616</v>
      </c>
      <c r="AK382" s="101" t="s">
        <v>687</v>
      </c>
      <c r="AL382" s="99"/>
      <c r="AM382" s="99"/>
      <c r="AN382" s="99"/>
      <c r="AO382" s="99" t="s">
        <v>576</v>
      </c>
      <c r="AP382" s="99"/>
      <c r="AQ382" s="99"/>
      <c r="AR382" s="99"/>
      <c r="AS382" s="99"/>
      <c r="AT382" s="99"/>
      <c r="AU382" s="99"/>
      <c r="AV382" s="99"/>
      <c r="AW382" s="55" t="s">
        <v>2400</v>
      </c>
      <c r="AX382" s="55" t="s">
        <v>1519</v>
      </c>
    </row>
    <row r="383" spans="1:50" x14ac:dyDescent="0.3">
      <c r="A383" s="43">
        <v>382</v>
      </c>
      <c r="B383" s="43">
        <v>117</v>
      </c>
      <c r="C383" s="118" t="s">
        <v>2543</v>
      </c>
      <c r="D383" s="101">
        <v>10</v>
      </c>
      <c r="E383" s="99" t="s">
        <v>1903</v>
      </c>
      <c r="F383" s="100" t="s">
        <v>1904</v>
      </c>
      <c r="G383" s="205">
        <v>34899</v>
      </c>
      <c r="H383" s="47">
        <f t="shared" si="76"/>
        <v>55719</v>
      </c>
      <c r="I383" s="48">
        <f t="shared" si="77"/>
        <v>55732</v>
      </c>
      <c r="J383" s="48">
        <v>55732</v>
      </c>
      <c r="K383" s="97">
        <v>43556</v>
      </c>
      <c r="L383" s="206" t="s">
        <v>729</v>
      </c>
      <c r="M383" s="207" t="s">
        <v>287</v>
      </c>
      <c r="N383" s="118" t="s">
        <v>281</v>
      </c>
      <c r="O383" s="97">
        <v>43570</v>
      </c>
      <c r="P383" s="117"/>
      <c r="Q383" s="118" t="s">
        <v>72</v>
      </c>
      <c r="R383" s="119">
        <v>1.41</v>
      </c>
      <c r="S383" s="119"/>
      <c r="T383" s="99"/>
      <c r="U383" s="52">
        <f t="shared" si="73"/>
        <v>6669300</v>
      </c>
      <c r="V383" s="52">
        <f t="shared" si="74"/>
        <v>0</v>
      </c>
      <c r="W383" s="52">
        <f t="shared" si="71"/>
        <v>0</v>
      </c>
      <c r="X383" s="52">
        <f t="shared" si="66"/>
        <v>6669300</v>
      </c>
      <c r="Y383" s="52">
        <f>+VLOOKUP(E383,[2]Sheet1!$B$11:$J$400,9,0)</f>
        <v>5865600</v>
      </c>
      <c r="Z383" s="52"/>
      <c r="AA383" s="53" t="s">
        <v>1957</v>
      </c>
      <c r="AB383" s="99" t="s">
        <v>666</v>
      </c>
      <c r="AC383" s="45" t="str">
        <f>+VLOOKUP(E383,[3]Sheet1!$B$11:$I$388,8,0)</f>
        <v>54 - 017</v>
      </c>
      <c r="AD383" s="99" t="s">
        <v>1787</v>
      </c>
      <c r="AE383" s="99" t="s">
        <v>2981</v>
      </c>
      <c r="AF383" s="100" t="s">
        <v>1907</v>
      </c>
      <c r="AG383" s="99">
        <f>+VALUE(AF318:AF699)</f>
        <v>221401098</v>
      </c>
      <c r="AH383" s="205" t="s">
        <v>1908</v>
      </c>
      <c r="AI383" s="99" t="s">
        <v>615</v>
      </c>
      <c r="AJ383" s="99" t="s">
        <v>2101</v>
      </c>
      <c r="AK383" s="99" t="s">
        <v>1909</v>
      </c>
      <c r="AL383" s="99"/>
      <c r="AM383" s="99"/>
      <c r="AN383" s="99" t="s">
        <v>1910</v>
      </c>
      <c r="AO383" s="99"/>
      <c r="AP383" s="99" t="s">
        <v>524</v>
      </c>
      <c r="AQ383" s="97">
        <v>44531</v>
      </c>
      <c r="AR383" s="99"/>
      <c r="AS383" s="99"/>
      <c r="AT383" s="97">
        <v>44562</v>
      </c>
      <c r="AU383" s="99"/>
      <c r="AV383" s="97">
        <v>45292</v>
      </c>
      <c r="AX383" s="55" t="s">
        <v>1519</v>
      </c>
    </row>
    <row r="384" spans="1:50" x14ac:dyDescent="0.3">
      <c r="A384" s="43">
        <v>383</v>
      </c>
      <c r="B384" s="43">
        <v>118</v>
      </c>
      <c r="C384" s="118" t="s">
        <v>2543</v>
      </c>
      <c r="D384" s="101">
        <v>11</v>
      </c>
      <c r="E384" s="99" t="s">
        <v>686</v>
      </c>
      <c r="F384" s="100" t="s">
        <v>482</v>
      </c>
      <c r="G384" s="97">
        <v>28262</v>
      </c>
      <c r="H384" s="47">
        <f t="shared" si="76"/>
        <v>49081</v>
      </c>
      <c r="I384" s="48">
        <f t="shared" si="77"/>
        <v>49096</v>
      </c>
      <c r="J384" s="48">
        <v>49096</v>
      </c>
      <c r="K384" s="97">
        <v>36220</v>
      </c>
      <c r="L384" s="206" t="s">
        <v>729</v>
      </c>
      <c r="M384" s="207" t="s">
        <v>287</v>
      </c>
      <c r="N384" s="118" t="s">
        <v>281</v>
      </c>
      <c r="O384" s="97">
        <v>41456</v>
      </c>
      <c r="P384" s="117"/>
      <c r="Q384" s="118" t="s">
        <v>74</v>
      </c>
      <c r="R384" s="119">
        <v>1.68</v>
      </c>
      <c r="S384" s="119"/>
      <c r="T384" s="99"/>
      <c r="U384" s="52">
        <f t="shared" si="73"/>
        <v>7946400</v>
      </c>
      <c r="V384" s="52">
        <f t="shared" si="74"/>
        <v>0</v>
      </c>
      <c r="W384" s="52">
        <f t="shared" si="71"/>
        <v>0</v>
      </c>
      <c r="X384" s="52">
        <f t="shared" ref="X384:X398" si="78">+U384+V384+W384</f>
        <v>7946400</v>
      </c>
      <c r="Y384" s="52">
        <f>+VLOOKUP(E384,[2]Sheet1!$B$11:$J$400,9,0)</f>
        <v>6988800</v>
      </c>
      <c r="Z384" s="52"/>
      <c r="AA384" s="53" t="s">
        <v>1764</v>
      </c>
      <c r="AB384" s="99" t="s">
        <v>1282</v>
      </c>
      <c r="AC384" s="45" t="str">
        <f>+VLOOKUP(E384,[3]Sheet1!$B$11:$I$388,8,0)</f>
        <v>54 - 016</v>
      </c>
      <c r="AD384" s="99" t="s">
        <v>1787</v>
      </c>
      <c r="AE384" s="99" t="s">
        <v>2975</v>
      </c>
      <c r="AF384" s="100" t="s">
        <v>1466</v>
      </c>
      <c r="AG384" s="99">
        <f>+VALUE(AF365:AF738)</f>
        <v>220984500</v>
      </c>
      <c r="AH384" s="99" t="s">
        <v>1446</v>
      </c>
      <c r="AI384" s="99" t="s">
        <v>1283</v>
      </c>
      <c r="AJ384" s="99" t="s">
        <v>1467</v>
      </c>
      <c r="AK384" s="101" t="s">
        <v>1468</v>
      </c>
      <c r="AL384" s="99"/>
      <c r="AM384" s="99"/>
      <c r="AN384" s="99"/>
      <c r="AO384" s="99" t="s">
        <v>504</v>
      </c>
      <c r="AP384" s="99" t="s">
        <v>510</v>
      </c>
      <c r="AQ384" s="99"/>
      <c r="AR384" s="99"/>
      <c r="AS384" s="99"/>
      <c r="AT384" s="99"/>
      <c r="AU384" s="99"/>
      <c r="AV384" s="99"/>
      <c r="AW384" s="55" t="s">
        <v>2386</v>
      </c>
      <c r="AX384" s="55" t="s">
        <v>1519</v>
      </c>
    </row>
    <row r="385" spans="1:50" x14ac:dyDescent="0.3">
      <c r="A385" s="43">
        <v>384</v>
      </c>
      <c r="B385" s="43">
        <v>119</v>
      </c>
      <c r="C385" s="118" t="s">
        <v>2543</v>
      </c>
      <c r="D385" s="101">
        <v>12</v>
      </c>
      <c r="E385" s="99" t="s">
        <v>294</v>
      </c>
      <c r="F385" s="100" t="s">
        <v>445</v>
      </c>
      <c r="G385" s="97">
        <v>29325</v>
      </c>
      <c r="H385" s="47">
        <f t="shared" si="76"/>
        <v>50144</v>
      </c>
      <c r="I385" s="48">
        <f t="shared" si="77"/>
        <v>50161</v>
      </c>
      <c r="J385" s="48">
        <v>50952</v>
      </c>
      <c r="K385" s="97">
        <v>37561</v>
      </c>
      <c r="L385" s="206" t="s">
        <v>729</v>
      </c>
      <c r="M385" s="207" t="s">
        <v>287</v>
      </c>
      <c r="N385" s="118" t="s">
        <v>281</v>
      </c>
      <c r="O385" s="97">
        <v>41091</v>
      </c>
      <c r="P385" s="117"/>
      <c r="Q385" s="118" t="s">
        <v>76</v>
      </c>
      <c r="R385" s="119">
        <v>1.58</v>
      </c>
      <c r="S385" s="119"/>
      <c r="T385" s="99"/>
      <c r="U385" s="52">
        <f t="shared" si="73"/>
        <v>7473400</v>
      </c>
      <c r="V385" s="52">
        <f t="shared" si="74"/>
        <v>0</v>
      </c>
      <c r="W385" s="52">
        <f t="shared" si="71"/>
        <v>0</v>
      </c>
      <c r="X385" s="52">
        <f t="shared" si="78"/>
        <v>7473400</v>
      </c>
      <c r="Y385" s="52">
        <f>+VLOOKUP(E385,[2]Sheet1!$B$11:$J$400,9,0)</f>
        <v>6572800</v>
      </c>
      <c r="Z385" s="52"/>
      <c r="AA385" s="53" t="s">
        <v>1720</v>
      </c>
      <c r="AB385" s="99" t="s">
        <v>1282</v>
      </c>
      <c r="AC385" s="45" t="str">
        <f>+VLOOKUP(E385,[3]Sheet1!$B$11:$I$388,8,0)</f>
        <v>54 - 162</v>
      </c>
      <c r="AD385" s="99" t="s">
        <v>1797</v>
      </c>
      <c r="AE385" s="99" t="s">
        <v>2916</v>
      </c>
      <c r="AF385" s="100">
        <v>221040782</v>
      </c>
      <c r="AG385" s="99">
        <f>+VALUE(AF288:AF666)</f>
        <v>221040782</v>
      </c>
      <c r="AH385" s="99" t="s">
        <v>1348</v>
      </c>
      <c r="AI385" s="99" t="s">
        <v>615</v>
      </c>
      <c r="AJ385" s="99" t="s">
        <v>1349</v>
      </c>
      <c r="AK385" s="101" t="s">
        <v>1284</v>
      </c>
      <c r="AL385" s="99"/>
      <c r="AM385" s="99"/>
      <c r="AN385" s="99"/>
      <c r="AO385" s="99" t="s">
        <v>518</v>
      </c>
      <c r="AP385" s="99"/>
      <c r="AQ385" s="99"/>
      <c r="AR385" s="99"/>
      <c r="AS385" s="99"/>
      <c r="AT385" s="99"/>
      <c r="AU385" s="99"/>
      <c r="AV385" s="99"/>
      <c r="AW385" s="55" t="s">
        <v>2329</v>
      </c>
      <c r="AX385" s="55" t="s">
        <v>1519</v>
      </c>
    </row>
    <row r="386" spans="1:50" x14ac:dyDescent="0.3">
      <c r="A386" s="43">
        <v>385</v>
      </c>
      <c r="B386" s="43">
        <v>120</v>
      </c>
      <c r="C386" s="118" t="s">
        <v>2543</v>
      </c>
      <c r="D386" s="101">
        <v>13</v>
      </c>
      <c r="E386" s="264" t="s">
        <v>3294</v>
      </c>
      <c r="F386" s="100" t="s">
        <v>3292</v>
      </c>
      <c r="G386" s="205">
        <v>33420</v>
      </c>
      <c r="H386" s="47">
        <f t="shared" si="76"/>
        <v>54240</v>
      </c>
      <c r="I386" s="48">
        <f t="shared" si="77"/>
        <v>54271</v>
      </c>
      <c r="J386" s="48">
        <v>58411</v>
      </c>
      <c r="K386" s="97">
        <v>45627</v>
      </c>
      <c r="L386" s="206" t="s">
        <v>729</v>
      </c>
      <c r="M386" s="207" t="s">
        <v>287</v>
      </c>
      <c r="N386" s="118" t="s">
        <v>281</v>
      </c>
      <c r="O386" s="97">
        <v>45627</v>
      </c>
      <c r="P386" s="204"/>
      <c r="Q386" s="118" t="s">
        <v>72</v>
      </c>
      <c r="R386" s="119">
        <v>1.41</v>
      </c>
      <c r="S386" s="119"/>
      <c r="T386" s="99"/>
      <c r="U386" s="52">
        <f t="shared" si="73"/>
        <v>6669300</v>
      </c>
      <c r="V386" s="52">
        <f>+S386*4410000</f>
        <v>0</v>
      </c>
      <c r="W386" s="52">
        <f>+T386*2340000</f>
        <v>0</v>
      </c>
      <c r="X386" s="52">
        <f t="shared" si="78"/>
        <v>6669300</v>
      </c>
      <c r="Y386" s="52"/>
      <c r="Z386" s="52"/>
      <c r="AA386" s="73">
        <v>5420388471</v>
      </c>
      <c r="AB386" s="99" t="s">
        <v>3304</v>
      </c>
      <c r="AC386" s="45"/>
      <c r="AD386" s="99" t="s">
        <v>1787</v>
      </c>
      <c r="AE386" s="223" t="s">
        <v>3293</v>
      </c>
      <c r="AF386" s="100"/>
      <c r="AG386" s="99"/>
      <c r="AH386" s="205"/>
      <c r="AI386" s="99" t="s">
        <v>2427</v>
      </c>
      <c r="AJ386" s="99" t="s">
        <v>3295</v>
      </c>
      <c r="AK386" s="101"/>
      <c r="AL386" s="99"/>
      <c r="AM386" s="99" t="s">
        <v>3296</v>
      </c>
      <c r="AN386" s="99"/>
      <c r="AO386" s="99"/>
      <c r="AP386" s="99"/>
      <c r="AQ386" s="97"/>
      <c r="AR386" s="99"/>
      <c r="AS386" s="97">
        <v>45627</v>
      </c>
      <c r="AT386" s="99"/>
      <c r="AU386" s="99"/>
      <c r="AV386" s="99"/>
      <c r="AW386" s="193" t="s">
        <v>3297</v>
      </c>
      <c r="AX386" s="55" t="s">
        <v>1519</v>
      </c>
    </row>
    <row r="387" spans="1:50" x14ac:dyDescent="0.3">
      <c r="A387" s="43">
        <v>386</v>
      </c>
      <c r="B387" s="43">
        <v>121</v>
      </c>
      <c r="C387" s="118" t="s">
        <v>2543</v>
      </c>
      <c r="D387" s="101">
        <v>14</v>
      </c>
      <c r="E387" s="264" t="s">
        <v>3440</v>
      </c>
      <c r="F387" s="100" t="s">
        <v>3441</v>
      </c>
      <c r="G387" s="205">
        <v>36368</v>
      </c>
      <c r="H387" s="47">
        <f t="shared" si="76"/>
        <v>57188</v>
      </c>
      <c r="I387" s="48">
        <f t="shared" si="77"/>
        <v>57193</v>
      </c>
      <c r="J387" s="48">
        <v>57193</v>
      </c>
      <c r="K387" s="97">
        <v>45809</v>
      </c>
      <c r="L387" s="206" t="s">
        <v>729</v>
      </c>
      <c r="M387" s="207" t="s">
        <v>287</v>
      </c>
      <c r="N387" s="118" t="s">
        <v>281</v>
      </c>
      <c r="O387" s="97">
        <v>45809</v>
      </c>
      <c r="P387" s="204"/>
      <c r="Q387" s="118" t="s">
        <v>72</v>
      </c>
      <c r="R387" s="119">
        <v>1.41</v>
      </c>
      <c r="S387" s="119"/>
      <c r="T387" s="99"/>
      <c r="U387" s="52">
        <f t="shared" si="73"/>
        <v>6669300</v>
      </c>
      <c r="V387" s="52">
        <f>+S387*4410000</f>
        <v>0</v>
      </c>
      <c r="W387" s="52">
        <f>+T387*2340000</f>
        <v>0</v>
      </c>
      <c r="X387" s="52">
        <f t="shared" si="78"/>
        <v>6669300</v>
      </c>
      <c r="Y387" s="52"/>
      <c r="Z387" s="52"/>
      <c r="AA387" s="73">
        <v>5421167767</v>
      </c>
      <c r="AB387" s="99" t="s">
        <v>1454</v>
      </c>
      <c r="AC387" s="45"/>
      <c r="AD387" s="99" t="s">
        <v>1787</v>
      </c>
      <c r="AE387" s="223" t="s">
        <v>3442</v>
      </c>
      <c r="AF387" s="100"/>
      <c r="AG387" s="99"/>
      <c r="AH387" s="205"/>
      <c r="AI387" s="99" t="s">
        <v>2427</v>
      </c>
      <c r="AJ387" s="99" t="s">
        <v>3443</v>
      </c>
      <c r="AK387" s="101"/>
      <c r="AL387" s="99"/>
      <c r="AM387" s="99" t="s">
        <v>3444</v>
      </c>
      <c r="AN387" s="99"/>
      <c r="AO387" s="99"/>
      <c r="AP387" s="99"/>
      <c r="AQ387" s="97"/>
      <c r="AR387" s="99"/>
      <c r="AS387" s="97">
        <v>45809</v>
      </c>
      <c r="AT387" s="99"/>
      <c r="AU387" s="99"/>
      <c r="AV387" s="99"/>
      <c r="AW387" s="193"/>
      <c r="AX387" s="55" t="s">
        <v>1519</v>
      </c>
    </row>
    <row r="388" spans="1:50" x14ac:dyDescent="0.3">
      <c r="A388" s="43">
        <v>387</v>
      </c>
      <c r="B388" s="43">
        <v>122</v>
      </c>
      <c r="C388" s="118" t="s">
        <v>2543</v>
      </c>
      <c r="D388" s="99">
        <v>1</v>
      </c>
      <c r="E388" s="99" t="s">
        <v>692</v>
      </c>
      <c r="F388" s="100" t="s">
        <v>494</v>
      </c>
      <c r="G388" s="97">
        <v>25554</v>
      </c>
      <c r="H388" s="47">
        <v>46190</v>
      </c>
      <c r="I388" s="48">
        <f t="shared" si="77"/>
        <v>46204</v>
      </c>
      <c r="J388" s="48">
        <v>46204</v>
      </c>
      <c r="K388" s="97">
        <v>32295</v>
      </c>
      <c r="L388" s="206" t="s">
        <v>2102</v>
      </c>
      <c r="M388" s="207" t="s">
        <v>287</v>
      </c>
      <c r="N388" s="118" t="s">
        <v>284</v>
      </c>
      <c r="O388" s="97">
        <v>40360</v>
      </c>
      <c r="P388" s="117"/>
      <c r="Q388" s="118" t="s">
        <v>74</v>
      </c>
      <c r="R388" s="119">
        <v>1.68</v>
      </c>
      <c r="S388" s="119">
        <v>0.06</v>
      </c>
      <c r="T388" s="99"/>
      <c r="U388" s="52">
        <f t="shared" si="73"/>
        <v>7946400</v>
      </c>
      <c r="V388" s="52">
        <f t="shared" ref="V388:V398" si="79">+S388*4410000</f>
        <v>264600</v>
      </c>
      <c r="W388" s="52">
        <f t="shared" ref="W388:W398" si="80">+T388*2340000</f>
        <v>0</v>
      </c>
      <c r="X388" s="52">
        <f t="shared" si="78"/>
        <v>8211000</v>
      </c>
      <c r="Y388" s="52">
        <f>+VLOOKUP(E388,[2]Sheet1!$B$11:$J$400,9,0)</f>
        <v>7238400</v>
      </c>
      <c r="Z388" s="52"/>
      <c r="AA388" s="53" t="s">
        <v>1776</v>
      </c>
      <c r="AB388" s="212" t="s">
        <v>1495</v>
      </c>
      <c r="AC388" s="45" t="str">
        <f>+VLOOKUP(E388,[3]Sheet1!$B$11:$I$388,8,0)</f>
        <v>54 - 030</v>
      </c>
      <c r="AD388" s="99" t="s">
        <v>1787</v>
      </c>
      <c r="AE388" s="99" t="s">
        <v>2995</v>
      </c>
      <c r="AF388" s="100">
        <v>220963891</v>
      </c>
      <c r="AG388" s="99">
        <f>+VALUE(AF388:AF757)</f>
        <v>220963891</v>
      </c>
      <c r="AH388" s="99" t="s">
        <v>1496</v>
      </c>
      <c r="AI388" s="99" t="s">
        <v>615</v>
      </c>
      <c r="AJ388" s="99" t="s">
        <v>1497</v>
      </c>
      <c r="AK388" s="101" t="s">
        <v>1465</v>
      </c>
      <c r="AL388" s="99"/>
      <c r="AM388" s="99" t="s">
        <v>81</v>
      </c>
      <c r="AN388" s="99"/>
      <c r="AO388" s="99"/>
      <c r="AP388" s="99"/>
      <c r="AQ388" s="99"/>
      <c r="AR388" s="99"/>
      <c r="AS388" s="99"/>
      <c r="AT388" s="99"/>
      <c r="AU388" s="99"/>
      <c r="AV388" s="99"/>
      <c r="AW388" s="55" t="s">
        <v>2401</v>
      </c>
      <c r="AX388" s="55" t="s">
        <v>1519</v>
      </c>
    </row>
    <row r="389" spans="1:50" x14ac:dyDescent="0.3">
      <c r="A389" s="43">
        <v>388</v>
      </c>
      <c r="B389" s="43">
        <v>123</v>
      </c>
      <c r="C389" s="118" t="s">
        <v>2543</v>
      </c>
      <c r="D389" s="99">
        <v>2</v>
      </c>
      <c r="E389" s="99" t="s">
        <v>694</v>
      </c>
      <c r="F389" s="100" t="s">
        <v>496</v>
      </c>
      <c r="G389" s="97">
        <v>26906</v>
      </c>
      <c r="H389" s="47">
        <f t="shared" ref="H389:H398" si="81">+DATE(YEAR(G389)+57,MONTH(G389),DAY(G389))</f>
        <v>47725</v>
      </c>
      <c r="I389" s="48">
        <f t="shared" si="77"/>
        <v>47727</v>
      </c>
      <c r="J389" s="48">
        <v>47727</v>
      </c>
      <c r="K389" s="97">
        <v>34851</v>
      </c>
      <c r="L389" s="206" t="s">
        <v>2102</v>
      </c>
      <c r="M389" s="207" t="s">
        <v>287</v>
      </c>
      <c r="N389" s="118" t="s">
        <v>281</v>
      </c>
      <c r="O389" s="97">
        <v>41091</v>
      </c>
      <c r="P389" s="117"/>
      <c r="Q389" s="118" t="s">
        <v>74</v>
      </c>
      <c r="R389" s="119">
        <v>1.68</v>
      </c>
      <c r="S389" s="119"/>
      <c r="T389" s="99"/>
      <c r="U389" s="52">
        <f t="shared" si="73"/>
        <v>7946400</v>
      </c>
      <c r="V389" s="52">
        <f t="shared" si="79"/>
        <v>0</v>
      </c>
      <c r="W389" s="52">
        <f t="shared" si="80"/>
        <v>0</v>
      </c>
      <c r="X389" s="52">
        <f t="shared" si="78"/>
        <v>7946400</v>
      </c>
      <c r="Y389" s="52">
        <f>+VLOOKUP(E389,[2]Sheet1!$B$11:$J$400,9,0)</f>
        <v>6988800</v>
      </c>
      <c r="Z389" s="52"/>
      <c r="AA389" s="53" t="s">
        <v>1778</v>
      </c>
      <c r="AB389" s="99" t="s">
        <v>1498</v>
      </c>
      <c r="AC389" s="45" t="str">
        <f>+VLOOKUP(E389,[3]Sheet1!$B$11:$I$388,8,0)</f>
        <v>54 - 031</v>
      </c>
      <c r="AD389" s="99" t="s">
        <v>1787</v>
      </c>
      <c r="AE389" s="99" t="s">
        <v>2996</v>
      </c>
      <c r="AF389" s="100">
        <v>221386229</v>
      </c>
      <c r="AG389" s="99">
        <f>+VALUE(AF389:AF758)</f>
        <v>221386229</v>
      </c>
      <c r="AH389" s="99" t="s">
        <v>1501</v>
      </c>
      <c r="AI389" s="99" t="s">
        <v>615</v>
      </c>
      <c r="AJ389" s="99" t="s">
        <v>1502</v>
      </c>
      <c r="AK389" s="101" t="s">
        <v>1503</v>
      </c>
      <c r="AL389" s="99"/>
      <c r="AM389" s="99"/>
      <c r="AN389" s="99"/>
      <c r="AO389" s="99" t="s">
        <v>504</v>
      </c>
      <c r="AP389" s="99"/>
      <c r="AQ389" s="99"/>
      <c r="AR389" s="99"/>
      <c r="AS389" s="99"/>
      <c r="AT389" s="99"/>
      <c r="AU389" s="99"/>
      <c r="AV389" s="99"/>
      <c r="AW389" s="55" t="s">
        <v>2402</v>
      </c>
      <c r="AX389" s="55" t="s">
        <v>1519</v>
      </c>
    </row>
    <row r="390" spans="1:50" x14ac:dyDescent="0.3">
      <c r="A390" s="43">
        <v>389</v>
      </c>
      <c r="B390" s="43">
        <v>124</v>
      </c>
      <c r="C390" s="118" t="s">
        <v>2543</v>
      </c>
      <c r="D390" s="99">
        <v>3</v>
      </c>
      <c r="E390" s="99" t="s">
        <v>695</v>
      </c>
      <c r="F390" s="100" t="s">
        <v>497</v>
      </c>
      <c r="G390" s="97">
        <v>26957</v>
      </c>
      <c r="H390" s="47">
        <f t="shared" si="81"/>
        <v>47776</v>
      </c>
      <c r="I390" s="48">
        <f t="shared" si="77"/>
        <v>47788</v>
      </c>
      <c r="J390" s="48">
        <v>47788</v>
      </c>
      <c r="K390" s="97">
        <v>34851</v>
      </c>
      <c r="L390" s="206" t="s">
        <v>2102</v>
      </c>
      <c r="M390" s="207" t="s">
        <v>287</v>
      </c>
      <c r="N390" s="118" t="s">
        <v>281</v>
      </c>
      <c r="O390" s="97">
        <v>41456</v>
      </c>
      <c r="P390" s="117"/>
      <c r="Q390" s="118" t="s">
        <v>74</v>
      </c>
      <c r="R390" s="119">
        <v>1.68</v>
      </c>
      <c r="S390" s="119"/>
      <c r="T390" s="99"/>
      <c r="U390" s="52">
        <f t="shared" si="73"/>
        <v>7946400</v>
      </c>
      <c r="V390" s="52">
        <f t="shared" si="79"/>
        <v>0</v>
      </c>
      <c r="W390" s="52">
        <f t="shared" si="80"/>
        <v>0</v>
      </c>
      <c r="X390" s="52">
        <f t="shared" si="78"/>
        <v>7946400</v>
      </c>
      <c r="Y390" s="52">
        <f>+VLOOKUP(E390,[2]Sheet1!$B$11:$J$400,9,0)</f>
        <v>6988800</v>
      </c>
      <c r="Z390" s="52"/>
      <c r="AA390" s="53" t="s">
        <v>1779</v>
      </c>
      <c r="AB390" s="99" t="s">
        <v>1282</v>
      </c>
      <c r="AC390" s="45" t="str">
        <f>+VLOOKUP(E390,[3]Sheet1!$B$11:$I$388,8,0)</f>
        <v>54 - 016</v>
      </c>
      <c r="AD390" s="99" t="s">
        <v>1787</v>
      </c>
      <c r="AE390" s="99" t="s">
        <v>2997</v>
      </c>
      <c r="AF390" s="100">
        <v>225336568</v>
      </c>
      <c r="AG390" s="99">
        <f>+VALUE(AF390:AF759)</f>
        <v>225336568</v>
      </c>
      <c r="AH390" s="99" t="s">
        <v>1504</v>
      </c>
      <c r="AI390" s="99" t="s">
        <v>620</v>
      </c>
      <c r="AJ390" s="99" t="s">
        <v>1505</v>
      </c>
      <c r="AK390" s="101" t="s">
        <v>1487</v>
      </c>
      <c r="AL390" s="99"/>
      <c r="AM390" s="99"/>
      <c r="AN390" s="99"/>
      <c r="AO390" s="99" t="s">
        <v>504</v>
      </c>
      <c r="AP390" s="99"/>
      <c r="AQ390" s="99"/>
      <c r="AR390" s="99"/>
      <c r="AS390" s="99"/>
      <c r="AT390" s="99"/>
      <c r="AU390" s="99"/>
      <c r="AV390" s="99"/>
      <c r="AW390" s="55" t="s">
        <v>2403</v>
      </c>
      <c r="AX390" s="55" t="s">
        <v>1519</v>
      </c>
    </row>
    <row r="391" spans="1:50" x14ac:dyDescent="0.3">
      <c r="A391" s="43">
        <v>390</v>
      </c>
      <c r="B391" s="43">
        <v>125</v>
      </c>
      <c r="C391" s="118" t="s">
        <v>2543</v>
      </c>
      <c r="D391" s="99">
        <v>4</v>
      </c>
      <c r="E391" s="99" t="s">
        <v>275</v>
      </c>
      <c r="F391" s="100" t="s">
        <v>498</v>
      </c>
      <c r="G391" s="97">
        <v>31619</v>
      </c>
      <c r="H391" s="47">
        <f t="shared" si="81"/>
        <v>52438</v>
      </c>
      <c r="I391" s="48">
        <f t="shared" si="77"/>
        <v>52444</v>
      </c>
      <c r="J391" s="48">
        <v>52444</v>
      </c>
      <c r="K391" s="97">
        <v>39479</v>
      </c>
      <c r="L391" s="206" t="s">
        <v>2102</v>
      </c>
      <c r="M391" s="207" t="s">
        <v>287</v>
      </c>
      <c r="N391" s="118" t="s">
        <v>281</v>
      </c>
      <c r="O391" s="97">
        <v>42370</v>
      </c>
      <c r="P391" s="117"/>
      <c r="Q391" s="200" t="s">
        <v>71</v>
      </c>
      <c r="R391" s="119">
        <v>1.49</v>
      </c>
      <c r="S391" s="119"/>
      <c r="T391" s="99"/>
      <c r="U391" s="52">
        <f t="shared" si="73"/>
        <v>7047700</v>
      </c>
      <c r="V391" s="52">
        <f t="shared" si="79"/>
        <v>0</v>
      </c>
      <c r="W391" s="52">
        <f t="shared" si="80"/>
        <v>0</v>
      </c>
      <c r="X391" s="52">
        <f t="shared" si="78"/>
        <v>7047700</v>
      </c>
      <c r="Y391" s="52">
        <f>+VLOOKUP(E391,[2]Sheet1!$B$11:$J$400,9,0)</f>
        <v>6198400</v>
      </c>
      <c r="Z391" s="52"/>
      <c r="AA391" s="53" t="s">
        <v>1780</v>
      </c>
      <c r="AB391" s="99" t="s">
        <v>1506</v>
      </c>
      <c r="AC391" s="45" t="str">
        <f>+VLOOKUP(E391,[3]Sheet1!$B$11:$I$388,8,0)</f>
        <v>56 - 073</v>
      </c>
      <c r="AD391" s="99" t="s">
        <v>1787</v>
      </c>
      <c r="AE391" s="99" t="s">
        <v>2998</v>
      </c>
      <c r="AF391" s="100">
        <v>225304339</v>
      </c>
      <c r="AG391" s="99">
        <f>+VALUE(AF391:AF760)</f>
        <v>225304339</v>
      </c>
      <c r="AH391" s="99" t="s">
        <v>1507</v>
      </c>
      <c r="AI391" s="99" t="s">
        <v>620</v>
      </c>
      <c r="AJ391" s="99" t="s">
        <v>1508</v>
      </c>
      <c r="AK391" s="101" t="s">
        <v>1509</v>
      </c>
      <c r="AL391" s="99"/>
      <c r="AM391" s="99"/>
      <c r="AN391" s="99"/>
      <c r="AO391" s="99" t="s">
        <v>504</v>
      </c>
      <c r="AP391" s="99" t="s">
        <v>511</v>
      </c>
      <c r="AQ391" s="99"/>
      <c r="AR391" s="99"/>
      <c r="AS391" s="99"/>
      <c r="AT391" s="99"/>
      <c r="AU391" s="99"/>
      <c r="AV391" s="99"/>
      <c r="AW391" s="55" t="s">
        <v>2404</v>
      </c>
      <c r="AX391" s="55" t="s">
        <v>1519</v>
      </c>
    </row>
    <row r="392" spans="1:50" x14ac:dyDescent="0.3">
      <c r="A392" s="43">
        <v>391</v>
      </c>
      <c r="B392" s="43">
        <v>126</v>
      </c>
      <c r="C392" s="118" t="s">
        <v>2543</v>
      </c>
      <c r="D392" s="99">
        <v>5</v>
      </c>
      <c r="E392" s="99" t="s">
        <v>276</v>
      </c>
      <c r="F392" s="100" t="s">
        <v>499</v>
      </c>
      <c r="G392" s="97">
        <v>33649</v>
      </c>
      <c r="H392" s="47">
        <f t="shared" si="81"/>
        <v>54469</v>
      </c>
      <c r="I392" s="48">
        <f t="shared" si="77"/>
        <v>54483</v>
      </c>
      <c r="J392" s="48">
        <v>54483</v>
      </c>
      <c r="K392" s="97">
        <v>41671</v>
      </c>
      <c r="L392" s="206" t="s">
        <v>2102</v>
      </c>
      <c r="M392" s="207" t="s">
        <v>287</v>
      </c>
      <c r="N392" s="118" t="s">
        <v>285</v>
      </c>
      <c r="O392" s="97">
        <v>45839</v>
      </c>
      <c r="P392" s="117"/>
      <c r="Q392" s="118" t="s">
        <v>76</v>
      </c>
      <c r="R392" s="119">
        <v>1.58</v>
      </c>
      <c r="S392" s="119">
        <v>0.04</v>
      </c>
      <c r="T392" s="99"/>
      <c r="U392" s="52">
        <f t="shared" si="73"/>
        <v>7473400</v>
      </c>
      <c r="V392" s="52">
        <f t="shared" si="79"/>
        <v>176400</v>
      </c>
      <c r="W392" s="52">
        <f t="shared" si="80"/>
        <v>0</v>
      </c>
      <c r="X392" s="52">
        <f t="shared" si="78"/>
        <v>7649800</v>
      </c>
      <c r="Y392" s="52">
        <f>+VLOOKUP(E392,[2]Sheet1!$B$11:$J$400,9,0)</f>
        <v>6364800</v>
      </c>
      <c r="Z392" s="52"/>
      <c r="AA392" s="53" t="s">
        <v>1781</v>
      </c>
      <c r="AB392" s="99" t="s">
        <v>1454</v>
      </c>
      <c r="AC392" s="45" t="str">
        <f>+VLOOKUP(E392,[3]Sheet1!$B$11:$I$388,8,0)</f>
        <v>54 - 016</v>
      </c>
      <c r="AD392" s="99" t="s">
        <v>1787</v>
      </c>
      <c r="AE392" s="99" t="s">
        <v>2999</v>
      </c>
      <c r="AF392" s="100">
        <v>221327027</v>
      </c>
      <c r="AG392" s="99">
        <f>+VALUE(AF392:AF762)</f>
        <v>221327027</v>
      </c>
      <c r="AH392" s="99" t="s">
        <v>1510</v>
      </c>
      <c r="AI392" s="99" t="s">
        <v>1297</v>
      </c>
      <c r="AJ392" s="99" t="s">
        <v>1511</v>
      </c>
      <c r="AK392" s="101" t="s">
        <v>1512</v>
      </c>
      <c r="AL392" s="99"/>
      <c r="AM392" s="99"/>
      <c r="AN392" s="99"/>
      <c r="AO392" s="99"/>
      <c r="AP392" s="99"/>
      <c r="AQ392" s="99"/>
      <c r="AR392" s="99"/>
      <c r="AS392" s="99"/>
      <c r="AT392" s="99"/>
      <c r="AU392" s="99"/>
      <c r="AV392" s="99"/>
      <c r="AW392" s="55" t="s">
        <v>2405</v>
      </c>
      <c r="AX392" s="55" t="s">
        <v>1519</v>
      </c>
    </row>
    <row r="393" spans="1:50" x14ac:dyDescent="0.3">
      <c r="A393" s="43">
        <v>392</v>
      </c>
      <c r="B393" s="43">
        <v>127</v>
      </c>
      <c r="C393" s="118" t="s">
        <v>2543</v>
      </c>
      <c r="D393" s="99">
        <v>6</v>
      </c>
      <c r="E393" s="99" t="s">
        <v>591</v>
      </c>
      <c r="F393" s="100" t="s">
        <v>352</v>
      </c>
      <c r="G393" s="97">
        <v>34268</v>
      </c>
      <c r="H393" s="47">
        <f t="shared" si="81"/>
        <v>55087</v>
      </c>
      <c r="I393" s="48">
        <f t="shared" si="77"/>
        <v>55093</v>
      </c>
      <c r="J393" s="48">
        <v>55093</v>
      </c>
      <c r="K393" s="97">
        <v>43191</v>
      </c>
      <c r="L393" s="206" t="s">
        <v>2102</v>
      </c>
      <c r="M393" s="207" t="s">
        <v>287</v>
      </c>
      <c r="N393" s="118" t="s">
        <v>281</v>
      </c>
      <c r="O393" s="97">
        <v>43212</v>
      </c>
      <c r="P393" s="117"/>
      <c r="Q393" s="118" t="s">
        <v>72</v>
      </c>
      <c r="R393" s="119">
        <v>1.41</v>
      </c>
      <c r="S393" s="119"/>
      <c r="T393" s="99"/>
      <c r="U393" s="52">
        <f t="shared" si="73"/>
        <v>6669300</v>
      </c>
      <c r="V393" s="52">
        <f t="shared" si="79"/>
        <v>0</v>
      </c>
      <c r="W393" s="52">
        <f t="shared" si="80"/>
        <v>0</v>
      </c>
      <c r="X393" s="52">
        <f t="shared" si="78"/>
        <v>6669300</v>
      </c>
      <c r="Y393" s="52">
        <f>+VLOOKUP(E393,[2]Sheet1!$B$11:$J$400,9,0)</f>
        <v>5865600</v>
      </c>
      <c r="Z393" s="52"/>
      <c r="AA393" s="53" t="s">
        <v>1785</v>
      </c>
      <c r="AB393" s="99"/>
      <c r="AC393" s="45" t="str">
        <f>+VLOOKUP(E393,[3]Sheet1!$B$11:$I$388,8,0)</f>
        <v>54 - 031</v>
      </c>
      <c r="AD393" s="99" t="s">
        <v>1787</v>
      </c>
      <c r="AE393" s="99" t="s">
        <v>3000</v>
      </c>
      <c r="AF393" s="100" t="s">
        <v>649</v>
      </c>
      <c r="AG393" s="99">
        <f>+VALUE(AF393:AF763)</f>
        <v>221345253</v>
      </c>
      <c r="AH393" s="205" t="s">
        <v>650</v>
      </c>
      <c r="AI393" s="99" t="s">
        <v>615</v>
      </c>
      <c r="AJ393" s="99" t="s">
        <v>651</v>
      </c>
      <c r="AK393" s="101"/>
      <c r="AL393" s="99"/>
      <c r="AM393" s="99"/>
      <c r="AN393" s="99"/>
      <c r="AO393" s="99" t="s">
        <v>574</v>
      </c>
      <c r="AP393" s="99"/>
      <c r="AQ393" s="99"/>
      <c r="AR393" s="99"/>
      <c r="AS393" s="99"/>
      <c r="AT393" s="99"/>
      <c r="AU393" s="99"/>
      <c r="AV393" s="99"/>
      <c r="AW393" s="55" t="s">
        <v>2406</v>
      </c>
      <c r="AX393" s="55" t="s">
        <v>1519</v>
      </c>
    </row>
    <row r="394" spans="1:50" x14ac:dyDescent="0.3">
      <c r="A394" s="43">
        <v>393</v>
      </c>
      <c r="B394" s="43">
        <v>128</v>
      </c>
      <c r="C394" s="118" t="s">
        <v>2543</v>
      </c>
      <c r="D394" s="99">
        <v>7</v>
      </c>
      <c r="E394" s="99" t="s">
        <v>2586</v>
      </c>
      <c r="F394" s="100" t="s">
        <v>2587</v>
      </c>
      <c r="G394" s="205">
        <v>34717</v>
      </c>
      <c r="H394" s="47">
        <f t="shared" si="81"/>
        <v>55536</v>
      </c>
      <c r="I394" s="48">
        <f t="shared" si="77"/>
        <v>55550</v>
      </c>
      <c r="J394" s="48">
        <v>55550</v>
      </c>
      <c r="K394" s="97">
        <v>44896</v>
      </c>
      <c r="L394" s="206" t="s">
        <v>2102</v>
      </c>
      <c r="M394" s="207" t="s">
        <v>287</v>
      </c>
      <c r="N394" s="118" t="s">
        <v>281</v>
      </c>
      <c r="O394" s="97">
        <v>44927</v>
      </c>
      <c r="P394" s="117"/>
      <c r="Q394" s="118" t="s">
        <v>72</v>
      </c>
      <c r="R394" s="119">
        <v>1.41</v>
      </c>
      <c r="S394" s="119"/>
      <c r="T394" s="99"/>
      <c r="U394" s="52">
        <f t="shared" si="73"/>
        <v>6669300</v>
      </c>
      <c r="V394" s="52">
        <f t="shared" si="79"/>
        <v>0</v>
      </c>
      <c r="W394" s="52">
        <f t="shared" si="80"/>
        <v>0</v>
      </c>
      <c r="X394" s="52">
        <f t="shared" si="78"/>
        <v>6669300</v>
      </c>
      <c r="Y394" s="52">
        <f>+VLOOKUP(E394,[2]Sheet1!$B$11:$J$400,9,0)</f>
        <v>5865600</v>
      </c>
      <c r="Z394" s="52"/>
      <c r="AA394" s="53" t="s">
        <v>2714</v>
      </c>
      <c r="AB394" s="99"/>
      <c r="AC394" s="45" t="str">
        <f>+VLOOKUP(E394,[3]Sheet1!$B$11:$I$388,8,0)</f>
        <v>56 - 002</v>
      </c>
      <c r="AD394" s="99" t="s">
        <v>1787</v>
      </c>
      <c r="AE394" s="99" t="s">
        <v>2937</v>
      </c>
      <c r="AF394" s="223" t="s">
        <v>2588</v>
      </c>
      <c r="AG394" s="99">
        <f>+VALUE(AF306:AF702)</f>
        <v>225600934</v>
      </c>
      <c r="AH394" s="205" t="s">
        <v>1271</v>
      </c>
      <c r="AI394" s="99" t="s">
        <v>620</v>
      </c>
      <c r="AJ394" s="99" t="s">
        <v>2589</v>
      </c>
      <c r="AK394" s="99" t="s">
        <v>2590</v>
      </c>
      <c r="AL394" s="99"/>
      <c r="AM394" s="99"/>
      <c r="AN394" s="99"/>
      <c r="AO394" s="99"/>
      <c r="AP394" s="99" t="s">
        <v>524</v>
      </c>
      <c r="AQ394" s="97">
        <v>44896</v>
      </c>
      <c r="AR394" s="99"/>
      <c r="AS394" s="99"/>
      <c r="AT394" s="97">
        <v>44927</v>
      </c>
      <c r="AU394" s="99"/>
      <c r="AV394" s="99"/>
      <c r="AW394" s="77" t="s">
        <v>2591</v>
      </c>
      <c r="AX394" s="55" t="s">
        <v>1519</v>
      </c>
    </row>
    <row r="395" spans="1:50" x14ac:dyDescent="0.3">
      <c r="A395" s="43">
        <v>394</v>
      </c>
      <c r="B395" s="43">
        <v>129</v>
      </c>
      <c r="C395" s="118" t="s">
        <v>2543</v>
      </c>
      <c r="D395" s="99">
        <v>8</v>
      </c>
      <c r="E395" s="99" t="s">
        <v>241</v>
      </c>
      <c r="F395" s="100" t="s">
        <v>302</v>
      </c>
      <c r="G395" s="97">
        <v>31133</v>
      </c>
      <c r="H395" s="47">
        <f t="shared" si="81"/>
        <v>51952</v>
      </c>
      <c r="I395" s="48">
        <f t="shared" si="77"/>
        <v>51957</v>
      </c>
      <c r="J395" s="48">
        <v>51957</v>
      </c>
      <c r="K395" s="97">
        <v>42309</v>
      </c>
      <c r="L395" s="206" t="s">
        <v>2102</v>
      </c>
      <c r="M395" s="207" t="s">
        <v>287</v>
      </c>
      <c r="N395" s="118" t="s">
        <v>281</v>
      </c>
      <c r="O395" s="97">
        <v>42370</v>
      </c>
      <c r="P395" s="117"/>
      <c r="Q395" s="200" t="s">
        <v>71</v>
      </c>
      <c r="R395" s="119">
        <v>1.49</v>
      </c>
      <c r="S395" s="119"/>
      <c r="T395" s="99"/>
      <c r="U395" s="52">
        <f t="shared" si="73"/>
        <v>7047700</v>
      </c>
      <c r="V395" s="52">
        <f t="shared" si="79"/>
        <v>0</v>
      </c>
      <c r="W395" s="52">
        <f t="shared" si="80"/>
        <v>0</v>
      </c>
      <c r="X395" s="52">
        <f t="shared" si="78"/>
        <v>7047700</v>
      </c>
      <c r="Y395" s="52">
        <f>+VLOOKUP(E395,[2]Sheet1!$B$11:$J$400,9,0)</f>
        <v>6198400</v>
      </c>
      <c r="Z395" s="52"/>
      <c r="AA395" s="53" t="s">
        <v>1732</v>
      </c>
      <c r="AB395" s="99" t="s">
        <v>618</v>
      </c>
      <c r="AC395" s="45" t="str">
        <f>+VLOOKUP(E395,[3]Sheet1!$B$11:$I$388,8,0)</f>
        <v>54 - 002</v>
      </c>
      <c r="AD395" s="99" t="s">
        <v>1787</v>
      </c>
      <c r="AE395" s="99" t="s">
        <v>2990</v>
      </c>
      <c r="AF395" s="100">
        <v>221178834</v>
      </c>
      <c r="AG395" s="99">
        <f>+VALUE(AF300:AF681)</f>
        <v>221178834</v>
      </c>
      <c r="AH395" s="99" t="s">
        <v>1384</v>
      </c>
      <c r="AI395" s="99" t="s">
        <v>615</v>
      </c>
      <c r="AJ395" s="99" t="s">
        <v>1385</v>
      </c>
      <c r="AK395" s="101" t="s">
        <v>1386</v>
      </c>
      <c r="AL395" s="99"/>
      <c r="AM395" s="99"/>
      <c r="AN395" s="99"/>
      <c r="AO395" s="99" t="s">
        <v>504</v>
      </c>
      <c r="AP395" s="265"/>
      <c r="AQ395" s="265"/>
      <c r="AR395" s="265"/>
      <c r="AS395" s="265"/>
      <c r="AT395" s="265"/>
      <c r="AU395" s="265"/>
      <c r="AV395" s="265"/>
      <c r="AW395" s="266" t="s">
        <v>2419</v>
      </c>
      <c r="AX395" s="55" t="s">
        <v>1519</v>
      </c>
    </row>
    <row r="396" spans="1:50" x14ac:dyDescent="0.3">
      <c r="A396" s="43">
        <v>395</v>
      </c>
      <c r="B396" s="43">
        <v>130</v>
      </c>
      <c r="C396" s="118" t="s">
        <v>2543</v>
      </c>
      <c r="D396" s="99">
        <v>9</v>
      </c>
      <c r="E396" s="99" t="s">
        <v>252</v>
      </c>
      <c r="F396" s="100" t="s">
        <v>665</v>
      </c>
      <c r="G396" s="97">
        <v>34539</v>
      </c>
      <c r="H396" s="47">
        <f t="shared" si="81"/>
        <v>55358</v>
      </c>
      <c r="I396" s="48">
        <f t="shared" si="77"/>
        <v>55366</v>
      </c>
      <c r="J396" s="48">
        <v>55366</v>
      </c>
      <c r="K396" s="97">
        <v>43191</v>
      </c>
      <c r="L396" s="206" t="s">
        <v>2102</v>
      </c>
      <c r="M396" s="207" t="s">
        <v>287</v>
      </c>
      <c r="N396" s="118" t="s">
        <v>281</v>
      </c>
      <c r="O396" s="97">
        <v>43191</v>
      </c>
      <c r="P396" s="117"/>
      <c r="Q396" s="118" t="s">
        <v>72</v>
      </c>
      <c r="R396" s="119">
        <v>1.41</v>
      </c>
      <c r="S396" s="119"/>
      <c r="T396" s="99"/>
      <c r="U396" s="52">
        <f t="shared" si="73"/>
        <v>6669300</v>
      </c>
      <c r="V396" s="52">
        <f t="shared" si="79"/>
        <v>0</v>
      </c>
      <c r="W396" s="52">
        <f t="shared" si="80"/>
        <v>0</v>
      </c>
      <c r="X396" s="52">
        <f t="shared" si="78"/>
        <v>6669300</v>
      </c>
      <c r="Y396" s="52">
        <f>+VLOOKUP(E396,[2]Sheet1!$B$11:$J$400,9,0)</f>
        <v>5865600</v>
      </c>
      <c r="Z396" s="52"/>
      <c r="AA396" s="53" t="s">
        <v>1743</v>
      </c>
      <c r="AB396" s="99" t="s">
        <v>666</v>
      </c>
      <c r="AC396" s="45" t="str">
        <f>+VLOOKUP(E396,[3]Sheet1!$B$11:$I$388,8,0)</f>
        <v>54 - 130</v>
      </c>
      <c r="AD396" s="99" t="s">
        <v>1787</v>
      </c>
      <c r="AE396" s="99" t="s">
        <v>2991</v>
      </c>
      <c r="AF396" s="100" t="s">
        <v>667</v>
      </c>
      <c r="AG396" s="99">
        <f>+VALUE(AF317:AF697)</f>
        <v>221392760</v>
      </c>
      <c r="AH396" s="201" t="s">
        <v>668</v>
      </c>
      <c r="AI396" s="99" t="s">
        <v>615</v>
      </c>
      <c r="AJ396" s="99" t="s">
        <v>1525</v>
      </c>
      <c r="AK396" s="101" t="e">
        <v>#N/A</v>
      </c>
      <c r="AL396" s="99"/>
      <c r="AM396" s="99"/>
      <c r="AN396" s="99"/>
      <c r="AO396" s="99" t="s">
        <v>574</v>
      </c>
      <c r="AP396" s="99"/>
      <c r="AQ396" s="99"/>
      <c r="AR396" s="99"/>
      <c r="AS396" s="99"/>
      <c r="AT396" s="97">
        <v>43556</v>
      </c>
      <c r="AU396" s="99"/>
      <c r="AV396" s="97">
        <v>44287</v>
      </c>
      <c r="AW396" s="55" t="s">
        <v>2356</v>
      </c>
      <c r="AX396" s="55" t="s">
        <v>1519</v>
      </c>
    </row>
    <row r="397" spans="1:50" x14ac:dyDescent="0.3">
      <c r="A397" s="43">
        <v>396</v>
      </c>
      <c r="B397" s="43">
        <v>131</v>
      </c>
      <c r="C397" s="118" t="s">
        <v>2543</v>
      </c>
      <c r="D397" s="99">
        <v>10</v>
      </c>
      <c r="E397" s="99" t="s">
        <v>2560</v>
      </c>
      <c r="F397" s="100" t="s">
        <v>2561</v>
      </c>
      <c r="G397" s="205">
        <v>33812</v>
      </c>
      <c r="H397" s="47">
        <f t="shared" si="81"/>
        <v>54631</v>
      </c>
      <c r="I397" s="48">
        <f t="shared" si="77"/>
        <v>54636</v>
      </c>
      <c r="J397" s="48">
        <v>54636</v>
      </c>
      <c r="K397" s="97">
        <v>44896</v>
      </c>
      <c r="L397" s="206" t="s">
        <v>2102</v>
      </c>
      <c r="M397" s="207" t="s">
        <v>287</v>
      </c>
      <c r="N397" s="118" t="s">
        <v>281</v>
      </c>
      <c r="O397" s="97">
        <v>44927</v>
      </c>
      <c r="P397" s="117"/>
      <c r="Q397" s="118" t="s">
        <v>72</v>
      </c>
      <c r="R397" s="119">
        <v>1.41</v>
      </c>
      <c r="S397" s="119"/>
      <c r="T397" s="99"/>
      <c r="U397" s="52">
        <f t="shared" si="73"/>
        <v>6669300</v>
      </c>
      <c r="V397" s="52">
        <f t="shared" si="79"/>
        <v>0</v>
      </c>
      <c r="W397" s="52">
        <f t="shared" si="80"/>
        <v>0</v>
      </c>
      <c r="X397" s="52">
        <f t="shared" si="78"/>
        <v>6669300</v>
      </c>
      <c r="Y397" s="52">
        <f>+VLOOKUP(E397,[2]Sheet1!$B$11:$J$400,9,0)</f>
        <v>5865600</v>
      </c>
      <c r="Z397" s="52"/>
      <c r="AA397" s="53" t="s">
        <v>2729</v>
      </c>
      <c r="AB397" s="99"/>
      <c r="AC397" s="45" t="str">
        <f>+VLOOKUP(E397,[3]Sheet1!$B$11:$I$388,8,0)</f>
        <v>54 - 031</v>
      </c>
      <c r="AD397" s="99" t="s">
        <v>1787</v>
      </c>
      <c r="AE397" s="99" t="s">
        <v>2993</v>
      </c>
      <c r="AF397" s="100" t="s">
        <v>2562</v>
      </c>
      <c r="AG397" s="223" t="s">
        <v>2562</v>
      </c>
      <c r="AH397" s="201" t="s">
        <v>2563</v>
      </c>
      <c r="AI397" s="99" t="s">
        <v>615</v>
      </c>
      <c r="AJ397" s="99" t="s">
        <v>2564</v>
      </c>
      <c r="AK397" s="101" t="s">
        <v>2565</v>
      </c>
      <c r="AL397" s="99"/>
      <c r="AM397" s="99"/>
      <c r="AN397" s="99"/>
      <c r="AO397" s="99"/>
      <c r="AP397" s="99" t="s">
        <v>524</v>
      </c>
      <c r="AQ397" s="97">
        <v>44896</v>
      </c>
      <c r="AR397" s="99"/>
      <c r="AS397" s="99"/>
      <c r="AT397" s="97">
        <v>44927</v>
      </c>
      <c r="AU397" s="99"/>
      <c r="AV397" s="99"/>
      <c r="AW397" s="77" t="s">
        <v>2566</v>
      </c>
      <c r="AX397" s="55" t="s">
        <v>1519</v>
      </c>
    </row>
    <row r="398" spans="1:50" x14ac:dyDescent="0.3">
      <c r="A398" s="43">
        <v>397</v>
      </c>
      <c r="B398" s="43">
        <v>132</v>
      </c>
      <c r="C398" s="267" t="s">
        <v>2543</v>
      </c>
      <c r="D398" s="99">
        <v>12</v>
      </c>
      <c r="E398" s="265" t="s">
        <v>2413</v>
      </c>
      <c r="F398" s="244" t="s">
        <v>2414</v>
      </c>
      <c r="G398" s="243">
        <v>35603</v>
      </c>
      <c r="H398" s="47">
        <f t="shared" si="81"/>
        <v>56422</v>
      </c>
      <c r="I398" s="48">
        <f t="shared" si="77"/>
        <v>56431</v>
      </c>
      <c r="J398" s="268">
        <v>56431</v>
      </c>
      <c r="K398" s="243">
        <v>44378</v>
      </c>
      <c r="L398" s="269" t="s">
        <v>2102</v>
      </c>
      <c r="M398" s="270" t="s">
        <v>287</v>
      </c>
      <c r="N398" s="267" t="s">
        <v>281</v>
      </c>
      <c r="O398" s="243">
        <v>44409</v>
      </c>
      <c r="P398" s="271"/>
      <c r="Q398" s="267" t="s">
        <v>72</v>
      </c>
      <c r="R398" s="272">
        <v>1.41</v>
      </c>
      <c r="S398" s="272"/>
      <c r="T398" s="265"/>
      <c r="U398" s="52">
        <f t="shared" si="73"/>
        <v>6669300</v>
      </c>
      <c r="V398" s="52">
        <f t="shared" si="79"/>
        <v>0</v>
      </c>
      <c r="W398" s="52">
        <f t="shared" si="80"/>
        <v>0</v>
      </c>
      <c r="X398" s="52">
        <f t="shared" si="78"/>
        <v>6669300</v>
      </c>
      <c r="Y398" s="52">
        <f>+VLOOKUP(E398,[2]Sheet1!$B$11:$J$400,9,0)</f>
        <v>5865600</v>
      </c>
      <c r="Z398" s="52"/>
      <c r="AA398" s="53" t="s">
        <v>2730</v>
      </c>
      <c r="AB398" s="265"/>
      <c r="AC398" s="45" t="str">
        <f>+VLOOKUP(E398,[3]Sheet1!$B$11:$I$388,8,0)</f>
        <v>54 - 031</v>
      </c>
      <c r="AD398" s="265" t="s">
        <v>1787</v>
      </c>
      <c r="AE398" s="265" t="s">
        <v>3001</v>
      </c>
      <c r="AF398" s="244" t="s">
        <v>2415</v>
      </c>
      <c r="AG398" s="265">
        <v>221422248</v>
      </c>
      <c r="AH398" s="245" t="s">
        <v>2416</v>
      </c>
      <c r="AI398" s="265" t="s">
        <v>615</v>
      </c>
      <c r="AJ398" s="265" t="s">
        <v>2417</v>
      </c>
      <c r="AK398" s="273" t="s">
        <v>2418</v>
      </c>
      <c r="AL398" s="265"/>
      <c r="AM398" s="265"/>
      <c r="AN398" s="265"/>
      <c r="AO398" s="265" t="s">
        <v>574</v>
      </c>
      <c r="AP398" s="265"/>
      <c r="AQ398" s="265"/>
      <c r="AR398" s="265"/>
      <c r="AS398" s="265"/>
      <c r="AT398" s="265"/>
      <c r="AU398" s="265"/>
      <c r="AV398" s="265"/>
      <c r="AX398" s="55" t="s">
        <v>1519</v>
      </c>
    </row>
    <row r="399" spans="1:50" x14ac:dyDescent="0.3">
      <c r="C399" s="254"/>
      <c r="F399" s="196"/>
      <c r="G399" s="253"/>
      <c r="H399" s="253"/>
      <c r="I399" s="253"/>
      <c r="J399" s="253"/>
      <c r="L399" s="274"/>
      <c r="M399" s="275"/>
      <c r="N399" s="254"/>
      <c r="O399" s="253"/>
      <c r="P399" s="276"/>
      <c r="R399" s="277">
        <f>SUM(R2:R398)</f>
        <v>625.1300000000009</v>
      </c>
      <c r="S399" s="277">
        <f>SUM(S2:S398)</f>
        <v>8.3599999999999888</v>
      </c>
      <c r="T399" s="277">
        <f>SUM(T2:T398)</f>
        <v>14.499999999999977</v>
      </c>
      <c r="U399" s="278"/>
      <c r="V399" s="278"/>
      <c r="W399" s="278"/>
      <c r="X399" s="279">
        <f>SUM(X2:X398)</f>
        <v>3181103300</v>
      </c>
      <c r="Y399" s="52" t="e">
        <f>SUM(Y2:Y398)</f>
        <v>#N/A</v>
      </c>
      <c r="Z399" s="280"/>
      <c r="AA399" s="281"/>
      <c r="AG399" s="55"/>
      <c r="AK399" s="282"/>
    </row>
    <row r="400" spans="1:50" x14ac:dyDescent="0.3">
      <c r="C400" s="254"/>
      <c r="H400" s="253"/>
      <c r="I400" s="253"/>
      <c r="J400" s="253"/>
      <c r="K400" s="253"/>
      <c r="M400" s="170"/>
      <c r="O400" s="253"/>
      <c r="U400" s="283"/>
      <c r="V400" s="283"/>
      <c r="W400" s="10" t="s">
        <v>2547</v>
      </c>
      <c r="X400" s="6">
        <f>+X399*32%</f>
        <v>1017953056</v>
      </c>
      <c r="Y400" s="52"/>
      <c r="Z400" s="280"/>
      <c r="AG400" s="55"/>
      <c r="AK400" s="282"/>
    </row>
    <row r="401" spans="3:37" x14ac:dyDescent="0.3">
      <c r="C401" s="254"/>
      <c r="H401" s="253"/>
      <c r="I401" s="253"/>
      <c r="J401" s="253"/>
      <c r="K401" s="253"/>
      <c r="M401" s="170"/>
      <c r="O401" s="253"/>
      <c r="U401" s="283"/>
      <c r="V401" s="283"/>
      <c r="W401" s="283" t="s">
        <v>2536</v>
      </c>
      <c r="X401" s="283">
        <f>+X399*25.5%</f>
        <v>811181341.5</v>
      </c>
      <c r="Y401" s="52"/>
      <c r="Z401" s="280"/>
      <c r="AG401" s="55"/>
      <c r="AK401" s="282"/>
    </row>
    <row r="402" spans="3:37" x14ac:dyDescent="0.3">
      <c r="C402" s="254"/>
      <c r="H402" s="253"/>
      <c r="I402" s="253"/>
      <c r="J402" s="253"/>
      <c r="K402" s="253"/>
      <c r="M402" s="284"/>
      <c r="O402" s="253"/>
      <c r="R402" s="285"/>
      <c r="W402" s="55" t="s">
        <v>2545</v>
      </c>
      <c r="X402" s="283">
        <f>+X399*2%</f>
        <v>63622066</v>
      </c>
      <c r="Y402" s="52"/>
      <c r="Z402" s="280"/>
      <c r="AG402" s="55"/>
      <c r="AK402" s="282"/>
    </row>
    <row r="403" spans="3:37" x14ac:dyDescent="0.3">
      <c r="C403" s="254"/>
      <c r="H403" s="253"/>
      <c r="I403" s="253"/>
      <c r="J403" s="253"/>
      <c r="K403" s="253"/>
      <c r="M403" s="284"/>
      <c r="O403" s="253"/>
      <c r="W403" s="55" t="s">
        <v>1800</v>
      </c>
      <c r="X403" s="283">
        <f>+X399*4.5%</f>
        <v>143149648.5</v>
      </c>
      <c r="Y403" s="52"/>
      <c r="Z403" s="280"/>
      <c r="AG403" s="55"/>
      <c r="AK403" s="282"/>
    </row>
    <row r="404" spans="3:37" x14ac:dyDescent="0.3">
      <c r="C404" s="254"/>
      <c r="H404" s="253"/>
      <c r="I404" s="253"/>
      <c r="J404" s="253"/>
      <c r="K404" s="253"/>
      <c r="M404" s="284"/>
      <c r="O404" s="253"/>
      <c r="U404" s="286"/>
      <c r="X404" s="287"/>
      <c r="Y404" s="52"/>
      <c r="Z404" s="280"/>
      <c r="AG404" s="55"/>
      <c r="AK404" s="282"/>
    </row>
    <row r="405" spans="3:37" x14ac:dyDescent="0.3">
      <c r="C405" s="254"/>
      <c r="H405" s="253"/>
      <c r="I405" s="253"/>
      <c r="J405" s="253"/>
      <c r="K405" s="253"/>
      <c r="M405" s="284"/>
      <c r="O405" s="253"/>
      <c r="Y405" s="52"/>
      <c r="Z405" s="280"/>
      <c r="AG405" s="55"/>
      <c r="AK405" s="282"/>
    </row>
    <row r="406" spans="3:37" x14ac:dyDescent="0.3">
      <c r="H406" s="253"/>
      <c r="I406" s="253"/>
      <c r="J406" s="253"/>
      <c r="K406" s="253"/>
      <c r="M406" s="284"/>
      <c r="O406" s="253"/>
      <c r="U406" s="286"/>
      <c r="Y406" s="237"/>
      <c r="Z406" s="237"/>
      <c r="AG406" s="55"/>
      <c r="AK406" s="282"/>
    </row>
    <row r="407" spans="3:37" x14ac:dyDescent="0.3">
      <c r="K407" s="253"/>
      <c r="O407" s="253"/>
      <c r="Y407" s="237"/>
      <c r="Z407" s="237"/>
      <c r="AG407" s="55"/>
      <c r="AK407" s="282"/>
    </row>
    <row r="408" spans="3:37" x14ac:dyDescent="0.3">
      <c r="K408" s="253"/>
      <c r="O408" s="253"/>
      <c r="Y408" s="237"/>
      <c r="Z408" s="237"/>
      <c r="AG408" s="55"/>
      <c r="AK408" s="282"/>
    </row>
    <row r="409" spans="3:37" x14ac:dyDescent="0.3">
      <c r="K409" s="253"/>
      <c r="O409" s="253"/>
      <c r="Y409" s="237"/>
      <c r="Z409" s="237"/>
      <c r="AG409" s="55"/>
      <c r="AK409" s="282"/>
    </row>
    <row r="410" spans="3:37" ht="15.6" x14ac:dyDescent="0.3">
      <c r="F410" s="288" t="s">
        <v>2061</v>
      </c>
      <c r="G410" s="288" t="s">
        <v>2061</v>
      </c>
      <c r="H410" s="288"/>
      <c r="I410" s="288"/>
      <c r="J410" s="288"/>
      <c r="K410" s="289" t="s">
        <v>2061</v>
      </c>
      <c r="O410" s="253"/>
      <c r="Y410" s="237"/>
      <c r="Z410" s="237"/>
      <c r="AG410" s="55"/>
      <c r="AK410" s="282"/>
    </row>
    <row r="411" spans="3:37" x14ac:dyDescent="0.3">
      <c r="K411" s="253"/>
      <c r="Y411" s="237"/>
      <c r="Z411" s="237"/>
      <c r="AG411" s="55"/>
      <c r="AK411" s="282"/>
    </row>
    <row r="412" spans="3:37" x14ac:dyDescent="0.3">
      <c r="K412" s="253"/>
      <c r="Y412" s="237"/>
      <c r="Z412" s="237"/>
      <c r="AG412" s="55"/>
      <c r="AK412" s="282"/>
    </row>
    <row r="413" spans="3:37" x14ac:dyDescent="0.3">
      <c r="K413" s="253"/>
      <c r="Y413" s="237"/>
      <c r="Z413" s="237"/>
      <c r="AG413" s="55"/>
      <c r="AK413" s="282"/>
    </row>
    <row r="414" spans="3:37" x14ac:dyDescent="0.3">
      <c r="K414" s="253"/>
      <c r="Y414" s="237"/>
      <c r="Z414" s="237"/>
      <c r="AG414" s="55"/>
      <c r="AK414" s="282"/>
    </row>
    <row r="415" spans="3:37" x14ac:dyDescent="0.3">
      <c r="K415" s="253"/>
      <c r="Y415" s="237"/>
      <c r="Z415" s="237"/>
      <c r="AG415" s="55"/>
      <c r="AK415" s="282"/>
    </row>
    <row r="416" spans="3:37" x14ac:dyDescent="0.3">
      <c r="K416" s="253"/>
      <c r="Y416" s="237"/>
      <c r="Z416" s="237"/>
      <c r="AG416" s="55"/>
      <c r="AK416" s="282"/>
    </row>
    <row r="417" spans="11:37" x14ac:dyDescent="0.3">
      <c r="K417" s="253"/>
      <c r="AG417" s="55"/>
      <c r="AK417" s="282"/>
    </row>
    <row r="418" spans="11:37" x14ac:dyDescent="0.3">
      <c r="K418" s="253"/>
      <c r="AG418" s="55"/>
      <c r="AK418" s="282"/>
    </row>
    <row r="419" spans="11:37" x14ac:dyDescent="0.3">
      <c r="AG419" s="55"/>
      <c r="AK419" s="282"/>
    </row>
    <row r="420" spans="11:37" x14ac:dyDescent="0.3">
      <c r="AG420" s="55"/>
      <c r="AK420" s="282"/>
    </row>
    <row r="421" spans="11:37" x14ac:dyDescent="0.3">
      <c r="AG421" s="55"/>
      <c r="AK421" s="282"/>
    </row>
    <row r="422" spans="11:37" x14ac:dyDescent="0.3">
      <c r="AG422" s="55"/>
      <c r="AK422" s="282"/>
    </row>
    <row r="423" spans="11:37" x14ac:dyDescent="0.3">
      <c r="AG423" s="55"/>
      <c r="AK423" s="282"/>
    </row>
    <row r="424" spans="11:37" x14ac:dyDescent="0.3">
      <c r="AG424" s="55"/>
      <c r="AK424" s="282"/>
    </row>
    <row r="425" spans="11:37" x14ac:dyDescent="0.3">
      <c r="AG425" s="55"/>
      <c r="AK425" s="282"/>
    </row>
    <row r="426" spans="11:37" x14ac:dyDescent="0.3">
      <c r="AG426" s="55"/>
      <c r="AK426" s="282"/>
    </row>
    <row r="427" spans="11:37" x14ac:dyDescent="0.3">
      <c r="AG427" s="55"/>
      <c r="AK427" s="282"/>
    </row>
    <row r="428" spans="11:37" x14ac:dyDescent="0.3">
      <c r="AG428" s="55"/>
      <c r="AK428" s="282"/>
    </row>
    <row r="429" spans="11:37" x14ac:dyDescent="0.3">
      <c r="AG429" s="55"/>
      <c r="AK429" s="282"/>
    </row>
    <row r="430" spans="11:37" x14ac:dyDescent="0.3">
      <c r="AG430" s="55"/>
      <c r="AK430" s="282"/>
    </row>
    <row r="431" spans="11:37" x14ac:dyDescent="0.3">
      <c r="AG431" s="55"/>
      <c r="AK431" s="282"/>
    </row>
    <row r="432" spans="11:37" x14ac:dyDescent="0.3">
      <c r="AG432" s="55"/>
      <c r="AK432" s="282"/>
    </row>
    <row r="433" spans="33:37" x14ac:dyDescent="0.3">
      <c r="AG433" s="55"/>
      <c r="AK433" s="282"/>
    </row>
    <row r="434" spans="33:37" x14ac:dyDescent="0.3">
      <c r="AG434" s="55"/>
      <c r="AK434" s="282"/>
    </row>
    <row r="435" spans="33:37" x14ac:dyDescent="0.3">
      <c r="AG435" s="55"/>
      <c r="AK435" s="282"/>
    </row>
    <row r="436" spans="33:37" x14ac:dyDescent="0.3">
      <c r="AG436" s="55"/>
      <c r="AK436" s="282"/>
    </row>
    <row r="437" spans="33:37" x14ac:dyDescent="0.3">
      <c r="AG437" s="55"/>
      <c r="AK437" s="282"/>
    </row>
    <row r="438" spans="33:37" x14ac:dyDescent="0.3">
      <c r="AG438" s="55"/>
      <c r="AK438" s="282"/>
    </row>
    <row r="439" spans="33:37" x14ac:dyDescent="0.3">
      <c r="AG439" s="55"/>
      <c r="AK439" s="282"/>
    </row>
    <row r="440" spans="33:37" x14ac:dyDescent="0.3">
      <c r="AG440" s="55"/>
      <c r="AK440" s="282"/>
    </row>
    <row r="441" spans="33:37" x14ac:dyDescent="0.3">
      <c r="AG441" s="55"/>
      <c r="AK441" s="282"/>
    </row>
    <row r="442" spans="33:37" x14ac:dyDescent="0.3">
      <c r="AG442" s="55"/>
      <c r="AK442" s="282"/>
    </row>
    <row r="443" spans="33:37" x14ac:dyDescent="0.3">
      <c r="AG443" s="55"/>
      <c r="AK443" s="282"/>
    </row>
    <row r="444" spans="33:37" x14ac:dyDescent="0.3">
      <c r="AG444" s="55"/>
      <c r="AK444" s="282"/>
    </row>
    <row r="445" spans="33:37" x14ac:dyDescent="0.3">
      <c r="AG445" s="55"/>
      <c r="AK445" s="282"/>
    </row>
    <row r="446" spans="33:37" x14ac:dyDescent="0.3">
      <c r="AG446" s="55"/>
      <c r="AK446" s="282"/>
    </row>
    <row r="447" spans="33:37" x14ac:dyDescent="0.3">
      <c r="AG447" s="55"/>
      <c r="AK447" s="282"/>
    </row>
    <row r="448" spans="33:37" x14ac:dyDescent="0.3">
      <c r="AG448" s="55"/>
      <c r="AK448" s="282"/>
    </row>
    <row r="449" spans="33:37" x14ac:dyDescent="0.3">
      <c r="AG449" s="55"/>
      <c r="AK449" s="282"/>
    </row>
    <row r="450" spans="33:37" x14ac:dyDescent="0.3">
      <c r="AG450" s="55"/>
    </row>
    <row r="451" spans="33:37" x14ac:dyDescent="0.3">
      <c r="AG451" s="55"/>
    </row>
    <row r="452" spans="33:37" x14ac:dyDescent="0.3">
      <c r="AG452" s="55"/>
    </row>
    <row r="453" spans="33:37" x14ac:dyDescent="0.3">
      <c r="AG453" s="55"/>
    </row>
    <row r="454" spans="33:37" x14ac:dyDescent="0.3">
      <c r="AG454" s="55"/>
    </row>
    <row r="455" spans="33:37" x14ac:dyDescent="0.3">
      <c r="AG455" s="55"/>
    </row>
    <row r="456" spans="33:37" x14ac:dyDescent="0.3">
      <c r="AG456" s="55"/>
    </row>
    <row r="457" spans="33:37" x14ac:dyDescent="0.3">
      <c r="AG457" s="55"/>
    </row>
    <row r="458" spans="33:37" x14ac:dyDescent="0.3">
      <c r="AG458" s="55"/>
    </row>
    <row r="459" spans="33:37" x14ac:dyDescent="0.3">
      <c r="AG459" s="55"/>
    </row>
    <row r="460" spans="33:37" x14ac:dyDescent="0.3">
      <c r="AG460" s="55"/>
    </row>
    <row r="461" spans="33:37" x14ac:dyDescent="0.3">
      <c r="AG461" s="55"/>
    </row>
    <row r="462" spans="33:37" x14ac:dyDescent="0.3">
      <c r="AG462" s="55"/>
    </row>
    <row r="463" spans="33:37" x14ac:dyDescent="0.3">
      <c r="AG463" s="55"/>
    </row>
    <row r="464" spans="33:37" x14ac:dyDescent="0.3">
      <c r="AG464" s="55"/>
    </row>
    <row r="465" spans="33:33" x14ac:dyDescent="0.3">
      <c r="AG465" s="55"/>
    </row>
    <row r="466" spans="33:33" x14ac:dyDescent="0.3">
      <c r="AG466" s="55"/>
    </row>
    <row r="467" spans="33:33" x14ac:dyDescent="0.3">
      <c r="AG467" s="55"/>
    </row>
    <row r="468" spans="33:33" x14ac:dyDescent="0.3">
      <c r="AG468" s="55"/>
    </row>
    <row r="469" spans="33:33" x14ac:dyDescent="0.3">
      <c r="AG469" s="55"/>
    </row>
    <row r="470" spans="33:33" x14ac:dyDescent="0.3">
      <c r="AG470" s="55"/>
    </row>
    <row r="471" spans="33:33" x14ac:dyDescent="0.3">
      <c r="AG471" s="55"/>
    </row>
    <row r="472" spans="33:33" x14ac:dyDescent="0.3">
      <c r="AG472" s="55"/>
    </row>
    <row r="473" spans="33:33" x14ac:dyDescent="0.3">
      <c r="AG473" s="55"/>
    </row>
    <row r="474" spans="33:33" x14ac:dyDescent="0.3">
      <c r="AG474" s="55"/>
    </row>
    <row r="475" spans="33:33" x14ac:dyDescent="0.3">
      <c r="AG475" s="55"/>
    </row>
    <row r="476" spans="33:33" x14ac:dyDescent="0.3">
      <c r="AG476" s="55"/>
    </row>
    <row r="477" spans="33:33" x14ac:dyDescent="0.3">
      <c r="AG477" s="55"/>
    </row>
    <row r="478" spans="33:33" x14ac:dyDescent="0.3">
      <c r="AG478" s="55"/>
    </row>
    <row r="479" spans="33:33" x14ac:dyDescent="0.3">
      <c r="AG479" s="55"/>
    </row>
    <row r="480" spans="33:33" x14ac:dyDescent="0.3">
      <c r="AG480" s="55"/>
    </row>
    <row r="481" spans="33:33" x14ac:dyDescent="0.3">
      <c r="AG481" s="55"/>
    </row>
    <row r="482" spans="33:33" x14ac:dyDescent="0.3">
      <c r="AG482" s="55"/>
    </row>
    <row r="483" spans="33:33" x14ac:dyDescent="0.3">
      <c r="AG483" s="55"/>
    </row>
    <row r="484" spans="33:33" x14ac:dyDescent="0.3">
      <c r="AG484" s="55"/>
    </row>
    <row r="485" spans="33:33" x14ac:dyDescent="0.3">
      <c r="AG485" s="55"/>
    </row>
    <row r="486" spans="33:33" x14ac:dyDescent="0.3">
      <c r="AG486" s="55"/>
    </row>
    <row r="487" spans="33:33" x14ac:dyDescent="0.3">
      <c r="AG487" s="55"/>
    </row>
    <row r="488" spans="33:33" x14ac:dyDescent="0.3">
      <c r="AG488" s="55"/>
    </row>
    <row r="489" spans="33:33" x14ac:dyDescent="0.3">
      <c r="AG489" s="55"/>
    </row>
    <row r="490" spans="33:33" x14ac:dyDescent="0.3">
      <c r="AG490" s="55"/>
    </row>
    <row r="491" spans="33:33" x14ac:dyDescent="0.3">
      <c r="AG491" s="55"/>
    </row>
    <row r="492" spans="33:33" x14ac:dyDescent="0.3">
      <c r="AG492" s="55"/>
    </row>
    <row r="493" spans="33:33" x14ac:dyDescent="0.3">
      <c r="AG493" s="55"/>
    </row>
    <row r="494" spans="33:33" x14ac:dyDescent="0.3">
      <c r="AG494" s="55"/>
    </row>
    <row r="495" spans="33:33" x14ac:dyDescent="0.3">
      <c r="AG495" s="55"/>
    </row>
    <row r="496" spans="33:33" x14ac:dyDescent="0.3">
      <c r="AG496" s="55"/>
    </row>
    <row r="497" spans="33:33" x14ac:dyDescent="0.3">
      <c r="AG497" s="55"/>
    </row>
    <row r="498" spans="33:33" x14ac:dyDescent="0.3">
      <c r="AG498" s="55"/>
    </row>
    <row r="499" spans="33:33" x14ac:dyDescent="0.3">
      <c r="AG499" s="55"/>
    </row>
    <row r="500" spans="33:33" x14ac:dyDescent="0.3">
      <c r="AG500" s="55"/>
    </row>
    <row r="501" spans="33:33" x14ac:dyDescent="0.3">
      <c r="AG501" s="55"/>
    </row>
    <row r="502" spans="33:33" x14ac:dyDescent="0.3">
      <c r="AG502" s="55"/>
    </row>
    <row r="503" spans="33:33" x14ac:dyDescent="0.3">
      <c r="AG503" s="55"/>
    </row>
    <row r="504" spans="33:33" x14ac:dyDescent="0.3">
      <c r="AG504" s="55"/>
    </row>
    <row r="505" spans="33:33" x14ac:dyDescent="0.3">
      <c r="AG505" s="55"/>
    </row>
    <row r="506" spans="33:33" x14ac:dyDescent="0.3">
      <c r="AG506" s="55"/>
    </row>
    <row r="507" spans="33:33" x14ac:dyDescent="0.3">
      <c r="AG507" s="55"/>
    </row>
    <row r="508" spans="33:33" x14ac:dyDescent="0.3">
      <c r="AG508" s="55"/>
    </row>
    <row r="509" spans="33:33" x14ac:dyDescent="0.3">
      <c r="AG509" s="55"/>
    </row>
    <row r="510" spans="33:33" x14ac:dyDescent="0.3">
      <c r="AG510" s="55"/>
    </row>
    <row r="511" spans="33:33" x14ac:dyDescent="0.3">
      <c r="AG511" s="55"/>
    </row>
    <row r="512" spans="33:33" x14ac:dyDescent="0.3">
      <c r="AG512" s="55"/>
    </row>
    <row r="513" spans="33:33" x14ac:dyDescent="0.3">
      <c r="AG513" s="55"/>
    </row>
    <row r="514" spans="33:33" x14ac:dyDescent="0.3">
      <c r="AG514" s="55"/>
    </row>
    <row r="515" spans="33:33" x14ac:dyDescent="0.3">
      <c r="AG515" s="55"/>
    </row>
    <row r="516" spans="33:33" x14ac:dyDescent="0.3">
      <c r="AG516" s="55"/>
    </row>
    <row r="517" spans="33:33" x14ac:dyDescent="0.3">
      <c r="AG517" s="55"/>
    </row>
    <row r="518" spans="33:33" x14ac:dyDescent="0.3">
      <c r="AG518" s="55"/>
    </row>
    <row r="519" spans="33:33" x14ac:dyDescent="0.3">
      <c r="AG519" s="55"/>
    </row>
    <row r="520" spans="33:33" x14ac:dyDescent="0.3">
      <c r="AG520" s="55"/>
    </row>
    <row r="521" spans="33:33" x14ac:dyDescent="0.3">
      <c r="AG521" s="55"/>
    </row>
    <row r="522" spans="33:33" x14ac:dyDescent="0.3">
      <c r="AG522" s="55"/>
    </row>
    <row r="523" spans="33:33" x14ac:dyDescent="0.3">
      <c r="AG523" s="55"/>
    </row>
    <row r="524" spans="33:33" x14ac:dyDescent="0.3">
      <c r="AG524" s="55"/>
    </row>
    <row r="525" spans="33:33" x14ac:dyDescent="0.3">
      <c r="AG525" s="55"/>
    </row>
    <row r="526" spans="33:33" x14ac:dyDescent="0.3">
      <c r="AG526" s="55"/>
    </row>
    <row r="527" spans="33:33" x14ac:dyDescent="0.3">
      <c r="AG527" s="55"/>
    </row>
    <row r="528" spans="33:33" x14ac:dyDescent="0.3">
      <c r="AG528" s="55"/>
    </row>
    <row r="529" spans="33:33" x14ac:dyDescent="0.3">
      <c r="AG529" s="55"/>
    </row>
    <row r="530" spans="33:33" x14ac:dyDescent="0.3">
      <c r="AG530" s="55"/>
    </row>
    <row r="531" spans="33:33" x14ac:dyDescent="0.3">
      <c r="AG531" s="55"/>
    </row>
    <row r="532" spans="33:33" x14ac:dyDescent="0.3">
      <c r="AG532" s="55"/>
    </row>
    <row r="533" spans="33:33" x14ac:dyDescent="0.3">
      <c r="AG533" s="55"/>
    </row>
    <row r="534" spans="33:33" x14ac:dyDescent="0.3">
      <c r="AG534" s="55"/>
    </row>
    <row r="535" spans="33:33" x14ac:dyDescent="0.3">
      <c r="AG535" s="55"/>
    </row>
    <row r="536" spans="33:33" x14ac:dyDescent="0.3">
      <c r="AG536" s="55"/>
    </row>
    <row r="537" spans="33:33" x14ac:dyDescent="0.3">
      <c r="AG537" s="55"/>
    </row>
    <row r="538" spans="33:33" x14ac:dyDescent="0.3">
      <c r="AG538" s="55"/>
    </row>
    <row r="539" spans="33:33" x14ac:dyDescent="0.3">
      <c r="AG539" s="55"/>
    </row>
    <row r="540" spans="33:33" x14ac:dyDescent="0.3">
      <c r="AG540" s="55"/>
    </row>
    <row r="541" spans="33:33" x14ac:dyDescent="0.3">
      <c r="AG541" s="55"/>
    </row>
    <row r="542" spans="33:33" x14ac:dyDescent="0.3">
      <c r="AG542" s="55"/>
    </row>
    <row r="543" spans="33:33" x14ac:dyDescent="0.3">
      <c r="AG543" s="55"/>
    </row>
    <row r="544" spans="33:33" x14ac:dyDescent="0.3">
      <c r="AG544" s="55"/>
    </row>
    <row r="545" spans="33:33" x14ac:dyDescent="0.3">
      <c r="AG545" s="55"/>
    </row>
    <row r="546" spans="33:33" x14ac:dyDescent="0.3">
      <c r="AG546" s="55"/>
    </row>
    <row r="547" spans="33:33" x14ac:dyDescent="0.3">
      <c r="AG547" s="55"/>
    </row>
    <row r="548" spans="33:33" x14ac:dyDescent="0.3">
      <c r="AG548" s="55"/>
    </row>
    <row r="549" spans="33:33" x14ac:dyDescent="0.3">
      <c r="AG549" s="55"/>
    </row>
    <row r="550" spans="33:33" x14ac:dyDescent="0.3">
      <c r="AG550" s="55"/>
    </row>
    <row r="551" spans="33:33" x14ac:dyDescent="0.3">
      <c r="AG551" s="55"/>
    </row>
    <row r="552" spans="33:33" x14ac:dyDescent="0.3">
      <c r="AG552" s="55"/>
    </row>
    <row r="553" spans="33:33" x14ac:dyDescent="0.3">
      <c r="AG553" s="55"/>
    </row>
    <row r="554" spans="33:33" x14ac:dyDescent="0.3">
      <c r="AG554" s="55"/>
    </row>
    <row r="555" spans="33:33" x14ac:dyDescent="0.3">
      <c r="AG555" s="55"/>
    </row>
    <row r="556" spans="33:33" x14ac:dyDescent="0.3">
      <c r="AG556" s="55"/>
    </row>
    <row r="557" spans="33:33" x14ac:dyDescent="0.3">
      <c r="AG557" s="55"/>
    </row>
    <row r="558" spans="33:33" x14ac:dyDescent="0.3">
      <c r="AG558" s="55"/>
    </row>
    <row r="559" spans="33:33" x14ac:dyDescent="0.3">
      <c r="AG559" s="55"/>
    </row>
    <row r="560" spans="33:33" x14ac:dyDescent="0.3">
      <c r="AG560" s="55"/>
    </row>
    <row r="561" spans="33:33" x14ac:dyDescent="0.3">
      <c r="AG561" s="55"/>
    </row>
    <row r="562" spans="33:33" x14ac:dyDescent="0.3">
      <c r="AG562" s="55"/>
    </row>
    <row r="563" spans="33:33" x14ac:dyDescent="0.3">
      <c r="AG563" s="55"/>
    </row>
    <row r="564" spans="33:33" x14ac:dyDescent="0.3">
      <c r="AG564" s="55"/>
    </row>
    <row r="565" spans="33:33" x14ac:dyDescent="0.3">
      <c r="AG565" s="55"/>
    </row>
    <row r="566" spans="33:33" x14ac:dyDescent="0.3">
      <c r="AG566" s="55"/>
    </row>
    <row r="567" spans="33:33" x14ac:dyDescent="0.3">
      <c r="AG567" s="55"/>
    </row>
    <row r="568" spans="33:33" x14ac:dyDescent="0.3">
      <c r="AG568" s="55"/>
    </row>
    <row r="569" spans="33:33" x14ac:dyDescent="0.3">
      <c r="AG569" s="55"/>
    </row>
    <row r="570" spans="33:33" x14ac:dyDescent="0.3">
      <c r="AG570" s="55"/>
    </row>
    <row r="571" spans="33:33" x14ac:dyDescent="0.3">
      <c r="AG571" s="55"/>
    </row>
    <row r="572" spans="33:33" x14ac:dyDescent="0.3">
      <c r="AG572" s="55"/>
    </row>
    <row r="573" spans="33:33" x14ac:dyDescent="0.3">
      <c r="AG573" s="55"/>
    </row>
    <row r="574" spans="33:33" x14ac:dyDescent="0.3">
      <c r="AG574" s="55"/>
    </row>
    <row r="575" spans="33:33" x14ac:dyDescent="0.3">
      <c r="AG575" s="55"/>
    </row>
    <row r="576" spans="33:33" x14ac:dyDescent="0.3">
      <c r="AG576" s="55"/>
    </row>
    <row r="577" spans="33:33" x14ac:dyDescent="0.3">
      <c r="AG577" s="55"/>
    </row>
    <row r="578" spans="33:33" x14ac:dyDescent="0.3">
      <c r="AG578" s="55"/>
    </row>
    <row r="579" spans="33:33" x14ac:dyDescent="0.3">
      <c r="AG579" s="55"/>
    </row>
    <row r="580" spans="33:33" x14ac:dyDescent="0.3">
      <c r="AG580" s="55"/>
    </row>
    <row r="581" spans="33:33" x14ac:dyDescent="0.3">
      <c r="AG581" s="55"/>
    </row>
    <row r="582" spans="33:33" x14ac:dyDescent="0.3">
      <c r="AG582" s="55"/>
    </row>
    <row r="583" spans="33:33" x14ac:dyDescent="0.3">
      <c r="AG583" s="55"/>
    </row>
    <row r="584" spans="33:33" x14ac:dyDescent="0.3">
      <c r="AG584" s="55"/>
    </row>
    <row r="585" spans="33:33" x14ac:dyDescent="0.3">
      <c r="AG585" s="55"/>
    </row>
    <row r="586" spans="33:33" x14ac:dyDescent="0.3">
      <c r="AG586" s="55"/>
    </row>
    <row r="587" spans="33:33" x14ac:dyDescent="0.3">
      <c r="AG587" s="55"/>
    </row>
    <row r="588" spans="33:33" x14ac:dyDescent="0.3">
      <c r="AG588" s="55"/>
    </row>
    <row r="589" spans="33:33" x14ac:dyDescent="0.3">
      <c r="AG589" s="55"/>
    </row>
    <row r="590" spans="33:33" x14ac:dyDescent="0.3">
      <c r="AG590" s="55"/>
    </row>
    <row r="591" spans="33:33" x14ac:dyDescent="0.3">
      <c r="AG591" s="55"/>
    </row>
    <row r="592" spans="33:33" x14ac:dyDescent="0.3">
      <c r="AG592" s="55"/>
    </row>
    <row r="593" spans="33:33" x14ac:dyDescent="0.3">
      <c r="AG593" s="55"/>
    </row>
    <row r="594" spans="33:33" x14ac:dyDescent="0.3">
      <c r="AG594" s="55"/>
    </row>
    <row r="595" spans="33:33" x14ac:dyDescent="0.3">
      <c r="AG595" s="55"/>
    </row>
    <row r="596" spans="33:33" x14ac:dyDescent="0.3">
      <c r="AG596" s="55"/>
    </row>
    <row r="597" spans="33:33" x14ac:dyDescent="0.3">
      <c r="AG597" s="55"/>
    </row>
    <row r="598" spans="33:33" x14ac:dyDescent="0.3">
      <c r="AG598" s="55"/>
    </row>
    <row r="599" spans="33:33" x14ac:dyDescent="0.3">
      <c r="AG599" s="55"/>
    </row>
    <row r="600" spans="33:33" x14ac:dyDescent="0.3">
      <c r="AG600" s="55"/>
    </row>
    <row r="601" spans="33:33" x14ac:dyDescent="0.3">
      <c r="AG601" s="55"/>
    </row>
    <row r="602" spans="33:33" x14ac:dyDescent="0.3">
      <c r="AG602" s="55"/>
    </row>
    <row r="603" spans="33:33" x14ac:dyDescent="0.3">
      <c r="AG603" s="55"/>
    </row>
    <row r="604" spans="33:33" x14ac:dyDescent="0.3">
      <c r="AG604" s="55"/>
    </row>
    <row r="605" spans="33:33" x14ac:dyDescent="0.3">
      <c r="AG605" s="55"/>
    </row>
    <row r="606" spans="33:33" x14ac:dyDescent="0.3">
      <c r="AG606" s="55"/>
    </row>
    <row r="607" spans="33:33" x14ac:dyDescent="0.3">
      <c r="AG607" s="55"/>
    </row>
    <row r="608" spans="33:33" x14ac:dyDescent="0.3">
      <c r="AG608" s="55"/>
    </row>
    <row r="609" spans="33:33" x14ac:dyDescent="0.3">
      <c r="AG609" s="55"/>
    </row>
    <row r="610" spans="33:33" x14ac:dyDescent="0.3">
      <c r="AG610" s="55"/>
    </row>
    <row r="611" spans="33:33" x14ac:dyDescent="0.3">
      <c r="AG611" s="55"/>
    </row>
    <row r="612" spans="33:33" x14ac:dyDescent="0.3">
      <c r="AG612" s="55"/>
    </row>
    <row r="613" spans="33:33" x14ac:dyDescent="0.3">
      <c r="AG613" s="55"/>
    </row>
    <row r="614" spans="33:33" x14ac:dyDescent="0.3">
      <c r="AG614" s="55"/>
    </row>
    <row r="615" spans="33:33" x14ac:dyDescent="0.3">
      <c r="AG615" s="55"/>
    </row>
    <row r="616" spans="33:33" x14ac:dyDescent="0.3">
      <c r="AG616" s="55"/>
    </row>
    <row r="617" spans="33:33" x14ac:dyDescent="0.3">
      <c r="AG617" s="55"/>
    </row>
    <row r="618" spans="33:33" x14ac:dyDescent="0.3">
      <c r="AG618" s="55"/>
    </row>
    <row r="619" spans="33:33" x14ac:dyDescent="0.3">
      <c r="AG619" s="55"/>
    </row>
    <row r="620" spans="33:33" x14ac:dyDescent="0.3">
      <c r="AG620" s="55"/>
    </row>
    <row r="621" spans="33:33" x14ac:dyDescent="0.3">
      <c r="AG621" s="55"/>
    </row>
    <row r="622" spans="33:33" x14ac:dyDescent="0.3">
      <c r="AG622" s="55"/>
    </row>
    <row r="623" spans="33:33" x14ac:dyDescent="0.3">
      <c r="AG623" s="55"/>
    </row>
    <row r="624" spans="33:33" x14ac:dyDescent="0.3">
      <c r="AG624" s="55"/>
    </row>
    <row r="625" spans="33:33" x14ac:dyDescent="0.3">
      <c r="AG625" s="55"/>
    </row>
    <row r="626" spans="33:33" x14ac:dyDescent="0.3">
      <c r="AG626" s="55"/>
    </row>
    <row r="627" spans="33:33" x14ac:dyDescent="0.3">
      <c r="AG627" s="55"/>
    </row>
    <row r="628" spans="33:33" x14ac:dyDescent="0.3">
      <c r="AG628" s="55"/>
    </row>
    <row r="629" spans="33:33" x14ac:dyDescent="0.3">
      <c r="AG629" s="55"/>
    </row>
    <row r="630" spans="33:33" x14ac:dyDescent="0.3">
      <c r="AG630" s="55"/>
    </row>
    <row r="631" spans="33:33" x14ac:dyDescent="0.3">
      <c r="AG631" s="55"/>
    </row>
    <row r="632" spans="33:33" x14ac:dyDescent="0.3">
      <c r="AG632" s="55"/>
    </row>
    <row r="633" spans="33:33" x14ac:dyDescent="0.3">
      <c r="AG633" s="55"/>
    </row>
    <row r="634" spans="33:33" x14ac:dyDescent="0.3">
      <c r="AG634" s="55"/>
    </row>
    <row r="635" spans="33:33" x14ac:dyDescent="0.3">
      <c r="AG635" s="55"/>
    </row>
    <row r="636" spans="33:33" x14ac:dyDescent="0.3">
      <c r="AG636" s="55"/>
    </row>
    <row r="637" spans="33:33" x14ac:dyDescent="0.3">
      <c r="AG637" s="55"/>
    </row>
    <row r="638" spans="33:33" x14ac:dyDescent="0.3">
      <c r="AG638" s="55"/>
    </row>
    <row r="639" spans="33:33" x14ac:dyDescent="0.3">
      <c r="AG639" s="55"/>
    </row>
    <row r="640" spans="33:33" x14ac:dyDescent="0.3">
      <c r="AG640" s="55"/>
    </row>
    <row r="641" spans="33:33" x14ac:dyDescent="0.3">
      <c r="AG641" s="55"/>
    </row>
    <row r="642" spans="33:33" x14ac:dyDescent="0.3">
      <c r="AG642" s="55"/>
    </row>
    <row r="643" spans="33:33" x14ac:dyDescent="0.3">
      <c r="AG643" s="55"/>
    </row>
    <row r="644" spans="33:33" x14ac:dyDescent="0.3">
      <c r="AG644" s="55"/>
    </row>
    <row r="645" spans="33:33" x14ac:dyDescent="0.3">
      <c r="AG645" s="55"/>
    </row>
    <row r="646" spans="33:33" x14ac:dyDescent="0.3">
      <c r="AG646" s="55"/>
    </row>
    <row r="647" spans="33:33" x14ac:dyDescent="0.3">
      <c r="AG647" s="55"/>
    </row>
    <row r="648" spans="33:33" x14ac:dyDescent="0.3">
      <c r="AG648" s="55"/>
    </row>
    <row r="649" spans="33:33" x14ac:dyDescent="0.3">
      <c r="AG649" s="55"/>
    </row>
    <row r="650" spans="33:33" x14ac:dyDescent="0.3">
      <c r="AG650" s="55"/>
    </row>
    <row r="651" spans="33:33" x14ac:dyDescent="0.3">
      <c r="AG651" s="55"/>
    </row>
    <row r="652" spans="33:33" x14ac:dyDescent="0.3">
      <c r="AG652" s="55"/>
    </row>
    <row r="653" spans="33:33" x14ac:dyDescent="0.3">
      <c r="AG653" s="55"/>
    </row>
    <row r="654" spans="33:33" x14ac:dyDescent="0.3">
      <c r="AG654" s="55"/>
    </row>
    <row r="655" spans="33:33" x14ac:dyDescent="0.3">
      <c r="AG655" s="55"/>
    </row>
    <row r="656" spans="33:33" x14ac:dyDescent="0.3">
      <c r="AG656" s="55"/>
    </row>
    <row r="657" spans="33:33" x14ac:dyDescent="0.3">
      <c r="AG657" s="55"/>
    </row>
    <row r="658" spans="33:33" x14ac:dyDescent="0.3">
      <c r="AG658" s="55"/>
    </row>
    <row r="659" spans="33:33" x14ac:dyDescent="0.3">
      <c r="AG659" s="55"/>
    </row>
    <row r="660" spans="33:33" x14ac:dyDescent="0.3">
      <c r="AG660" s="55"/>
    </row>
    <row r="661" spans="33:33" x14ac:dyDescent="0.3">
      <c r="AG661" s="55"/>
    </row>
    <row r="662" spans="33:33" x14ac:dyDescent="0.3">
      <c r="AG662" s="55"/>
    </row>
    <row r="663" spans="33:33" x14ac:dyDescent="0.3">
      <c r="AG663" s="55"/>
    </row>
    <row r="664" spans="33:33" x14ac:dyDescent="0.3">
      <c r="AG664" s="55"/>
    </row>
    <row r="665" spans="33:33" x14ac:dyDescent="0.3">
      <c r="AG665" s="55"/>
    </row>
    <row r="666" spans="33:33" x14ac:dyDescent="0.3">
      <c r="AG666" s="55"/>
    </row>
    <row r="667" spans="33:33" x14ac:dyDescent="0.3">
      <c r="AG667" s="55"/>
    </row>
    <row r="668" spans="33:33" x14ac:dyDescent="0.3">
      <c r="AG668" s="55"/>
    </row>
    <row r="669" spans="33:33" x14ac:dyDescent="0.3">
      <c r="AG669" s="55"/>
    </row>
    <row r="670" spans="33:33" x14ac:dyDescent="0.3">
      <c r="AG670" s="55"/>
    </row>
    <row r="671" spans="33:33" x14ac:dyDescent="0.3">
      <c r="AG671" s="55"/>
    </row>
    <row r="672" spans="33:33" x14ac:dyDescent="0.3">
      <c r="AG672" s="55"/>
    </row>
    <row r="673" spans="33:33" x14ac:dyDescent="0.3">
      <c r="AG673" s="55"/>
    </row>
    <row r="674" spans="33:33" x14ac:dyDescent="0.3">
      <c r="AG674" s="55"/>
    </row>
    <row r="675" spans="33:33" x14ac:dyDescent="0.3">
      <c r="AG675" s="55"/>
    </row>
    <row r="676" spans="33:33" x14ac:dyDescent="0.3">
      <c r="AG676" s="55"/>
    </row>
    <row r="677" spans="33:33" x14ac:dyDescent="0.3">
      <c r="AG677" s="55"/>
    </row>
    <row r="678" spans="33:33" x14ac:dyDescent="0.3">
      <c r="AG678" s="55"/>
    </row>
    <row r="679" spans="33:33" x14ac:dyDescent="0.3">
      <c r="AG679" s="55"/>
    </row>
    <row r="680" spans="33:33" x14ac:dyDescent="0.3">
      <c r="AG680" s="55"/>
    </row>
    <row r="681" spans="33:33" x14ac:dyDescent="0.3">
      <c r="AG681" s="55"/>
    </row>
    <row r="682" spans="33:33" x14ac:dyDescent="0.3">
      <c r="AG682" s="55"/>
    </row>
    <row r="683" spans="33:33" x14ac:dyDescent="0.3">
      <c r="AG683" s="55"/>
    </row>
    <row r="684" spans="33:33" x14ac:dyDescent="0.3">
      <c r="AG684" s="55"/>
    </row>
    <row r="685" spans="33:33" x14ac:dyDescent="0.3">
      <c r="AG685" s="55"/>
    </row>
    <row r="686" spans="33:33" x14ac:dyDescent="0.3">
      <c r="AG686" s="55"/>
    </row>
    <row r="687" spans="33:33" x14ac:dyDescent="0.3">
      <c r="AG687" s="55"/>
    </row>
    <row r="688" spans="33:33" x14ac:dyDescent="0.3">
      <c r="AG688" s="55"/>
    </row>
    <row r="689" spans="33:33" x14ac:dyDescent="0.3">
      <c r="AG689" s="55"/>
    </row>
    <row r="690" spans="33:33" x14ac:dyDescent="0.3">
      <c r="AG690" s="55"/>
    </row>
    <row r="691" spans="33:33" x14ac:dyDescent="0.3">
      <c r="AG691" s="55"/>
    </row>
    <row r="692" spans="33:33" x14ac:dyDescent="0.3">
      <c r="AG692" s="55"/>
    </row>
    <row r="693" spans="33:33" x14ac:dyDescent="0.3">
      <c r="AG693" s="55"/>
    </row>
    <row r="694" spans="33:33" x14ac:dyDescent="0.3">
      <c r="AG694" s="55"/>
    </row>
    <row r="695" spans="33:33" x14ac:dyDescent="0.3">
      <c r="AG695" s="55"/>
    </row>
    <row r="696" spans="33:33" x14ac:dyDescent="0.3">
      <c r="AG696" s="55"/>
    </row>
    <row r="697" spans="33:33" x14ac:dyDescent="0.3">
      <c r="AG697" s="55"/>
    </row>
    <row r="698" spans="33:33" x14ac:dyDescent="0.3">
      <c r="AG698" s="55"/>
    </row>
    <row r="699" spans="33:33" x14ac:dyDescent="0.3">
      <c r="AG699" s="55"/>
    </row>
    <row r="700" spans="33:33" x14ac:dyDescent="0.3">
      <c r="AG700" s="55"/>
    </row>
    <row r="701" spans="33:33" x14ac:dyDescent="0.3">
      <c r="AG701" s="55"/>
    </row>
    <row r="702" spans="33:33" x14ac:dyDescent="0.3">
      <c r="AG702" s="55"/>
    </row>
    <row r="703" spans="33:33" x14ac:dyDescent="0.3">
      <c r="AG703" s="55"/>
    </row>
    <row r="704" spans="33:33" x14ac:dyDescent="0.3">
      <c r="AG704" s="55"/>
    </row>
    <row r="705" spans="33:33" x14ac:dyDescent="0.3">
      <c r="AG705" s="55"/>
    </row>
    <row r="706" spans="33:33" x14ac:dyDescent="0.3">
      <c r="AG706" s="55"/>
    </row>
    <row r="707" spans="33:33" x14ac:dyDescent="0.3">
      <c r="AG707" s="55"/>
    </row>
    <row r="708" spans="33:33" x14ac:dyDescent="0.3">
      <c r="AG708" s="55"/>
    </row>
    <row r="709" spans="33:33" x14ac:dyDescent="0.3">
      <c r="AG709" s="55"/>
    </row>
    <row r="710" spans="33:33" x14ac:dyDescent="0.3">
      <c r="AG710" s="55"/>
    </row>
    <row r="711" spans="33:33" x14ac:dyDescent="0.3">
      <c r="AG711" s="55"/>
    </row>
    <row r="712" spans="33:33" x14ac:dyDescent="0.3">
      <c r="AG712" s="55"/>
    </row>
    <row r="713" spans="33:33" x14ac:dyDescent="0.3">
      <c r="AG713" s="55"/>
    </row>
    <row r="714" spans="33:33" x14ac:dyDescent="0.3">
      <c r="AG714" s="55"/>
    </row>
    <row r="715" spans="33:33" x14ac:dyDescent="0.3">
      <c r="AG715" s="55"/>
    </row>
    <row r="716" spans="33:33" x14ac:dyDescent="0.3">
      <c r="AG716" s="55"/>
    </row>
    <row r="717" spans="33:33" x14ac:dyDescent="0.3">
      <c r="AG717" s="55"/>
    </row>
    <row r="718" spans="33:33" x14ac:dyDescent="0.3">
      <c r="AG718" s="55"/>
    </row>
    <row r="719" spans="33:33" x14ac:dyDescent="0.3">
      <c r="AG719" s="55"/>
    </row>
    <row r="720" spans="33:33" x14ac:dyDescent="0.3">
      <c r="AG720" s="55"/>
    </row>
    <row r="721" spans="33:33" x14ac:dyDescent="0.3">
      <c r="AG721" s="55"/>
    </row>
    <row r="722" spans="33:33" x14ac:dyDescent="0.3">
      <c r="AG722" s="55"/>
    </row>
    <row r="723" spans="33:33" x14ac:dyDescent="0.3">
      <c r="AG723" s="55"/>
    </row>
    <row r="724" spans="33:33" x14ac:dyDescent="0.3">
      <c r="AG724" s="55"/>
    </row>
    <row r="725" spans="33:33" x14ac:dyDescent="0.3">
      <c r="AG725" s="55"/>
    </row>
    <row r="726" spans="33:33" x14ac:dyDescent="0.3">
      <c r="AG726" s="55"/>
    </row>
    <row r="727" spans="33:33" x14ac:dyDescent="0.3">
      <c r="AG727" s="55"/>
    </row>
    <row r="728" spans="33:33" x14ac:dyDescent="0.3">
      <c r="AG728" s="55"/>
    </row>
    <row r="729" spans="33:33" x14ac:dyDescent="0.3">
      <c r="AG729" s="55"/>
    </row>
    <row r="730" spans="33:33" x14ac:dyDescent="0.3">
      <c r="AG730" s="55"/>
    </row>
    <row r="731" spans="33:33" x14ac:dyDescent="0.3">
      <c r="AG731" s="55"/>
    </row>
    <row r="732" spans="33:33" x14ac:dyDescent="0.3">
      <c r="AG732" s="55"/>
    </row>
    <row r="733" spans="33:33" x14ac:dyDescent="0.3">
      <c r="AG733" s="55"/>
    </row>
    <row r="734" spans="33:33" x14ac:dyDescent="0.3">
      <c r="AG734" s="55"/>
    </row>
    <row r="735" spans="33:33" x14ac:dyDescent="0.3">
      <c r="AG735" s="55"/>
    </row>
    <row r="736" spans="33:33" x14ac:dyDescent="0.3">
      <c r="AG736" s="55"/>
    </row>
    <row r="737" spans="33:33" x14ac:dyDescent="0.3">
      <c r="AG737" s="55"/>
    </row>
    <row r="738" spans="33:33" x14ac:dyDescent="0.3">
      <c r="AG738" s="55"/>
    </row>
    <row r="739" spans="33:33" x14ac:dyDescent="0.3">
      <c r="AG739" s="55"/>
    </row>
    <row r="740" spans="33:33" x14ac:dyDescent="0.3">
      <c r="AG740" s="55"/>
    </row>
    <row r="741" spans="33:33" x14ac:dyDescent="0.3">
      <c r="AG741" s="55"/>
    </row>
    <row r="742" spans="33:33" x14ac:dyDescent="0.3">
      <c r="AG742" s="55"/>
    </row>
    <row r="743" spans="33:33" x14ac:dyDescent="0.3">
      <c r="AG743" s="55"/>
    </row>
    <row r="744" spans="33:33" x14ac:dyDescent="0.3">
      <c r="AG744" s="55"/>
    </row>
    <row r="745" spans="33:33" x14ac:dyDescent="0.3">
      <c r="AG745" s="55"/>
    </row>
    <row r="746" spans="33:33" x14ac:dyDescent="0.3">
      <c r="AG746" s="55"/>
    </row>
    <row r="747" spans="33:33" x14ac:dyDescent="0.3">
      <c r="AG747" s="55"/>
    </row>
    <row r="748" spans="33:33" x14ac:dyDescent="0.3">
      <c r="AG748" s="55"/>
    </row>
    <row r="749" spans="33:33" x14ac:dyDescent="0.3">
      <c r="AG749" s="55"/>
    </row>
    <row r="750" spans="33:33" x14ac:dyDescent="0.3">
      <c r="AG750" s="55"/>
    </row>
    <row r="751" spans="33:33" x14ac:dyDescent="0.3">
      <c r="AG751" s="55"/>
    </row>
    <row r="752" spans="33:33" x14ac:dyDescent="0.3">
      <c r="AG752" s="55"/>
    </row>
    <row r="753" spans="33:33" x14ac:dyDescent="0.3">
      <c r="AG753" s="55"/>
    </row>
    <row r="754" spans="33:33" x14ac:dyDescent="0.3">
      <c r="AG754" s="55"/>
    </row>
    <row r="755" spans="33:33" x14ac:dyDescent="0.3">
      <c r="AG755" s="55"/>
    </row>
    <row r="756" spans="33:33" x14ac:dyDescent="0.3">
      <c r="AG756" s="55"/>
    </row>
    <row r="757" spans="33:33" x14ac:dyDescent="0.3">
      <c r="AG757" s="55"/>
    </row>
    <row r="758" spans="33:33" x14ac:dyDescent="0.3">
      <c r="AG758" s="55"/>
    </row>
    <row r="759" spans="33:33" x14ac:dyDescent="0.3">
      <c r="AG759" s="55"/>
    </row>
    <row r="760" spans="33:33" x14ac:dyDescent="0.3">
      <c r="AG760" s="55"/>
    </row>
    <row r="761" spans="33:33" x14ac:dyDescent="0.3">
      <c r="AG761" s="55"/>
    </row>
    <row r="762" spans="33:33" x14ac:dyDescent="0.3">
      <c r="AG762" s="55"/>
    </row>
    <row r="763" spans="33:33" x14ac:dyDescent="0.3">
      <c r="AG763" s="55"/>
    </row>
    <row r="764" spans="33:33" x14ac:dyDescent="0.3">
      <c r="AG764" s="55"/>
    </row>
    <row r="765" spans="33:33" x14ac:dyDescent="0.3">
      <c r="AG765" s="55"/>
    </row>
    <row r="766" spans="33:33" x14ac:dyDescent="0.3">
      <c r="AG766" s="55"/>
    </row>
    <row r="767" spans="33:33" x14ac:dyDescent="0.3">
      <c r="AG767" s="55"/>
    </row>
    <row r="768" spans="33:33" x14ac:dyDescent="0.3">
      <c r="AG768" s="55"/>
    </row>
    <row r="769" spans="33:33" x14ac:dyDescent="0.3">
      <c r="AG769" s="55"/>
    </row>
    <row r="770" spans="33:33" x14ac:dyDescent="0.3">
      <c r="AG770" s="55"/>
    </row>
    <row r="771" spans="33:33" x14ac:dyDescent="0.3">
      <c r="AG771" s="55"/>
    </row>
    <row r="772" spans="33:33" x14ac:dyDescent="0.3">
      <c r="AG772" s="55"/>
    </row>
    <row r="773" spans="33:33" x14ac:dyDescent="0.3">
      <c r="AG773" s="55"/>
    </row>
    <row r="774" spans="33:33" x14ac:dyDescent="0.3">
      <c r="AG774" s="55"/>
    </row>
    <row r="775" spans="33:33" x14ac:dyDescent="0.3">
      <c r="AG775" s="55"/>
    </row>
    <row r="776" spans="33:33" x14ac:dyDescent="0.3">
      <c r="AG776" s="55"/>
    </row>
    <row r="777" spans="33:33" x14ac:dyDescent="0.3">
      <c r="AG777" s="55"/>
    </row>
    <row r="778" spans="33:33" x14ac:dyDescent="0.3">
      <c r="AG778" s="55"/>
    </row>
    <row r="779" spans="33:33" x14ac:dyDescent="0.3">
      <c r="AG779" s="55"/>
    </row>
    <row r="780" spans="33:33" x14ac:dyDescent="0.3">
      <c r="AG780" s="55"/>
    </row>
    <row r="781" spans="33:33" x14ac:dyDescent="0.3">
      <c r="AG781" s="55"/>
    </row>
    <row r="782" spans="33:33" x14ac:dyDescent="0.3">
      <c r="AG782" s="55"/>
    </row>
    <row r="783" spans="33:33" x14ac:dyDescent="0.3">
      <c r="AG783" s="55"/>
    </row>
    <row r="784" spans="33:33" x14ac:dyDescent="0.3">
      <c r="AG784" s="55"/>
    </row>
    <row r="785" spans="33:33" x14ac:dyDescent="0.3">
      <c r="AG785" s="55"/>
    </row>
    <row r="786" spans="33:33" x14ac:dyDescent="0.3">
      <c r="AG786" s="55"/>
    </row>
    <row r="787" spans="33:33" x14ac:dyDescent="0.3">
      <c r="AG787" s="55"/>
    </row>
    <row r="788" spans="33:33" x14ac:dyDescent="0.3">
      <c r="AG788" s="55"/>
    </row>
    <row r="789" spans="33:33" x14ac:dyDescent="0.3">
      <c r="AG789" s="55"/>
    </row>
    <row r="790" spans="33:33" x14ac:dyDescent="0.3">
      <c r="AG790" s="55"/>
    </row>
    <row r="791" spans="33:33" x14ac:dyDescent="0.3">
      <c r="AG791" s="55"/>
    </row>
    <row r="792" spans="33:33" x14ac:dyDescent="0.3">
      <c r="AG792" s="55"/>
    </row>
    <row r="793" spans="33:33" x14ac:dyDescent="0.3">
      <c r="AG793" s="55"/>
    </row>
    <row r="794" spans="33:33" x14ac:dyDescent="0.3">
      <c r="AG794" s="55"/>
    </row>
    <row r="795" spans="33:33" x14ac:dyDescent="0.3">
      <c r="AG795" s="55"/>
    </row>
    <row r="796" spans="33:33" x14ac:dyDescent="0.3">
      <c r="AG796" s="55"/>
    </row>
    <row r="797" spans="33:33" x14ac:dyDescent="0.3">
      <c r="AG797" s="55"/>
    </row>
    <row r="798" spans="33:33" x14ac:dyDescent="0.3">
      <c r="AG798" s="55"/>
    </row>
    <row r="799" spans="33:33" x14ac:dyDescent="0.3">
      <c r="AG799" s="55"/>
    </row>
    <row r="800" spans="33:33" x14ac:dyDescent="0.3">
      <c r="AG800" s="55"/>
    </row>
    <row r="801" spans="33:33" x14ac:dyDescent="0.3">
      <c r="AG801" s="55"/>
    </row>
    <row r="802" spans="33:33" x14ac:dyDescent="0.3">
      <c r="AG802" s="55"/>
    </row>
    <row r="803" spans="33:33" x14ac:dyDescent="0.3">
      <c r="AG803" s="55"/>
    </row>
    <row r="804" spans="33:33" x14ac:dyDescent="0.3">
      <c r="AG804" s="55"/>
    </row>
    <row r="805" spans="33:33" x14ac:dyDescent="0.3">
      <c r="AG805" s="55"/>
    </row>
    <row r="806" spans="33:33" x14ac:dyDescent="0.3">
      <c r="AG806" s="55"/>
    </row>
    <row r="807" spans="33:33" x14ac:dyDescent="0.3">
      <c r="AG807" s="55"/>
    </row>
    <row r="808" spans="33:33" x14ac:dyDescent="0.3">
      <c r="AG808" s="55"/>
    </row>
    <row r="809" spans="33:33" x14ac:dyDescent="0.3">
      <c r="AG809" s="55"/>
    </row>
    <row r="810" spans="33:33" x14ac:dyDescent="0.3">
      <c r="AG810" s="55"/>
    </row>
    <row r="811" spans="33:33" x14ac:dyDescent="0.3">
      <c r="AG811" s="55"/>
    </row>
    <row r="812" spans="33:33" x14ac:dyDescent="0.3">
      <c r="AG812" s="55"/>
    </row>
    <row r="813" spans="33:33" x14ac:dyDescent="0.3">
      <c r="AG813" s="55"/>
    </row>
    <row r="814" spans="33:33" x14ac:dyDescent="0.3">
      <c r="AG814" s="55"/>
    </row>
    <row r="815" spans="33:33" x14ac:dyDescent="0.3">
      <c r="AG815" s="55"/>
    </row>
    <row r="816" spans="33:33" x14ac:dyDescent="0.3">
      <c r="AG816" s="55"/>
    </row>
    <row r="817" spans="33:33" x14ac:dyDescent="0.3">
      <c r="AG817" s="55"/>
    </row>
    <row r="818" spans="33:33" x14ac:dyDescent="0.3">
      <c r="AG818" s="55"/>
    </row>
  </sheetData>
  <autoFilter ref="A1:FY403" xr:uid="{474AD403-EF2D-43B1-9CB9-F905CE22B35C}"/>
  <conditionalFormatting sqref="E2:E9 E11:E13 E15:E16 E18:E34 E36:E44 E46 E48 E53:E54 E56:E59 E62:E64 E66:E73 E75:E87 E89:E101 E103:E106 E109 E111:E119 E121:E122 E124:E144 E150:E154 E156 E193:E196 E202:E204 E336">
    <cfRule type="expression" dxfId="11" priority="64" stopIfTrue="1">
      <formula>AND(COUNTIF($E$202:$E$204, E2)+COUNTIF($E$193:$E$196, E2)+COUNTIF($E$109:$E$109, E2)+COUNTIF($E$150:$E$154, E2)+COUNTIF($E$46:$E$46, E2)+COUNTIF($E$156:$E$156, E2)+COUNTIF($E$121:$E$122, E2)+COUNTIF($E$111:$E$119, E2)+COUNTIF($E$336:$E$336, E2)+COUNTIF($E$11:$E$13, E2)+COUNTIF($E$53:$E$54, E2)+COUNTIF($E$56:$E$59, E2)+COUNTIF($E$15:$E$16, E2)+COUNTIF($E$2:$E$9, E2)+COUNTIF($E$62:$E$64, E2)+COUNTIF($E$75:$E$87, E2)+COUNTIF($E$89:$E$101, E2)+COUNTIF($E$103:$E$106, E2)+COUNTIF($E$48:$E$48, E2)+COUNTIF($E$36:$E$44, E2)+COUNTIF($E$124:$E$144, E2)+COUNTIF($E$18:$E$34, E2)+COUNTIF($E$66:$E$73, E2)&gt;1,NOT(ISBLANK(E2)))</formula>
    </cfRule>
  </conditionalFormatting>
  <conditionalFormatting sqref="E47">
    <cfRule type="duplicateValues" dxfId="10" priority="4" stopIfTrue="1"/>
  </conditionalFormatting>
  <conditionalFormatting sqref="E49:E50 E52">
    <cfRule type="expression" dxfId="9" priority="66" stopIfTrue="1">
      <formula>AND(COUNTIF($E$52:$E$52, E49)+COUNTIF($E$49:$E$50, E49)&gt;1,NOT(ISBLANK(E49)))</formula>
    </cfRule>
  </conditionalFormatting>
  <conditionalFormatting sqref="E55">
    <cfRule type="duplicateValues" dxfId="8" priority="6" stopIfTrue="1"/>
  </conditionalFormatting>
  <conditionalFormatting sqref="E60">
    <cfRule type="duplicateValues" dxfId="7" priority="1" stopIfTrue="1"/>
  </conditionalFormatting>
  <conditionalFormatting sqref="E74">
    <cfRule type="duplicateValues" dxfId="6" priority="31" stopIfTrue="1"/>
  </conditionalFormatting>
  <conditionalFormatting sqref="E120">
    <cfRule type="duplicateValues" dxfId="5" priority="61" stopIfTrue="1"/>
  </conditionalFormatting>
  <conditionalFormatting sqref="E273">
    <cfRule type="duplicateValues" dxfId="4" priority="2" stopIfTrue="1"/>
  </conditionalFormatting>
  <pageMargins left="0.54" right="0.2" top="0.33" bottom="0.31" header="0.2" footer="0.2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D6E8-3D6B-4ADD-B305-2493AEF90A6A}">
  <dimension ref="A2:F27"/>
  <sheetViews>
    <sheetView workbookViewId="0">
      <selection activeCell="F12" sqref="F12"/>
    </sheetView>
  </sheetViews>
  <sheetFormatPr defaultColWidth="25.36328125" defaultRowHeight="18" x14ac:dyDescent="0.35"/>
  <cols>
    <col min="1" max="1" width="4.6328125" style="12" customWidth="1"/>
    <col min="2" max="2" width="22.54296875" style="12" customWidth="1"/>
    <col min="3" max="3" width="13.54296875" style="12" customWidth="1"/>
    <col min="4" max="4" width="23.36328125" style="12" customWidth="1"/>
    <col min="5" max="5" width="36.6328125" style="12" customWidth="1"/>
    <col min="6" max="16384" width="25.36328125" style="12"/>
  </cols>
  <sheetData>
    <row r="2" spans="1:6" ht="19.5" customHeight="1" x14ac:dyDescent="0.35">
      <c r="A2" s="383" t="s">
        <v>3483</v>
      </c>
      <c r="B2" s="383"/>
      <c r="C2" s="383"/>
      <c r="D2" s="383"/>
      <c r="E2" s="383"/>
    </row>
    <row r="3" spans="1:6" ht="19.5" customHeight="1" x14ac:dyDescent="0.35">
      <c r="A3" s="39" t="s">
        <v>1513</v>
      </c>
      <c r="B3" s="40" t="s">
        <v>3337</v>
      </c>
      <c r="C3" s="40" t="s">
        <v>3338</v>
      </c>
      <c r="D3" s="40" t="s">
        <v>3339</v>
      </c>
      <c r="E3" s="40" t="s">
        <v>2107</v>
      </c>
    </row>
    <row r="4" spans="1:6" ht="19.5" customHeight="1" x14ac:dyDescent="0.35">
      <c r="A4" s="13">
        <v>1</v>
      </c>
      <c r="B4" s="20" t="s">
        <v>3366</v>
      </c>
      <c r="C4" s="36">
        <v>45748</v>
      </c>
      <c r="D4" s="21" t="s">
        <v>584</v>
      </c>
      <c r="E4" s="22" t="s">
        <v>3370</v>
      </c>
      <c r="F4" s="11"/>
    </row>
    <row r="5" spans="1:6" ht="19.5" customHeight="1" x14ac:dyDescent="0.35">
      <c r="A5" s="16">
        <v>2</v>
      </c>
      <c r="B5" s="23" t="s">
        <v>3388</v>
      </c>
      <c r="C5" s="37">
        <v>45778</v>
      </c>
      <c r="D5" s="24" t="s">
        <v>584</v>
      </c>
      <c r="E5" s="25" t="s">
        <v>3392</v>
      </c>
      <c r="F5" s="11"/>
    </row>
    <row r="6" spans="1:6" ht="19.5" customHeight="1" x14ac:dyDescent="0.35">
      <c r="A6" s="16">
        <v>3</v>
      </c>
      <c r="B6" s="26" t="s">
        <v>3427</v>
      </c>
      <c r="C6" s="37">
        <v>45839</v>
      </c>
      <c r="D6" s="24" t="s">
        <v>26</v>
      </c>
      <c r="E6" s="25" t="s">
        <v>3403</v>
      </c>
      <c r="F6" s="11"/>
    </row>
    <row r="7" spans="1:6" ht="19.5" customHeight="1" x14ac:dyDescent="0.35">
      <c r="A7" s="16">
        <v>4</v>
      </c>
      <c r="B7" s="23" t="s">
        <v>3372</v>
      </c>
      <c r="C7" s="37">
        <v>45748</v>
      </c>
      <c r="D7" s="27" t="s">
        <v>715</v>
      </c>
      <c r="E7" s="25" t="s">
        <v>3383</v>
      </c>
      <c r="F7" s="11"/>
    </row>
    <row r="8" spans="1:6" ht="19.5" customHeight="1" x14ac:dyDescent="0.35">
      <c r="A8" s="16">
        <v>5</v>
      </c>
      <c r="B8" s="28" t="s">
        <v>3325</v>
      </c>
      <c r="C8" s="37">
        <v>45689</v>
      </c>
      <c r="D8" s="27" t="s">
        <v>716</v>
      </c>
      <c r="E8" s="25" t="s">
        <v>3328</v>
      </c>
      <c r="F8" s="11"/>
    </row>
    <row r="9" spans="1:6" ht="19.5" customHeight="1" x14ac:dyDescent="0.35">
      <c r="A9" s="16">
        <v>6</v>
      </c>
      <c r="B9" s="28" t="s">
        <v>3371</v>
      </c>
      <c r="C9" s="37">
        <v>45748</v>
      </c>
      <c r="D9" s="27" t="s">
        <v>718</v>
      </c>
      <c r="E9" s="25" t="s">
        <v>3379</v>
      </c>
      <c r="F9" s="11"/>
    </row>
    <row r="10" spans="1:6" ht="19.5" customHeight="1" x14ac:dyDescent="0.35">
      <c r="A10" s="16">
        <v>7</v>
      </c>
      <c r="B10" s="23" t="s">
        <v>3320</v>
      </c>
      <c r="C10" s="37">
        <v>45689</v>
      </c>
      <c r="D10" s="29" t="s">
        <v>720</v>
      </c>
      <c r="E10" s="25" t="s">
        <v>3324</v>
      </c>
      <c r="F10" s="11"/>
    </row>
    <row r="11" spans="1:6" ht="19.5" customHeight="1" x14ac:dyDescent="0.35">
      <c r="A11" s="16">
        <v>8</v>
      </c>
      <c r="B11" s="30" t="s">
        <v>3310</v>
      </c>
      <c r="C11" s="37">
        <v>45689</v>
      </c>
      <c r="D11" s="27" t="s">
        <v>731</v>
      </c>
      <c r="E11" s="25" t="s">
        <v>3316</v>
      </c>
      <c r="F11" s="11"/>
    </row>
    <row r="12" spans="1:6" ht="19.5" customHeight="1" x14ac:dyDescent="0.35">
      <c r="A12" s="16">
        <v>9</v>
      </c>
      <c r="B12" s="30" t="s">
        <v>3340</v>
      </c>
      <c r="C12" s="37">
        <v>45717</v>
      </c>
      <c r="D12" s="27" t="s">
        <v>731</v>
      </c>
      <c r="E12" s="25" t="s">
        <v>96</v>
      </c>
      <c r="F12" s="11"/>
    </row>
    <row r="13" spans="1:6" ht="19.5" customHeight="1" x14ac:dyDescent="0.35">
      <c r="A13" s="16">
        <v>10</v>
      </c>
      <c r="B13" s="28" t="s">
        <v>3349</v>
      </c>
      <c r="C13" s="37">
        <v>45717</v>
      </c>
      <c r="D13" s="15" t="s">
        <v>732</v>
      </c>
      <c r="E13" s="31" t="s">
        <v>3025</v>
      </c>
      <c r="F13" s="18"/>
    </row>
    <row r="14" spans="1:6" ht="19.5" customHeight="1" x14ac:dyDescent="0.35">
      <c r="A14" s="16">
        <v>11</v>
      </c>
      <c r="B14" s="28" t="s">
        <v>3415</v>
      </c>
      <c r="C14" s="37">
        <v>45839</v>
      </c>
      <c r="D14" s="15" t="s">
        <v>732</v>
      </c>
      <c r="E14" s="25" t="s">
        <v>3419</v>
      </c>
      <c r="F14" s="18"/>
    </row>
    <row r="15" spans="1:6" ht="19.5" customHeight="1" x14ac:dyDescent="0.35">
      <c r="A15" s="16">
        <v>12</v>
      </c>
      <c r="B15" s="28" t="s">
        <v>3345</v>
      </c>
      <c r="C15" s="37">
        <v>45717</v>
      </c>
      <c r="D15" s="15" t="s">
        <v>721</v>
      </c>
      <c r="E15" s="25" t="s">
        <v>1919</v>
      </c>
      <c r="F15" s="18"/>
    </row>
    <row r="16" spans="1:6" ht="19.5" customHeight="1" x14ac:dyDescent="0.35">
      <c r="A16" s="16">
        <v>13</v>
      </c>
      <c r="B16" s="23" t="s">
        <v>3448</v>
      </c>
      <c r="C16" s="37">
        <v>45839</v>
      </c>
      <c r="D16" s="15" t="s">
        <v>721</v>
      </c>
      <c r="E16" s="25" t="s">
        <v>3412</v>
      </c>
      <c r="F16" s="11"/>
    </row>
    <row r="17" spans="1:6" ht="19.5" customHeight="1" x14ac:dyDescent="0.35">
      <c r="A17" s="16">
        <v>14</v>
      </c>
      <c r="B17" s="28" t="s">
        <v>3405</v>
      </c>
      <c r="C17" s="37">
        <v>45809</v>
      </c>
      <c r="D17" s="27" t="s">
        <v>3298</v>
      </c>
      <c r="E17" s="25" t="s">
        <v>3409</v>
      </c>
      <c r="F17" s="18"/>
    </row>
    <row r="18" spans="1:6" ht="19.5" customHeight="1" x14ac:dyDescent="0.35">
      <c r="A18" s="16">
        <v>15</v>
      </c>
      <c r="B18" s="23" t="s">
        <v>3373</v>
      </c>
      <c r="C18" s="37">
        <v>45748</v>
      </c>
      <c r="D18" s="27" t="s">
        <v>722</v>
      </c>
      <c r="E18" s="25" t="s">
        <v>3375</v>
      </c>
      <c r="F18" s="19"/>
    </row>
    <row r="19" spans="1:6" ht="19.5" customHeight="1" x14ac:dyDescent="0.35">
      <c r="A19" s="16">
        <v>16</v>
      </c>
      <c r="B19" s="23" t="s">
        <v>3420</v>
      </c>
      <c r="C19" s="37">
        <v>45839</v>
      </c>
      <c r="D19" s="27" t="s">
        <v>722</v>
      </c>
      <c r="E19" s="25" t="s">
        <v>3403</v>
      </c>
      <c r="F19" s="11"/>
    </row>
    <row r="20" spans="1:6" ht="19.5" customHeight="1" x14ac:dyDescent="0.35">
      <c r="A20" s="16">
        <v>17</v>
      </c>
      <c r="B20" s="28" t="s">
        <v>3353</v>
      </c>
      <c r="C20" s="37">
        <v>45717</v>
      </c>
      <c r="D20" s="27" t="s">
        <v>724</v>
      </c>
      <c r="E20" s="31" t="s">
        <v>3356</v>
      </c>
      <c r="F20" s="18"/>
    </row>
    <row r="21" spans="1:6" ht="19.5" customHeight="1" x14ac:dyDescent="0.35">
      <c r="A21" s="16">
        <v>18</v>
      </c>
      <c r="B21" s="28" t="s">
        <v>3449</v>
      </c>
      <c r="C21" s="37">
        <v>45778</v>
      </c>
      <c r="D21" s="27" t="s">
        <v>724</v>
      </c>
      <c r="E21" s="25" t="s">
        <v>3397</v>
      </c>
      <c r="F21" s="18"/>
    </row>
    <row r="22" spans="1:6" ht="19.5" customHeight="1" x14ac:dyDescent="0.35">
      <c r="A22" s="16">
        <v>19</v>
      </c>
      <c r="B22" s="28" t="s">
        <v>3460</v>
      </c>
      <c r="C22" s="37">
        <v>45931</v>
      </c>
      <c r="D22" s="27" t="s">
        <v>724</v>
      </c>
      <c r="E22" s="25" t="s">
        <v>3023</v>
      </c>
      <c r="F22" s="18"/>
    </row>
    <row r="23" spans="1:6" ht="19.5" customHeight="1" x14ac:dyDescent="0.35">
      <c r="A23" s="16">
        <v>20</v>
      </c>
      <c r="B23" s="25" t="s">
        <v>3309</v>
      </c>
      <c r="C23" s="37">
        <v>45689</v>
      </c>
      <c r="D23" s="27" t="s">
        <v>728</v>
      </c>
      <c r="E23" s="25" t="s">
        <v>562</v>
      </c>
      <c r="F23" s="11"/>
    </row>
    <row r="24" spans="1:6" ht="19.5" customHeight="1" x14ac:dyDescent="0.35">
      <c r="A24" s="16">
        <v>21</v>
      </c>
      <c r="B24" s="25" t="s">
        <v>3300</v>
      </c>
      <c r="C24" s="37">
        <v>45689</v>
      </c>
      <c r="D24" s="27" t="s">
        <v>2538</v>
      </c>
      <c r="E24" s="25" t="s">
        <v>3319</v>
      </c>
      <c r="F24" s="19"/>
    </row>
    <row r="25" spans="1:6" ht="19.5" customHeight="1" x14ac:dyDescent="0.35">
      <c r="A25" s="16">
        <v>22</v>
      </c>
      <c r="B25" s="25" t="s">
        <v>3424</v>
      </c>
      <c r="C25" s="37">
        <v>45839</v>
      </c>
      <c r="D25" s="27" t="s">
        <v>2538</v>
      </c>
      <c r="E25" s="32" t="s">
        <v>3025</v>
      </c>
      <c r="F25" s="19"/>
    </row>
    <row r="26" spans="1:6" ht="19.5" customHeight="1" x14ac:dyDescent="0.35">
      <c r="A26" s="16">
        <v>23</v>
      </c>
      <c r="B26" s="14" t="s">
        <v>3454</v>
      </c>
      <c r="C26" s="37">
        <v>45901</v>
      </c>
      <c r="D26" s="29" t="s">
        <v>1860</v>
      </c>
      <c r="E26" s="25" t="s">
        <v>3457</v>
      </c>
      <c r="F26" s="11"/>
    </row>
    <row r="27" spans="1:6" ht="19.5" customHeight="1" x14ac:dyDescent="0.35">
      <c r="A27" s="17">
        <v>24</v>
      </c>
      <c r="B27" s="33" t="s">
        <v>3440</v>
      </c>
      <c r="C27" s="38">
        <v>45809</v>
      </c>
      <c r="D27" s="34" t="s">
        <v>729</v>
      </c>
      <c r="E27" s="35" t="s">
        <v>3444</v>
      </c>
      <c r="F27" s="11"/>
    </row>
  </sheetData>
  <mergeCells count="1">
    <mergeCell ref="A2:E2"/>
  </mergeCells>
  <conditionalFormatting sqref="B4 B6 B8:B9 B13:B15">
    <cfRule type="expression" dxfId="3" priority="1" stopIfTrue="1">
      <formula>AND(COUNTIF($B$13:$B$15, B4)+COUNTIF($B$8:$B$9, B4)+COUNTIF($B$6:$B$6, B4)+COUNTIF($B$4:$B$4, B4)&gt;1,NOT(ISBLANK(B4)))</formula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302E-18AA-42AA-918A-1264B8B50602}">
  <dimension ref="A1:G1"/>
  <sheetViews>
    <sheetView workbookViewId="0">
      <selection activeCell="J11" sqref="J11"/>
    </sheetView>
  </sheetViews>
  <sheetFormatPr defaultRowHeight="16.8" x14ac:dyDescent="0.3"/>
  <cols>
    <col min="2" max="2" width="8.36328125" bestFit="1" customWidth="1"/>
    <col min="3" max="3" width="6.54296875" bestFit="1" customWidth="1"/>
    <col min="4" max="4" width="9.1796875" bestFit="1" customWidth="1"/>
    <col min="5" max="5" width="10.08984375" bestFit="1" customWidth="1"/>
    <col min="6" max="6" width="14.54296875" bestFit="1" customWidth="1"/>
    <col min="7" max="7" width="13.08984375" bestFit="1" customWidth="1"/>
  </cols>
  <sheetData>
    <row r="1" spans="1:7" x14ac:dyDescent="0.3">
      <c r="A1" t="s">
        <v>3530</v>
      </c>
      <c r="B1" t="s">
        <v>3524</v>
      </c>
      <c r="C1" t="s">
        <v>3525</v>
      </c>
      <c r="D1" t="s">
        <v>3526</v>
      </c>
      <c r="E1" t="s">
        <v>3527</v>
      </c>
      <c r="F1" t="s">
        <v>3528</v>
      </c>
      <c r="G1" t="s">
        <v>3529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E013-792E-4FF2-A85A-ACDFD1F80AB1}">
  <dimension ref="A1:L34"/>
  <sheetViews>
    <sheetView zoomScale="85" zoomScaleNormal="85" workbookViewId="0">
      <selection activeCell="H34" sqref="H34"/>
    </sheetView>
  </sheetViews>
  <sheetFormatPr defaultRowHeight="16.8" x14ac:dyDescent="0.3"/>
  <cols>
    <col min="1" max="1" width="11.1796875" bestFit="1" customWidth="1"/>
    <col min="2" max="2" width="9.1796875" bestFit="1" customWidth="1"/>
    <col min="3" max="3" width="17.81640625" bestFit="1" customWidth="1"/>
    <col min="6" max="6" width="11.1796875" bestFit="1" customWidth="1"/>
    <col min="7" max="7" width="5.6328125" bestFit="1" customWidth="1"/>
    <col min="8" max="8" width="18.81640625" bestFit="1" customWidth="1"/>
    <col min="10" max="10" width="11.1796875" bestFit="1" customWidth="1"/>
    <col min="11" max="11" width="15.08984375" bestFit="1" customWidth="1"/>
    <col min="12" max="12" width="21.36328125" bestFit="1" customWidth="1"/>
  </cols>
  <sheetData>
    <row r="1" spans="1:12" ht="17.399999999999999" x14ac:dyDescent="0.3">
      <c r="A1" s="307" t="s">
        <v>3531</v>
      </c>
      <c r="B1" s="308" t="s">
        <v>3532</v>
      </c>
      <c r="C1" s="307" t="s">
        <v>3533</v>
      </c>
      <c r="F1" s="307" t="s">
        <v>3531</v>
      </c>
      <c r="G1" s="308" t="s">
        <v>3544</v>
      </c>
      <c r="H1" s="307" t="s">
        <v>3545</v>
      </c>
      <c r="J1" s="307" t="s">
        <v>3531</v>
      </c>
      <c r="K1" s="308" t="s">
        <v>3551</v>
      </c>
      <c r="L1" s="307" t="s">
        <v>3552</v>
      </c>
    </row>
    <row r="2" spans="1:12" x14ac:dyDescent="0.3">
      <c r="A2" s="290"/>
      <c r="B2" s="310" t="s">
        <v>3534</v>
      </c>
      <c r="C2" s="291" t="s">
        <v>3535</v>
      </c>
      <c r="G2" s="310" t="s">
        <v>3534</v>
      </c>
      <c r="H2" s="310" t="s">
        <v>3535</v>
      </c>
      <c r="K2" s="310" t="s">
        <v>3534</v>
      </c>
      <c r="L2" s="291" t="s">
        <v>3535</v>
      </c>
    </row>
    <row r="3" spans="1:12" x14ac:dyDescent="0.3">
      <c r="A3" s="290"/>
      <c r="B3" s="309">
        <v>1</v>
      </c>
      <c r="C3" s="290" t="s">
        <v>42</v>
      </c>
      <c r="G3" s="309">
        <v>1</v>
      </c>
      <c r="H3" s="311" t="s">
        <v>73</v>
      </c>
      <c r="K3" s="309">
        <v>1</v>
      </c>
      <c r="L3" s="290" t="s">
        <v>3553</v>
      </c>
    </row>
    <row r="4" spans="1:12" x14ac:dyDescent="0.3">
      <c r="A4" s="290"/>
      <c r="B4" s="309">
        <v>2</v>
      </c>
      <c r="C4" s="290" t="s">
        <v>41</v>
      </c>
      <c r="G4" s="309">
        <v>2</v>
      </c>
      <c r="H4" s="311" t="s">
        <v>72</v>
      </c>
      <c r="K4" s="309">
        <v>2</v>
      </c>
      <c r="L4" s="290" t="s">
        <v>3554</v>
      </c>
    </row>
    <row r="5" spans="1:12" x14ac:dyDescent="0.3">
      <c r="A5" s="290"/>
      <c r="B5" s="309">
        <v>3</v>
      </c>
      <c r="C5" s="290" t="s">
        <v>43</v>
      </c>
      <c r="G5" s="309">
        <v>3</v>
      </c>
      <c r="H5" s="311" t="s">
        <v>71</v>
      </c>
      <c r="K5" s="309">
        <v>3</v>
      </c>
      <c r="L5" s="290" t="s">
        <v>3555</v>
      </c>
    </row>
    <row r="6" spans="1:12" x14ac:dyDescent="0.3">
      <c r="A6" s="290"/>
      <c r="B6" s="309">
        <v>4</v>
      </c>
      <c r="C6" s="290" t="s">
        <v>1837</v>
      </c>
      <c r="G6" s="309">
        <v>4</v>
      </c>
      <c r="H6" s="311" t="s">
        <v>76</v>
      </c>
      <c r="K6" s="309">
        <v>4</v>
      </c>
      <c r="L6" s="290" t="s">
        <v>3556</v>
      </c>
    </row>
    <row r="7" spans="1:12" x14ac:dyDescent="0.3">
      <c r="A7" s="290"/>
      <c r="B7" s="309">
        <v>5</v>
      </c>
      <c r="C7" s="290" t="s">
        <v>1838</v>
      </c>
      <c r="G7" s="309">
        <v>5</v>
      </c>
      <c r="H7" s="311" t="s">
        <v>74</v>
      </c>
      <c r="K7" s="309">
        <v>5</v>
      </c>
      <c r="L7" s="290" t="s">
        <v>3557</v>
      </c>
    </row>
    <row r="8" spans="1:12" x14ac:dyDescent="0.3">
      <c r="A8" s="290"/>
      <c r="B8" s="309">
        <v>6</v>
      </c>
      <c r="C8" s="290" t="s">
        <v>287</v>
      </c>
      <c r="G8" s="309">
        <v>6</v>
      </c>
      <c r="H8" s="311" t="s">
        <v>2527</v>
      </c>
      <c r="K8" s="309">
        <v>6</v>
      </c>
      <c r="L8" s="290" t="s">
        <v>3558</v>
      </c>
    </row>
    <row r="9" spans="1:12" x14ac:dyDescent="0.3">
      <c r="G9" s="309">
        <v>7</v>
      </c>
      <c r="H9" s="311" t="s">
        <v>3241</v>
      </c>
    </row>
    <row r="10" spans="1:12" ht="17.399999999999999" x14ac:dyDescent="0.3">
      <c r="A10" s="307" t="s">
        <v>3531</v>
      </c>
      <c r="B10" s="308" t="s">
        <v>3536</v>
      </c>
      <c r="C10" s="307" t="s">
        <v>3537</v>
      </c>
      <c r="G10" s="309">
        <v>8</v>
      </c>
      <c r="H10" s="311" t="s">
        <v>3546</v>
      </c>
      <c r="J10" s="307" t="s">
        <v>3531</v>
      </c>
      <c r="K10" s="308" t="s">
        <v>3559</v>
      </c>
      <c r="L10" s="307" t="s">
        <v>3560</v>
      </c>
    </row>
    <row r="11" spans="1:12" x14ac:dyDescent="0.3">
      <c r="A11" s="290"/>
      <c r="B11" s="310" t="s">
        <v>3534</v>
      </c>
      <c r="C11" s="291" t="s">
        <v>3535</v>
      </c>
      <c r="G11" s="309">
        <v>9</v>
      </c>
      <c r="H11" s="311" t="s">
        <v>75</v>
      </c>
      <c r="K11" s="312" t="s">
        <v>3534</v>
      </c>
      <c r="L11" s="291" t="s">
        <v>3535</v>
      </c>
    </row>
    <row r="12" spans="1:12" x14ac:dyDescent="0.3">
      <c r="A12" s="290"/>
      <c r="B12" s="309">
        <v>1</v>
      </c>
      <c r="C12" s="290" t="s">
        <v>3538</v>
      </c>
      <c r="G12" s="309">
        <v>10</v>
      </c>
      <c r="H12" s="311" t="s">
        <v>3547</v>
      </c>
      <c r="K12" s="313">
        <v>1</v>
      </c>
      <c r="L12" s="290" t="s">
        <v>2021</v>
      </c>
    </row>
    <row r="13" spans="1:12" x14ac:dyDescent="0.3">
      <c r="A13" s="290"/>
      <c r="B13" s="309">
        <v>2</v>
      </c>
      <c r="C13" s="290" t="s">
        <v>83</v>
      </c>
      <c r="G13" s="309">
        <v>11</v>
      </c>
      <c r="H13" s="311" t="s">
        <v>3548</v>
      </c>
      <c r="K13" s="313">
        <v>2</v>
      </c>
      <c r="L13" s="290" t="s">
        <v>30</v>
      </c>
    </row>
    <row r="14" spans="1:12" x14ac:dyDescent="0.3">
      <c r="A14" s="290"/>
      <c r="B14" s="309">
        <v>3</v>
      </c>
      <c r="C14" s="290" t="s">
        <v>85</v>
      </c>
      <c r="G14" s="309">
        <v>12</v>
      </c>
      <c r="H14" s="311" t="s">
        <v>3549</v>
      </c>
      <c r="K14" s="313">
        <v>3</v>
      </c>
      <c r="L14" s="290" t="s">
        <v>3496</v>
      </c>
    </row>
    <row r="15" spans="1:12" x14ac:dyDescent="0.3">
      <c r="A15" s="290"/>
      <c r="B15" s="309">
        <v>4</v>
      </c>
      <c r="C15" s="290" t="s">
        <v>86</v>
      </c>
      <c r="G15" s="309">
        <v>13</v>
      </c>
      <c r="H15" s="311" t="s">
        <v>3550</v>
      </c>
      <c r="K15" s="313">
        <v>4</v>
      </c>
      <c r="L15" s="290" t="s">
        <v>32</v>
      </c>
    </row>
    <row r="16" spans="1:12" x14ac:dyDescent="0.3">
      <c r="A16" s="290"/>
      <c r="B16" s="309">
        <v>5</v>
      </c>
      <c r="C16" s="290" t="s">
        <v>87</v>
      </c>
      <c r="G16" s="309">
        <v>14</v>
      </c>
      <c r="H16" s="311" t="s">
        <v>3302</v>
      </c>
      <c r="K16" s="313">
        <v>5</v>
      </c>
      <c r="L16" s="290" t="s">
        <v>35</v>
      </c>
    </row>
    <row r="17" spans="1:12" x14ac:dyDescent="0.3">
      <c r="A17" s="290"/>
      <c r="B17" s="309">
        <v>6</v>
      </c>
      <c r="C17" s="290" t="s">
        <v>3539</v>
      </c>
      <c r="G17" s="309">
        <v>15</v>
      </c>
      <c r="H17" s="311" t="s">
        <v>77</v>
      </c>
      <c r="K17" s="313">
        <v>6</v>
      </c>
      <c r="L17" s="290" t="s">
        <v>33</v>
      </c>
    </row>
    <row r="18" spans="1:12" x14ac:dyDescent="0.3">
      <c r="G18" s="309">
        <v>16</v>
      </c>
      <c r="H18" s="311" t="s">
        <v>3242</v>
      </c>
      <c r="K18" s="313">
        <v>7</v>
      </c>
      <c r="L18" s="290" t="s">
        <v>34</v>
      </c>
    </row>
    <row r="19" spans="1:12" ht="17.399999999999999" x14ac:dyDescent="0.3">
      <c r="A19" s="307" t="s">
        <v>3531</v>
      </c>
      <c r="B19" s="308" t="s">
        <v>3540</v>
      </c>
      <c r="C19" s="307" t="s">
        <v>3541</v>
      </c>
      <c r="G19" s="309">
        <v>17</v>
      </c>
      <c r="H19" s="311" t="s">
        <v>70</v>
      </c>
      <c r="K19" s="313">
        <v>8</v>
      </c>
      <c r="L19" s="290" t="s">
        <v>36</v>
      </c>
    </row>
    <row r="20" spans="1:12" x14ac:dyDescent="0.3">
      <c r="B20" s="310" t="s">
        <v>3534</v>
      </c>
      <c r="C20" s="291" t="s">
        <v>3535</v>
      </c>
      <c r="K20" s="313">
        <v>9</v>
      </c>
      <c r="L20" s="290" t="s">
        <v>3439</v>
      </c>
    </row>
    <row r="21" spans="1:12" x14ac:dyDescent="0.3">
      <c r="B21" s="309">
        <v>1</v>
      </c>
      <c r="C21" s="290" t="s">
        <v>3542</v>
      </c>
      <c r="K21" s="313">
        <v>10</v>
      </c>
      <c r="L21" s="290" t="s">
        <v>38</v>
      </c>
    </row>
    <row r="22" spans="1:12" x14ac:dyDescent="0.3">
      <c r="B22" s="309">
        <v>2</v>
      </c>
      <c r="C22" s="290" t="s">
        <v>3543</v>
      </c>
      <c r="K22" s="313">
        <v>11</v>
      </c>
      <c r="L22" s="290" t="s">
        <v>3485</v>
      </c>
    </row>
    <row r="23" spans="1:12" x14ac:dyDescent="0.3">
      <c r="K23" s="313">
        <v>12</v>
      </c>
      <c r="L23" s="290" t="s">
        <v>281</v>
      </c>
    </row>
    <row r="24" spans="1:12" x14ac:dyDescent="0.3">
      <c r="K24" s="313">
        <v>13</v>
      </c>
      <c r="L24" s="290" t="s">
        <v>3312</v>
      </c>
    </row>
    <row r="25" spans="1:12" x14ac:dyDescent="0.3">
      <c r="K25" s="313">
        <v>16</v>
      </c>
      <c r="L25" s="290" t="s">
        <v>3313</v>
      </c>
    </row>
    <row r="26" spans="1:12" x14ac:dyDescent="0.3">
      <c r="K26" s="313">
        <v>17</v>
      </c>
      <c r="L26" s="290" t="s">
        <v>278</v>
      </c>
    </row>
    <row r="27" spans="1:12" x14ac:dyDescent="0.3">
      <c r="K27" s="313">
        <v>18</v>
      </c>
      <c r="L27" s="290" t="s">
        <v>279</v>
      </c>
    </row>
    <row r="28" spans="1:12" x14ac:dyDescent="0.3">
      <c r="K28" s="313">
        <v>19</v>
      </c>
      <c r="L28" s="290" t="s">
        <v>280</v>
      </c>
    </row>
    <row r="29" spans="1:12" x14ac:dyDescent="0.3">
      <c r="K29" s="313">
        <v>20</v>
      </c>
      <c r="L29" s="290" t="s">
        <v>283</v>
      </c>
    </row>
    <row r="30" spans="1:12" x14ac:dyDescent="0.3">
      <c r="K30" s="313">
        <v>21</v>
      </c>
      <c r="L30" s="290" t="s">
        <v>3245</v>
      </c>
    </row>
    <row r="31" spans="1:12" x14ac:dyDescent="0.3">
      <c r="K31" s="313">
        <v>22</v>
      </c>
      <c r="L31" s="290" t="s">
        <v>285</v>
      </c>
    </row>
    <row r="32" spans="1:12" x14ac:dyDescent="0.3">
      <c r="K32" s="313">
        <v>23</v>
      </c>
      <c r="L32" s="290" t="s">
        <v>284</v>
      </c>
    </row>
    <row r="33" spans="11:12" x14ac:dyDescent="0.3">
      <c r="K33" s="313">
        <v>24</v>
      </c>
      <c r="L33" s="290" t="s">
        <v>3183</v>
      </c>
    </row>
    <row r="34" spans="11:12" x14ac:dyDescent="0.3">
      <c r="K34" s="313">
        <v>25</v>
      </c>
      <c r="L34" s="290" t="s">
        <v>3466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84F6-45C9-4C4C-AE37-E0175A92DF99}">
  <dimension ref="C4:K32"/>
  <sheetViews>
    <sheetView zoomScale="130" zoomScaleNormal="130" workbookViewId="0">
      <selection activeCell="H33" sqref="H33"/>
    </sheetView>
  </sheetViews>
  <sheetFormatPr defaultRowHeight="16.8" x14ac:dyDescent="0.3"/>
  <sheetData>
    <row r="4" spans="3:11" ht="17.399999999999999" thickBot="1" x14ac:dyDescent="0.35"/>
    <row r="5" spans="3:11" ht="17.399999999999999" thickBot="1" x14ac:dyDescent="0.35">
      <c r="C5" s="292" t="s">
        <v>3497</v>
      </c>
      <c r="D5" s="293"/>
      <c r="E5" s="294" t="s">
        <v>3498</v>
      </c>
      <c r="F5" s="293"/>
      <c r="G5" s="293"/>
      <c r="H5" s="293"/>
      <c r="I5" s="293"/>
      <c r="J5" s="293"/>
      <c r="K5" s="293"/>
    </row>
    <row r="6" spans="3:11" ht="17.399999999999999" thickBot="1" x14ac:dyDescent="0.35">
      <c r="C6" s="293"/>
      <c r="D6" s="295"/>
      <c r="E6" s="295"/>
      <c r="F6" s="295"/>
      <c r="G6" s="295"/>
      <c r="H6" s="295"/>
      <c r="I6" s="295"/>
      <c r="J6" s="295"/>
      <c r="K6" s="293"/>
    </row>
    <row r="7" spans="3:11" ht="17.399999999999999" thickBot="1" x14ac:dyDescent="0.35">
      <c r="C7" s="296"/>
      <c r="D7" s="384" t="s">
        <v>3499</v>
      </c>
      <c r="E7" s="386" t="s">
        <v>3500</v>
      </c>
      <c r="F7" s="387"/>
      <c r="G7" s="387"/>
      <c r="H7" s="387"/>
      <c r="I7" s="387"/>
      <c r="J7" s="388"/>
      <c r="K7" s="293"/>
    </row>
    <row r="8" spans="3:11" ht="17.399999999999999" thickBot="1" x14ac:dyDescent="0.35">
      <c r="C8" s="296"/>
      <c r="D8" s="385"/>
      <c r="E8" s="297">
        <v>1</v>
      </c>
      <c r="F8" s="297">
        <v>2</v>
      </c>
      <c r="G8" s="297">
        <v>3</v>
      </c>
      <c r="H8" s="297">
        <v>4</v>
      </c>
      <c r="I8" s="297">
        <v>5</v>
      </c>
      <c r="J8" s="297">
        <v>6</v>
      </c>
      <c r="K8" s="293"/>
    </row>
    <row r="9" spans="3:11" ht="17.399999999999999" thickBot="1" x14ac:dyDescent="0.35">
      <c r="C9" s="296"/>
      <c r="D9" s="298" t="s">
        <v>3501</v>
      </c>
      <c r="E9" s="299">
        <v>1.19</v>
      </c>
      <c r="F9" s="299">
        <v>1.26</v>
      </c>
      <c r="G9" s="299">
        <v>1.34</v>
      </c>
      <c r="H9" s="299">
        <v>1.42</v>
      </c>
      <c r="I9" s="299">
        <v>1.5</v>
      </c>
      <c r="J9" s="300"/>
      <c r="K9" s="293"/>
    </row>
    <row r="10" spans="3:11" ht="17.399999999999999" thickBot="1" x14ac:dyDescent="0.35">
      <c r="C10" s="296"/>
      <c r="D10" s="298" t="s">
        <v>3502</v>
      </c>
      <c r="E10" s="299">
        <v>1.33</v>
      </c>
      <c r="F10" s="299">
        <v>1.41</v>
      </c>
      <c r="G10" s="299">
        <v>1.49</v>
      </c>
      <c r="H10" s="299">
        <v>1.58</v>
      </c>
      <c r="I10" s="299">
        <v>1.68</v>
      </c>
      <c r="J10" s="300"/>
      <c r="K10" s="293"/>
    </row>
    <row r="11" spans="3:11" ht="17.399999999999999" thickBot="1" x14ac:dyDescent="0.35">
      <c r="C11" s="296"/>
      <c r="D11" s="298" t="s">
        <v>3503</v>
      </c>
      <c r="E11" s="299">
        <v>1.33</v>
      </c>
      <c r="F11" s="299">
        <v>1.41</v>
      </c>
      <c r="G11" s="299">
        <v>1.49</v>
      </c>
      <c r="H11" s="299">
        <v>1.58</v>
      </c>
      <c r="I11" s="299">
        <v>1.68</v>
      </c>
      <c r="J11" s="300"/>
      <c r="K11" s="293"/>
    </row>
    <row r="12" spans="3:11" ht="17.399999999999999" thickBot="1" x14ac:dyDescent="0.35">
      <c r="C12" s="296"/>
      <c r="D12" s="298" t="s">
        <v>3504</v>
      </c>
      <c r="E12" s="299">
        <v>1.36</v>
      </c>
      <c r="F12" s="299">
        <v>1.44</v>
      </c>
      <c r="G12" s="299">
        <v>1.53</v>
      </c>
      <c r="H12" s="299">
        <v>1.62</v>
      </c>
      <c r="I12" s="295"/>
      <c r="J12" s="300"/>
      <c r="K12" s="293"/>
    </row>
    <row r="13" spans="3:11" ht="17.399999999999999" thickBot="1" x14ac:dyDescent="0.35">
      <c r="C13" s="296"/>
      <c r="D13" s="299" t="s">
        <v>3505</v>
      </c>
      <c r="E13" s="299">
        <v>1.33</v>
      </c>
      <c r="F13" s="299">
        <v>1.41</v>
      </c>
      <c r="G13" s="299">
        <v>1.49</v>
      </c>
      <c r="H13" s="299">
        <v>1.58</v>
      </c>
      <c r="I13" s="295"/>
      <c r="J13" s="300"/>
      <c r="K13" s="293"/>
    </row>
    <row r="14" spans="3:11" ht="17.399999999999999" thickBot="1" x14ac:dyDescent="0.35">
      <c r="C14" s="296"/>
      <c r="D14" s="299" t="s">
        <v>3506</v>
      </c>
      <c r="E14" s="299">
        <v>1.26</v>
      </c>
      <c r="F14" s="299">
        <v>1.34</v>
      </c>
      <c r="G14" s="299">
        <v>1.42</v>
      </c>
      <c r="H14" s="299">
        <v>1.5</v>
      </c>
      <c r="I14" s="295"/>
      <c r="J14" s="300"/>
      <c r="K14" s="293"/>
    </row>
    <row r="15" spans="3:11" ht="17.399999999999999" thickBot="1" x14ac:dyDescent="0.35">
      <c r="C15" s="296"/>
      <c r="D15" s="299" t="s">
        <v>3507</v>
      </c>
      <c r="E15" s="299">
        <v>1.26</v>
      </c>
      <c r="F15" s="299">
        <v>1.34</v>
      </c>
      <c r="G15" s="299">
        <v>1.42</v>
      </c>
      <c r="H15" s="299">
        <v>1.5</v>
      </c>
      <c r="I15" s="295"/>
      <c r="J15" s="300"/>
      <c r="K15" s="293"/>
    </row>
    <row r="16" spans="3:11" ht="17.399999999999999" thickBot="1" x14ac:dyDescent="0.35">
      <c r="C16" s="296"/>
      <c r="D16" s="299" t="s">
        <v>3508</v>
      </c>
      <c r="E16" s="299">
        <v>1.99</v>
      </c>
      <c r="F16" s="299">
        <v>2.11</v>
      </c>
      <c r="G16" s="299">
        <v>2.2400000000000002</v>
      </c>
      <c r="H16" s="299">
        <v>2.37</v>
      </c>
      <c r="I16" s="295"/>
      <c r="J16" s="300"/>
      <c r="K16" s="293"/>
    </row>
    <row r="17" spans="3:11" ht="17.399999999999999" thickBot="1" x14ac:dyDescent="0.35">
      <c r="C17" s="296"/>
      <c r="D17" s="299" t="s">
        <v>3509</v>
      </c>
      <c r="E17" s="299">
        <v>1.5</v>
      </c>
      <c r="F17" s="299">
        <v>1.59</v>
      </c>
      <c r="G17" s="299">
        <v>1.69</v>
      </c>
      <c r="H17" s="299">
        <v>1.79</v>
      </c>
      <c r="I17" s="299">
        <v>1.89</v>
      </c>
      <c r="J17" s="300"/>
      <c r="K17" s="293"/>
    </row>
    <row r="18" spans="3:11" ht="17.399999999999999" thickBot="1" x14ac:dyDescent="0.35">
      <c r="C18" s="296"/>
      <c r="D18" s="299" t="s">
        <v>3510</v>
      </c>
      <c r="E18" s="299">
        <v>1.23</v>
      </c>
      <c r="F18" s="299">
        <v>1.31</v>
      </c>
      <c r="G18" s="299">
        <v>1.38</v>
      </c>
      <c r="H18" s="299">
        <v>1.47</v>
      </c>
      <c r="I18" s="299">
        <v>1.56</v>
      </c>
      <c r="J18" s="299">
        <v>1.65</v>
      </c>
      <c r="K18" s="293"/>
    </row>
    <row r="19" spans="3:11" ht="17.399999999999999" thickBot="1" x14ac:dyDescent="0.35">
      <c r="C19" s="296"/>
      <c r="D19" s="299" t="s">
        <v>3511</v>
      </c>
      <c r="E19" s="299">
        <v>1.1000000000000001</v>
      </c>
      <c r="F19" s="299">
        <v>1.17</v>
      </c>
      <c r="G19" s="299">
        <v>1.24</v>
      </c>
      <c r="H19" s="299">
        <v>1.31</v>
      </c>
      <c r="I19" s="299">
        <v>1.39</v>
      </c>
      <c r="J19" s="299">
        <v>1.47</v>
      </c>
      <c r="K19" s="293"/>
    </row>
    <row r="20" spans="3:11" ht="17.399999999999999" thickBot="1" x14ac:dyDescent="0.35">
      <c r="C20" s="296"/>
      <c r="D20" s="299" t="s">
        <v>3512</v>
      </c>
      <c r="E20" s="299">
        <v>1</v>
      </c>
      <c r="F20" s="299">
        <v>1.07</v>
      </c>
      <c r="G20" s="299">
        <v>1.1299999999999999</v>
      </c>
      <c r="H20" s="299">
        <v>1.2</v>
      </c>
      <c r="I20" s="299">
        <v>1.27</v>
      </c>
      <c r="J20" s="299">
        <v>1.35</v>
      </c>
      <c r="K20" s="293"/>
    </row>
    <row r="21" spans="3:11" ht="17.399999999999999" thickBot="1" x14ac:dyDescent="0.35">
      <c r="C21" s="296"/>
      <c r="D21" s="299" t="s">
        <v>3513</v>
      </c>
      <c r="E21" s="299">
        <v>3.19</v>
      </c>
      <c r="F21" s="299">
        <v>3.4</v>
      </c>
      <c r="G21" s="301"/>
      <c r="H21" s="301"/>
      <c r="I21" s="301"/>
      <c r="J21" s="302"/>
      <c r="K21" s="293"/>
    </row>
    <row r="22" spans="3:11" ht="17.399999999999999" thickBot="1" x14ac:dyDescent="0.35">
      <c r="C22" s="296"/>
      <c r="D22" s="299" t="s">
        <v>3514</v>
      </c>
      <c r="E22" s="299">
        <v>3</v>
      </c>
      <c r="F22" s="299">
        <v>3.19</v>
      </c>
      <c r="G22" s="301"/>
      <c r="H22" s="301"/>
      <c r="I22" s="301"/>
      <c r="J22" s="302"/>
      <c r="K22" s="293"/>
    </row>
    <row r="23" spans="3:11" ht="17.399999999999999" thickBot="1" x14ac:dyDescent="0.35">
      <c r="C23" s="296"/>
      <c r="D23" s="299" t="s">
        <v>3515</v>
      </c>
      <c r="E23" s="299">
        <v>2.72</v>
      </c>
      <c r="F23" s="299">
        <v>2.89</v>
      </c>
      <c r="G23" s="301"/>
      <c r="H23" s="301"/>
      <c r="I23" s="301"/>
      <c r="J23" s="302"/>
      <c r="K23" s="293"/>
    </row>
    <row r="24" spans="3:11" ht="17.399999999999999" thickBot="1" x14ac:dyDescent="0.35">
      <c r="C24" s="296"/>
      <c r="D24" s="299" t="s">
        <v>3516</v>
      </c>
      <c r="E24" s="299">
        <v>2.56</v>
      </c>
      <c r="F24" s="299">
        <v>2.72</v>
      </c>
      <c r="G24" s="301"/>
      <c r="H24" s="301"/>
      <c r="I24" s="301"/>
      <c r="J24" s="302"/>
      <c r="K24" s="293"/>
    </row>
    <row r="25" spans="3:11" ht="17.399999999999999" thickBot="1" x14ac:dyDescent="0.35">
      <c r="C25" s="293"/>
      <c r="D25" s="293"/>
      <c r="E25" s="293"/>
      <c r="F25" s="293"/>
      <c r="G25" s="293"/>
      <c r="H25" s="293"/>
      <c r="I25" s="293"/>
      <c r="J25" s="293"/>
      <c r="K25" s="293"/>
    </row>
    <row r="26" spans="3:11" ht="17.399999999999999" thickBot="1" x14ac:dyDescent="0.35">
      <c r="C26" s="292" t="s">
        <v>3517</v>
      </c>
      <c r="D26" s="293"/>
      <c r="E26" s="293"/>
      <c r="F26" s="293"/>
      <c r="G26" s="293"/>
      <c r="H26" s="293"/>
      <c r="I26" s="293"/>
      <c r="J26" s="293"/>
      <c r="K26" s="293"/>
    </row>
    <row r="27" spans="3:11" ht="17.399999999999999" customHeight="1" thickBot="1" x14ac:dyDescent="0.35">
      <c r="C27" s="294" t="s">
        <v>3518</v>
      </c>
      <c r="D27" s="293"/>
      <c r="E27" s="293"/>
      <c r="F27" s="293"/>
      <c r="G27" s="293"/>
      <c r="H27" s="293"/>
      <c r="I27" s="293"/>
      <c r="J27" s="293"/>
      <c r="K27" s="293"/>
    </row>
    <row r="28" spans="3:11" ht="17.399999999999999" thickBot="1" x14ac:dyDescent="0.35">
      <c r="C28" s="293"/>
      <c r="D28" s="295"/>
      <c r="E28" s="295"/>
      <c r="F28" s="293"/>
      <c r="G28" s="295"/>
      <c r="H28" s="295"/>
      <c r="I28" s="293"/>
      <c r="J28" s="293"/>
      <c r="K28" s="293"/>
    </row>
    <row r="29" spans="3:11" ht="17.399999999999999" thickBot="1" x14ac:dyDescent="0.35">
      <c r="C29" s="296"/>
      <c r="D29" s="389" t="s">
        <v>3519</v>
      </c>
      <c r="E29" s="390"/>
      <c r="F29" s="296"/>
      <c r="G29" s="389" t="s">
        <v>3520</v>
      </c>
      <c r="H29" s="390"/>
      <c r="I29" s="293"/>
      <c r="J29" s="293"/>
      <c r="K29" s="293"/>
    </row>
    <row r="30" spans="3:11" ht="17.399999999999999" thickBot="1" x14ac:dyDescent="0.35">
      <c r="C30" s="296"/>
      <c r="D30" s="303" t="s">
        <v>3499</v>
      </c>
      <c r="E30" s="303" t="s">
        <v>3521</v>
      </c>
      <c r="F30" s="296"/>
      <c r="G30" s="303" t="s">
        <v>3499</v>
      </c>
      <c r="H30" s="303" t="s">
        <v>3521</v>
      </c>
      <c r="I30" s="293"/>
      <c r="J30" s="293"/>
      <c r="K30" s="293"/>
    </row>
    <row r="31" spans="3:11" ht="17.399999999999999" thickBot="1" x14ac:dyDescent="0.35">
      <c r="C31" s="296"/>
      <c r="D31" s="298" t="s">
        <v>3522</v>
      </c>
      <c r="E31" s="304">
        <v>0.35</v>
      </c>
      <c r="F31" s="296"/>
      <c r="G31" s="298" t="s">
        <v>3522</v>
      </c>
      <c r="H31" s="304">
        <v>0.06</v>
      </c>
      <c r="I31" s="293"/>
      <c r="J31" s="293"/>
      <c r="K31" s="293"/>
    </row>
    <row r="32" spans="3:11" ht="17.399999999999999" thickBot="1" x14ac:dyDescent="0.35">
      <c r="C32" s="296"/>
      <c r="D32" s="298" t="s">
        <v>3523</v>
      </c>
      <c r="E32" s="304">
        <v>0.25</v>
      </c>
      <c r="F32" s="296"/>
      <c r="G32" s="298" t="s">
        <v>3523</v>
      </c>
      <c r="H32" s="304">
        <v>0.04</v>
      </c>
      <c r="I32" s="293"/>
      <c r="J32" s="293"/>
      <c r="K32" s="293"/>
    </row>
  </sheetData>
  <mergeCells count="4">
    <mergeCell ref="D7:D8"/>
    <mergeCell ref="E7:J7"/>
    <mergeCell ref="D29:E29"/>
    <mergeCell ref="G29:H29"/>
  </mergeCells>
  <phoneticPr fontId="1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7455-5D98-44DB-8C27-DCAFB8143A1E}">
  <dimension ref="A2:I9"/>
  <sheetViews>
    <sheetView workbookViewId="0">
      <selection activeCell="F16" sqref="F16"/>
    </sheetView>
  </sheetViews>
  <sheetFormatPr defaultRowHeight="16.8" x14ac:dyDescent="0.3"/>
  <cols>
    <col min="2" max="2" width="8.08984375" bestFit="1" customWidth="1"/>
  </cols>
  <sheetData>
    <row r="2" spans="1:9" ht="23.4" thickBot="1" x14ac:dyDescent="0.35">
      <c r="A2" s="2" t="s">
        <v>711</v>
      </c>
      <c r="B2" s="2" t="s">
        <v>712</v>
      </c>
      <c r="C2" s="2" t="s">
        <v>713</v>
      </c>
      <c r="D2" s="7" t="s">
        <v>1858</v>
      </c>
      <c r="E2" s="7" t="s">
        <v>2082</v>
      </c>
      <c r="F2" s="2" t="s">
        <v>714</v>
      </c>
    </row>
    <row r="3" spans="1:9" ht="17.399999999999999" thickTop="1" x14ac:dyDescent="0.3"/>
    <row r="5" spans="1:9" x14ac:dyDescent="0.3">
      <c r="A5" s="305"/>
      <c r="B5" s="305"/>
      <c r="C5" s="305"/>
      <c r="D5" s="305"/>
      <c r="E5" s="305"/>
      <c r="F5" s="306"/>
      <c r="G5" s="305"/>
      <c r="H5" s="306"/>
      <c r="I5" s="305"/>
    </row>
    <row r="6" spans="1:9" x14ac:dyDescent="0.3">
      <c r="A6" s="305"/>
      <c r="B6" s="305"/>
      <c r="C6" s="305"/>
      <c r="D6" s="305"/>
      <c r="E6" s="305"/>
      <c r="F6" s="306"/>
      <c r="G6" s="305"/>
      <c r="H6" s="306"/>
      <c r="I6" s="305"/>
    </row>
    <row r="7" spans="1:9" x14ac:dyDescent="0.3">
      <c r="A7" s="305"/>
      <c r="B7" s="305"/>
      <c r="C7" s="305"/>
      <c r="D7" s="305"/>
      <c r="E7" s="305"/>
      <c r="F7" s="306"/>
      <c r="G7" s="305"/>
      <c r="H7" s="306"/>
      <c r="I7" s="305"/>
    </row>
    <row r="8" spans="1:9" x14ac:dyDescent="0.3">
      <c r="A8" s="305"/>
      <c r="B8" s="305"/>
      <c r="C8" s="305"/>
      <c r="D8" s="305"/>
      <c r="E8" s="305"/>
      <c r="F8" s="306"/>
      <c r="G8" s="305"/>
      <c r="H8" s="306"/>
      <c r="I8" s="305"/>
    </row>
    <row r="9" spans="1:9" x14ac:dyDescent="0.3">
      <c r="A9" s="305"/>
      <c r="B9" s="305"/>
      <c r="C9" s="305"/>
      <c r="D9" s="305"/>
      <c r="E9" s="305"/>
      <c r="F9" s="306"/>
      <c r="G9" s="305"/>
      <c r="H9" s="306"/>
      <c r="I9" s="30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NS_DATA</vt:lpstr>
      <vt:lpstr>DonVi_PB_Cung_Tram</vt:lpstr>
      <vt:lpstr>PhanLoaiLĐ</vt:lpstr>
      <vt:lpstr>ChucDanh</vt:lpstr>
      <vt:lpstr>DATA 01-2026</vt:lpstr>
      <vt:lpstr>+Tuyen dung 2025</vt:lpstr>
      <vt:lpstr>Sheet1</vt:lpstr>
      <vt:lpstr>Sheet2</vt:lpstr>
      <vt:lpstr>Bac</vt:lpstr>
      <vt:lpstr>Contract_Promotion</vt:lpstr>
      <vt:lpstr>'DATA 01-2026'!Print_Area</vt:lpstr>
      <vt:lpstr>'DATA 01-2026'!Print_Titles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Thien Vu Trong</cp:lastModifiedBy>
  <cp:lastPrinted>2025-11-11T03:10:24Z</cp:lastPrinted>
  <dcterms:created xsi:type="dcterms:W3CDTF">2018-03-17T03:36:27Z</dcterms:created>
  <dcterms:modified xsi:type="dcterms:W3CDTF">2026-02-27T08:31:16Z</dcterms:modified>
</cp:coreProperties>
</file>